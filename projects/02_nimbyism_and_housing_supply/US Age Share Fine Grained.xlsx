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gro0002/Dropbox/Zac and David/"/>
    </mc:Choice>
  </mc:AlternateContent>
  <xr:revisionPtr revIDLastSave="0" documentId="13_ncr:1_{7EBECD89-4BF6-B340-ADB2-6D1D82EAC253}" xr6:coauthVersionLast="36" xr6:coauthVersionMax="47" xr10:uidLastSave="{00000000-0000-0000-0000-000000000000}"/>
  <bookViews>
    <workbookView xWindow="0" yWindow="500" windowWidth="38400" windowHeight="19580" activeTab="1" xr2:uid="{43DFB74A-E69E-49CB-8506-A6DE78FC099B}"/>
  </bookViews>
  <sheets>
    <sheet name="Sheet1" sheetId="1" r:id="rId1"/>
    <sheet name="Share" sheetId="5" r:id="rId2"/>
    <sheet name="Sheet2" sheetId="2" r:id="rId3"/>
    <sheet name="Sheet3" sheetId="3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C152" i="5" l="1"/>
  <c r="DA152" i="5"/>
  <c r="DA19" i="5"/>
  <c r="DA3" i="5"/>
  <c r="DB3" i="5"/>
  <c r="DC3" i="5"/>
  <c r="DD3" i="5"/>
  <c r="DE3" i="5"/>
  <c r="DF3" i="5"/>
  <c r="DG3" i="5"/>
  <c r="DH3" i="5"/>
  <c r="DI3" i="5"/>
  <c r="DJ3" i="5"/>
  <c r="DK3" i="5"/>
  <c r="DL3" i="5"/>
  <c r="DM3" i="5"/>
  <c r="DN3" i="5"/>
  <c r="DO3" i="5"/>
  <c r="DP3" i="5"/>
  <c r="DQ3" i="5"/>
  <c r="DR3" i="5"/>
  <c r="DS3" i="5"/>
  <c r="DT3" i="5"/>
  <c r="DU3" i="5"/>
  <c r="DV3" i="5"/>
  <c r="DW3" i="5"/>
  <c r="DX3" i="5"/>
  <c r="DY3" i="5"/>
  <c r="DZ3" i="5"/>
  <c r="EA3" i="5"/>
  <c r="EB3" i="5"/>
  <c r="EC3" i="5"/>
  <c r="ED3" i="5"/>
  <c r="EE3" i="5"/>
  <c r="EF3" i="5"/>
  <c r="EG3" i="5"/>
  <c r="EH3" i="5"/>
  <c r="EI3" i="5"/>
  <c r="EJ3" i="5"/>
  <c r="EK3" i="5"/>
  <c r="EL3" i="5"/>
  <c r="EM3" i="5"/>
  <c r="EN3" i="5"/>
  <c r="EO3" i="5"/>
  <c r="EP3" i="5"/>
  <c r="EQ3" i="5"/>
  <c r="ER3" i="5"/>
  <c r="ES3" i="5"/>
  <c r="ET3" i="5"/>
  <c r="EU3" i="5"/>
  <c r="EV3" i="5"/>
  <c r="EW3" i="5"/>
  <c r="EX3" i="5"/>
  <c r="EY3" i="5"/>
  <c r="EZ3" i="5"/>
  <c r="FA3" i="5"/>
  <c r="FB3" i="5"/>
  <c r="FC3" i="5"/>
  <c r="FD3" i="5"/>
  <c r="FE3" i="5"/>
  <c r="FF3" i="5"/>
  <c r="FG3" i="5"/>
  <c r="FH3" i="5"/>
  <c r="FI3" i="5"/>
  <c r="FJ3" i="5"/>
  <c r="FK3" i="5"/>
  <c r="FL3" i="5"/>
  <c r="FM3" i="5"/>
  <c r="FN3" i="5"/>
  <c r="FO3" i="5"/>
  <c r="FP3" i="5"/>
  <c r="FQ3" i="5"/>
  <c r="FR3" i="5"/>
  <c r="FS3" i="5"/>
  <c r="FT3" i="5"/>
  <c r="FU3" i="5"/>
  <c r="FV3" i="5"/>
  <c r="FW3" i="5"/>
  <c r="FX3" i="5"/>
  <c r="FY3" i="5"/>
  <c r="FZ3" i="5"/>
  <c r="GA3" i="5"/>
  <c r="GB3" i="5"/>
  <c r="GC3" i="5"/>
  <c r="GD3" i="5"/>
  <c r="GE3" i="5"/>
  <c r="DA4" i="5"/>
  <c r="DB4" i="5"/>
  <c r="DC4" i="5"/>
  <c r="DD4" i="5"/>
  <c r="DE4" i="5"/>
  <c r="DF4" i="5"/>
  <c r="DG4" i="5"/>
  <c r="DH4" i="5"/>
  <c r="DI4" i="5"/>
  <c r="DJ4" i="5"/>
  <c r="DK4" i="5"/>
  <c r="DL4" i="5"/>
  <c r="DM4" i="5"/>
  <c r="DN4" i="5"/>
  <c r="DO4" i="5"/>
  <c r="DP4" i="5"/>
  <c r="DQ4" i="5"/>
  <c r="DR4" i="5"/>
  <c r="DS4" i="5"/>
  <c r="DT4" i="5"/>
  <c r="DU4" i="5"/>
  <c r="DV4" i="5"/>
  <c r="DW4" i="5"/>
  <c r="DX4" i="5"/>
  <c r="DY4" i="5"/>
  <c r="DZ4" i="5"/>
  <c r="EA4" i="5"/>
  <c r="EB4" i="5"/>
  <c r="EC4" i="5"/>
  <c r="ED4" i="5"/>
  <c r="EE4" i="5"/>
  <c r="EF4" i="5"/>
  <c r="EG4" i="5"/>
  <c r="EH4" i="5"/>
  <c r="EI4" i="5"/>
  <c r="EJ4" i="5"/>
  <c r="EK4" i="5"/>
  <c r="EL4" i="5"/>
  <c r="EM4" i="5"/>
  <c r="EN4" i="5"/>
  <c r="EO4" i="5"/>
  <c r="EP4" i="5"/>
  <c r="EQ4" i="5"/>
  <c r="ER4" i="5"/>
  <c r="ES4" i="5"/>
  <c r="ET4" i="5"/>
  <c r="EU4" i="5"/>
  <c r="EV4" i="5"/>
  <c r="EW4" i="5"/>
  <c r="EX4" i="5"/>
  <c r="EY4" i="5"/>
  <c r="EZ4" i="5"/>
  <c r="FA4" i="5"/>
  <c r="FB4" i="5"/>
  <c r="FC4" i="5"/>
  <c r="FD4" i="5"/>
  <c r="FE4" i="5"/>
  <c r="FF4" i="5"/>
  <c r="FG4" i="5"/>
  <c r="FH4" i="5"/>
  <c r="FI4" i="5"/>
  <c r="FJ4" i="5"/>
  <c r="FK4" i="5"/>
  <c r="FL4" i="5"/>
  <c r="FM4" i="5"/>
  <c r="FN4" i="5"/>
  <c r="FO4" i="5"/>
  <c r="FP4" i="5"/>
  <c r="FQ4" i="5"/>
  <c r="FR4" i="5"/>
  <c r="FS4" i="5"/>
  <c r="FT4" i="5"/>
  <c r="FU4" i="5"/>
  <c r="FV4" i="5"/>
  <c r="FW4" i="5"/>
  <c r="FX4" i="5"/>
  <c r="FY4" i="5"/>
  <c r="FZ4" i="5"/>
  <c r="GA4" i="5"/>
  <c r="GB4" i="5"/>
  <c r="GC4" i="5"/>
  <c r="GD4" i="5"/>
  <c r="GE4" i="5"/>
  <c r="DA5" i="5"/>
  <c r="DB5" i="5"/>
  <c r="DC5" i="5"/>
  <c r="DD5" i="5"/>
  <c r="DE5" i="5"/>
  <c r="DF5" i="5"/>
  <c r="DG5" i="5"/>
  <c r="DH5" i="5"/>
  <c r="DI5" i="5"/>
  <c r="DJ5" i="5"/>
  <c r="DK5" i="5"/>
  <c r="DL5" i="5"/>
  <c r="DM5" i="5"/>
  <c r="DN5" i="5"/>
  <c r="DO5" i="5"/>
  <c r="DP5" i="5"/>
  <c r="DQ5" i="5"/>
  <c r="DR5" i="5"/>
  <c r="DS5" i="5"/>
  <c r="DT5" i="5"/>
  <c r="DU5" i="5"/>
  <c r="DV5" i="5"/>
  <c r="DW5" i="5"/>
  <c r="DX5" i="5"/>
  <c r="DY5" i="5"/>
  <c r="DZ5" i="5"/>
  <c r="EA5" i="5"/>
  <c r="EB5" i="5"/>
  <c r="EC5" i="5"/>
  <c r="ED5" i="5"/>
  <c r="EE5" i="5"/>
  <c r="EF5" i="5"/>
  <c r="EG5" i="5"/>
  <c r="EH5" i="5"/>
  <c r="EI5" i="5"/>
  <c r="EJ5" i="5"/>
  <c r="EK5" i="5"/>
  <c r="EL5" i="5"/>
  <c r="EM5" i="5"/>
  <c r="EN5" i="5"/>
  <c r="EO5" i="5"/>
  <c r="EP5" i="5"/>
  <c r="EQ5" i="5"/>
  <c r="ER5" i="5"/>
  <c r="ES5" i="5"/>
  <c r="ET5" i="5"/>
  <c r="EU5" i="5"/>
  <c r="EV5" i="5"/>
  <c r="EW5" i="5"/>
  <c r="EX5" i="5"/>
  <c r="EY5" i="5"/>
  <c r="EZ5" i="5"/>
  <c r="FA5" i="5"/>
  <c r="FB5" i="5"/>
  <c r="FC5" i="5"/>
  <c r="FD5" i="5"/>
  <c r="FE5" i="5"/>
  <c r="FF5" i="5"/>
  <c r="FG5" i="5"/>
  <c r="FH5" i="5"/>
  <c r="FI5" i="5"/>
  <c r="FJ5" i="5"/>
  <c r="FK5" i="5"/>
  <c r="FL5" i="5"/>
  <c r="FM5" i="5"/>
  <c r="FN5" i="5"/>
  <c r="FO5" i="5"/>
  <c r="FP5" i="5"/>
  <c r="FQ5" i="5"/>
  <c r="FR5" i="5"/>
  <c r="FS5" i="5"/>
  <c r="FT5" i="5"/>
  <c r="FU5" i="5"/>
  <c r="FV5" i="5"/>
  <c r="FW5" i="5"/>
  <c r="FX5" i="5"/>
  <c r="FY5" i="5"/>
  <c r="FZ5" i="5"/>
  <c r="GA5" i="5"/>
  <c r="GB5" i="5"/>
  <c r="GC5" i="5"/>
  <c r="GD5" i="5"/>
  <c r="GE5" i="5"/>
  <c r="DA6" i="5"/>
  <c r="DB6" i="5"/>
  <c r="DC6" i="5"/>
  <c r="DD6" i="5"/>
  <c r="DE6" i="5"/>
  <c r="DF6" i="5"/>
  <c r="DG6" i="5"/>
  <c r="DH6" i="5"/>
  <c r="DI6" i="5"/>
  <c r="DJ6" i="5"/>
  <c r="DK6" i="5"/>
  <c r="DL6" i="5"/>
  <c r="DM6" i="5"/>
  <c r="DN6" i="5"/>
  <c r="DO6" i="5"/>
  <c r="DP6" i="5"/>
  <c r="DQ6" i="5"/>
  <c r="DR6" i="5"/>
  <c r="DS6" i="5"/>
  <c r="DT6" i="5"/>
  <c r="DU6" i="5"/>
  <c r="DV6" i="5"/>
  <c r="DW6" i="5"/>
  <c r="DX6" i="5"/>
  <c r="DY6" i="5"/>
  <c r="DZ6" i="5"/>
  <c r="EA6" i="5"/>
  <c r="EB6" i="5"/>
  <c r="EC6" i="5"/>
  <c r="ED6" i="5"/>
  <c r="EE6" i="5"/>
  <c r="EF6" i="5"/>
  <c r="EG6" i="5"/>
  <c r="EH6" i="5"/>
  <c r="EI6" i="5"/>
  <c r="EJ6" i="5"/>
  <c r="EK6" i="5"/>
  <c r="EL6" i="5"/>
  <c r="EM6" i="5"/>
  <c r="EN6" i="5"/>
  <c r="EO6" i="5"/>
  <c r="EP6" i="5"/>
  <c r="EQ6" i="5"/>
  <c r="ER6" i="5"/>
  <c r="ES6" i="5"/>
  <c r="ET6" i="5"/>
  <c r="EU6" i="5"/>
  <c r="EV6" i="5"/>
  <c r="EW6" i="5"/>
  <c r="EX6" i="5"/>
  <c r="EY6" i="5"/>
  <c r="EZ6" i="5"/>
  <c r="FA6" i="5"/>
  <c r="FB6" i="5"/>
  <c r="FC6" i="5"/>
  <c r="FD6" i="5"/>
  <c r="FE6" i="5"/>
  <c r="FF6" i="5"/>
  <c r="FG6" i="5"/>
  <c r="FH6" i="5"/>
  <c r="FI6" i="5"/>
  <c r="FJ6" i="5"/>
  <c r="FK6" i="5"/>
  <c r="FL6" i="5"/>
  <c r="FM6" i="5"/>
  <c r="FN6" i="5"/>
  <c r="FO6" i="5"/>
  <c r="FP6" i="5"/>
  <c r="FQ6" i="5"/>
  <c r="FR6" i="5"/>
  <c r="FS6" i="5"/>
  <c r="FT6" i="5"/>
  <c r="FU6" i="5"/>
  <c r="FV6" i="5"/>
  <c r="FW6" i="5"/>
  <c r="FX6" i="5"/>
  <c r="FY6" i="5"/>
  <c r="FZ6" i="5"/>
  <c r="GA6" i="5"/>
  <c r="GB6" i="5"/>
  <c r="GC6" i="5"/>
  <c r="GD6" i="5"/>
  <c r="GE6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EZ7" i="5"/>
  <c r="FA7" i="5"/>
  <c r="FB7" i="5"/>
  <c r="FC7" i="5"/>
  <c r="FD7" i="5"/>
  <c r="FE7" i="5"/>
  <c r="FF7" i="5"/>
  <c r="FG7" i="5"/>
  <c r="FH7" i="5"/>
  <c r="FI7" i="5"/>
  <c r="FJ7" i="5"/>
  <c r="FK7" i="5"/>
  <c r="FL7" i="5"/>
  <c r="FM7" i="5"/>
  <c r="FN7" i="5"/>
  <c r="FO7" i="5"/>
  <c r="FP7" i="5"/>
  <c r="FQ7" i="5"/>
  <c r="FR7" i="5"/>
  <c r="FS7" i="5"/>
  <c r="FT7" i="5"/>
  <c r="FU7" i="5"/>
  <c r="FV7" i="5"/>
  <c r="FW7" i="5"/>
  <c r="FX7" i="5"/>
  <c r="FY7" i="5"/>
  <c r="FZ7" i="5"/>
  <c r="GA7" i="5"/>
  <c r="GB7" i="5"/>
  <c r="GC7" i="5"/>
  <c r="GD7" i="5"/>
  <c r="GE7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FA8" i="5"/>
  <c r="FB8" i="5"/>
  <c r="FC8" i="5"/>
  <c r="FD8" i="5"/>
  <c r="FE8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GD8" i="5"/>
  <c r="GE8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EZ9" i="5"/>
  <c r="FA9" i="5"/>
  <c r="FB9" i="5"/>
  <c r="FC9" i="5"/>
  <c r="FD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C9" i="5"/>
  <c r="GD9" i="5"/>
  <c r="GE9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EZ10" i="5"/>
  <c r="FA10" i="5"/>
  <c r="FB10" i="5"/>
  <c r="FC10" i="5"/>
  <c r="FD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GA10" i="5"/>
  <c r="GB10" i="5"/>
  <c r="GC10" i="5"/>
  <c r="GD10" i="5"/>
  <c r="GE10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DS11" i="5"/>
  <c r="DT11" i="5"/>
  <c r="DU11" i="5"/>
  <c r="DV11" i="5"/>
  <c r="DW11" i="5"/>
  <c r="DX11" i="5"/>
  <c r="DY11" i="5"/>
  <c r="DZ11" i="5"/>
  <c r="EA11" i="5"/>
  <c r="EB11" i="5"/>
  <c r="EC11" i="5"/>
  <c r="ED11" i="5"/>
  <c r="EE11" i="5"/>
  <c r="EF11" i="5"/>
  <c r="EG11" i="5"/>
  <c r="EH11" i="5"/>
  <c r="EI11" i="5"/>
  <c r="EJ11" i="5"/>
  <c r="EK11" i="5"/>
  <c r="EL11" i="5"/>
  <c r="EM11" i="5"/>
  <c r="EN11" i="5"/>
  <c r="EO11" i="5"/>
  <c r="EP11" i="5"/>
  <c r="EQ11" i="5"/>
  <c r="ER11" i="5"/>
  <c r="ES11" i="5"/>
  <c r="ET11" i="5"/>
  <c r="EU11" i="5"/>
  <c r="EV11" i="5"/>
  <c r="EW11" i="5"/>
  <c r="EX11" i="5"/>
  <c r="EY11" i="5"/>
  <c r="EZ11" i="5"/>
  <c r="FA11" i="5"/>
  <c r="FB11" i="5"/>
  <c r="FC11" i="5"/>
  <c r="FD11" i="5"/>
  <c r="FE11" i="5"/>
  <c r="FF11" i="5"/>
  <c r="FG11" i="5"/>
  <c r="FH11" i="5"/>
  <c r="FI11" i="5"/>
  <c r="FJ11" i="5"/>
  <c r="FK11" i="5"/>
  <c r="FL11" i="5"/>
  <c r="FM11" i="5"/>
  <c r="FN11" i="5"/>
  <c r="FO11" i="5"/>
  <c r="FP11" i="5"/>
  <c r="FQ11" i="5"/>
  <c r="FR11" i="5"/>
  <c r="FS11" i="5"/>
  <c r="FT11" i="5"/>
  <c r="FU11" i="5"/>
  <c r="FV11" i="5"/>
  <c r="FW11" i="5"/>
  <c r="FX11" i="5"/>
  <c r="FY11" i="5"/>
  <c r="FZ11" i="5"/>
  <c r="GA11" i="5"/>
  <c r="GB11" i="5"/>
  <c r="GC11" i="5"/>
  <c r="GD11" i="5"/>
  <c r="GE11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ES12" i="5"/>
  <c r="ET12" i="5"/>
  <c r="EU12" i="5"/>
  <c r="EV12" i="5"/>
  <c r="EW12" i="5"/>
  <c r="EX12" i="5"/>
  <c r="EY12" i="5"/>
  <c r="EZ12" i="5"/>
  <c r="FA12" i="5"/>
  <c r="FB12" i="5"/>
  <c r="FC12" i="5"/>
  <c r="FD12" i="5"/>
  <c r="FE12" i="5"/>
  <c r="FF12" i="5"/>
  <c r="FG12" i="5"/>
  <c r="FH12" i="5"/>
  <c r="FI12" i="5"/>
  <c r="FJ12" i="5"/>
  <c r="FK12" i="5"/>
  <c r="FL12" i="5"/>
  <c r="FM12" i="5"/>
  <c r="FN12" i="5"/>
  <c r="FO12" i="5"/>
  <c r="FP12" i="5"/>
  <c r="FQ12" i="5"/>
  <c r="FR12" i="5"/>
  <c r="FS12" i="5"/>
  <c r="FT12" i="5"/>
  <c r="FU12" i="5"/>
  <c r="FV12" i="5"/>
  <c r="FW12" i="5"/>
  <c r="FX12" i="5"/>
  <c r="FY12" i="5"/>
  <c r="FZ12" i="5"/>
  <c r="GA12" i="5"/>
  <c r="GB12" i="5"/>
  <c r="GC12" i="5"/>
  <c r="GD12" i="5"/>
  <c r="GE12" i="5"/>
  <c r="DA13" i="5"/>
  <c r="DB13" i="5"/>
  <c r="DC13" i="5"/>
  <c r="DD13" i="5"/>
  <c r="DE13" i="5"/>
  <c r="DF13" i="5"/>
  <c r="DG13" i="5"/>
  <c r="DH13" i="5"/>
  <c r="DI13" i="5"/>
  <c r="DJ13" i="5"/>
  <c r="DK13" i="5"/>
  <c r="DL13" i="5"/>
  <c r="DM13" i="5"/>
  <c r="DN13" i="5"/>
  <c r="DO13" i="5"/>
  <c r="DP13" i="5"/>
  <c r="DQ13" i="5"/>
  <c r="DR13" i="5"/>
  <c r="DS13" i="5"/>
  <c r="DT13" i="5"/>
  <c r="DU13" i="5"/>
  <c r="DV13" i="5"/>
  <c r="DW13" i="5"/>
  <c r="DX13" i="5"/>
  <c r="DY13" i="5"/>
  <c r="DZ13" i="5"/>
  <c r="EA13" i="5"/>
  <c r="EB13" i="5"/>
  <c r="EC13" i="5"/>
  <c r="ED13" i="5"/>
  <c r="EE13" i="5"/>
  <c r="EF13" i="5"/>
  <c r="EG13" i="5"/>
  <c r="EH13" i="5"/>
  <c r="EI13" i="5"/>
  <c r="EJ13" i="5"/>
  <c r="EK13" i="5"/>
  <c r="EL13" i="5"/>
  <c r="EM13" i="5"/>
  <c r="EN13" i="5"/>
  <c r="EO13" i="5"/>
  <c r="EP13" i="5"/>
  <c r="EQ13" i="5"/>
  <c r="ER13" i="5"/>
  <c r="ES13" i="5"/>
  <c r="ET13" i="5"/>
  <c r="EU13" i="5"/>
  <c r="EV13" i="5"/>
  <c r="EW13" i="5"/>
  <c r="EX13" i="5"/>
  <c r="EY13" i="5"/>
  <c r="EZ13" i="5"/>
  <c r="FA13" i="5"/>
  <c r="FB13" i="5"/>
  <c r="FC13" i="5"/>
  <c r="FD13" i="5"/>
  <c r="FE13" i="5"/>
  <c r="FF13" i="5"/>
  <c r="FG13" i="5"/>
  <c r="FH13" i="5"/>
  <c r="FI13" i="5"/>
  <c r="FJ13" i="5"/>
  <c r="FK13" i="5"/>
  <c r="FL13" i="5"/>
  <c r="FM13" i="5"/>
  <c r="FN13" i="5"/>
  <c r="FO13" i="5"/>
  <c r="FP13" i="5"/>
  <c r="FQ13" i="5"/>
  <c r="FR13" i="5"/>
  <c r="FS13" i="5"/>
  <c r="FT13" i="5"/>
  <c r="FU13" i="5"/>
  <c r="FV13" i="5"/>
  <c r="FW13" i="5"/>
  <c r="FX13" i="5"/>
  <c r="FY13" i="5"/>
  <c r="FZ13" i="5"/>
  <c r="GA13" i="5"/>
  <c r="GB13" i="5"/>
  <c r="GC13" i="5"/>
  <c r="GD13" i="5"/>
  <c r="GE13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EJ14" i="5"/>
  <c r="EK14" i="5"/>
  <c r="EL14" i="5"/>
  <c r="EM14" i="5"/>
  <c r="EN14" i="5"/>
  <c r="EO14" i="5"/>
  <c r="EP14" i="5"/>
  <c r="EQ14" i="5"/>
  <c r="ER14" i="5"/>
  <c r="ES14" i="5"/>
  <c r="ET14" i="5"/>
  <c r="EU14" i="5"/>
  <c r="EV14" i="5"/>
  <c r="EW14" i="5"/>
  <c r="EX14" i="5"/>
  <c r="EY14" i="5"/>
  <c r="EZ14" i="5"/>
  <c r="FA14" i="5"/>
  <c r="FB14" i="5"/>
  <c r="FC14" i="5"/>
  <c r="FD14" i="5"/>
  <c r="FE14" i="5"/>
  <c r="FF14" i="5"/>
  <c r="FG14" i="5"/>
  <c r="FH14" i="5"/>
  <c r="FI14" i="5"/>
  <c r="FJ14" i="5"/>
  <c r="FK14" i="5"/>
  <c r="FL14" i="5"/>
  <c r="FM14" i="5"/>
  <c r="FN14" i="5"/>
  <c r="FO14" i="5"/>
  <c r="FP14" i="5"/>
  <c r="FQ14" i="5"/>
  <c r="FR14" i="5"/>
  <c r="FS14" i="5"/>
  <c r="FT14" i="5"/>
  <c r="FU14" i="5"/>
  <c r="FV14" i="5"/>
  <c r="FW14" i="5"/>
  <c r="FX14" i="5"/>
  <c r="FY14" i="5"/>
  <c r="FZ14" i="5"/>
  <c r="GA14" i="5"/>
  <c r="GB14" i="5"/>
  <c r="GC14" i="5"/>
  <c r="GD14" i="5"/>
  <c r="GE14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EJ15" i="5"/>
  <c r="EK15" i="5"/>
  <c r="EL15" i="5"/>
  <c r="EM15" i="5"/>
  <c r="EN15" i="5"/>
  <c r="EO15" i="5"/>
  <c r="EP15" i="5"/>
  <c r="EQ15" i="5"/>
  <c r="ER15" i="5"/>
  <c r="ES15" i="5"/>
  <c r="ET15" i="5"/>
  <c r="EU15" i="5"/>
  <c r="EV15" i="5"/>
  <c r="EW15" i="5"/>
  <c r="EX15" i="5"/>
  <c r="EY15" i="5"/>
  <c r="EZ15" i="5"/>
  <c r="FA15" i="5"/>
  <c r="FB15" i="5"/>
  <c r="FC15" i="5"/>
  <c r="FD15" i="5"/>
  <c r="FE15" i="5"/>
  <c r="FF15" i="5"/>
  <c r="FG15" i="5"/>
  <c r="FH15" i="5"/>
  <c r="FI15" i="5"/>
  <c r="FJ15" i="5"/>
  <c r="FK15" i="5"/>
  <c r="FL15" i="5"/>
  <c r="FM15" i="5"/>
  <c r="FN15" i="5"/>
  <c r="FO15" i="5"/>
  <c r="FP15" i="5"/>
  <c r="FQ15" i="5"/>
  <c r="FR15" i="5"/>
  <c r="FS15" i="5"/>
  <c r="FT15" i="5"/>
  <c r="FU15" i="5"/>
  <c r="FV15" i="5"/>
  <c r="FW15" i="5"/>
  <c r="FX15" i="5"/>
  <c r="FY15" i="5"/>
  <c r="FZ15" i="5"/>
  <c r="GA15" i="5"/>
  <c r="GB15" i="5"/>
  <c r="GC15" i="5"/>
  <c r="GD15" i="5"/>
  <c r="GE15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EJ16" i="5"/>
  <c r="EK16" i="5"/>
  <c r="EL16" i="5"/>
  <c r="EM16" i="5"/>
  <c r="EN16" i="5"/>
  <c r="EO16" i="5"/>
  <c r="EP16" i="5"/>
  <c r="EQ16" i="5"/>
  <c r="ER16" i="5"/>
  <c r="ES16" i="5"/>
  <c r="ET16" i="5"/>
  <c r="EU16" i="5"/>
  <c r="EV16" i="5"/>
  <c r="EW16" i="5"/>
  <c r="EX16" i="5"/>
  <c r="EY16" i="5"/>
  <c r="EZ16" i="5"/>
  <c r="FA16" i="5"/>
  <c r="FB16" i="5"/>
  <c r="FC16" i="5"/>
  <c r="FD16" i="5"/>
  <c r="FE16" i="5"/>
  <c r="FF16" i="5"/>
  <c r="FG16" i="5"/>
  <c r="FH16" i="5"/>
  <c r="FI16" i="5"/>
  <c r="FJ16" i="5"/>
  <c r="FK16" i="5"/>
  <c r="FL16" i="5"/>
  <c r="FM16" i="5"/>
  <c r="FN16" i="5"/>
  <c r="FO16" i="5"/>
  <c r="FP16" i="5"/>
  <c r="FQ16" i="5"/>
  <c r="FR16" i="5"/>
  <c r="FS16" i="5"/>
  <c r="FT16" i="5"/>
  <c r="FU16" i="5"/>
  <c r="FV16" i="5"/>
  <c r="FW16" i="5"/>
  <c r="FX16" i="5"/>
  <c r="FY16" i="5"/>
  <c r="FZ16" i="5"/>
  <c r="GA16" i="5"/>
  <c r="GB16" i="5"/>
  <c r="GC16" i="5"/>
  <c r="GD16" i="5"/>
  <c r="GE16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Q17" i="5"/>
  <c r="ER17" i="5"/>
  <c r="ES17" i="5"/>
  <c r="ET17" i="5"/>
  <c r="EU17" i="5"/>
  <c r="EV17" i="5"/>
  <c r="EW17" i="5"/>
  <c r="EX17" i="5"/>
  <c r="EY17" i="5"/>
  <c r="EZ17" i="5"/>
  <c r="FA17" i="5"/>
  <c r="FB17" i="5"/>
  <c r="FC17" i="5"/>
  <c r="FD17" i="5"/>
  <c r="FE17" i="5"/>
  <c r="FF17" i="5"/>
  <c r="FG17" i="5"/>
  <c r="FH17" i="5"/>
  <c r="FI17" i="5"/>
  <c r="FJ17" i="5"/>
  <c r="FK17" i="5"/>
  <c r="FL17" i="5"/>
  <c r="FM17" i="5"/>
  <c r="FN17" i="5"/>
  <c r="FO17" i="5"/>
  <c r="FP17" i="5"/>
  <c r="FQ17" i="5"/>
  <c r="FR17" i="5"/>
  <c r="FS17" i="5"/>
  <c r="FT17" i="5"/>
  <c r="FU17" i="5"/>
  <c r="FV17" i="5"/>
  <c r="FW17" i="5"/>
  <c r="FX17" i="5"/>
  <c r="FY17" i="5"/>
  <c r="FZ17" i="5"/>
  <c r="GA17" i="5"/>
  <c r="GB17" i="5"/>
  <c r="GC17" i="5"/>
  <c r="GD17" i="5"/>
  <c r="GE17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EJ18" i="5"/>
  <c r="EK18" i="5"/>
  <c r="EL18" i="5"/>
  <c r="EM18" i="5"/>
  <c r="EN18" i="5"/>
  <c r="EO18" i="5"/>
  <c r="EP18" i="5"/>
  <c r="EQ18" i="5"/>
  <c r="ER18" i="5"/>
  <c r="ES18" i="5"/>
  <c r="ET18" i="5"/>
  <c r="EU18" i="5"/>
  <c r="EV18" i="5"/>
  <c r="EW18" i="5"/>
  <c r="EX18" i="5"/>
  <c r="EY18" i="5"/>
  <c r="EZ18" i="5"/>
  <c r="FA18" i="5"/>
  <c r="FB18" i="5"/>
  <c r="FC18" i="5"/>
  <c r="FD18" i="5"/>
  <c r="FE18" i="5"/>
  <c r="FF18" i="5"/>
  <c r="FG18" i="5"/>
  <c r="FH18" i="5"/>
  <c r="FI18" i="5"/>
  <c r="FJ18" i="5"/>
  <c r="FK18" i="5"/>
  <c r="FL18" i="5"/>
  <c r="FM18" i="5"/>
  <c r="FN18" i="5"/>
  <c r="FO18" i="5"/>
  <c r="FP18" i="5"/>
  <c r="FQ18" i="5"/>
  <c r="FR18" i="5"/>
  <c r="FS18" i="5"/>
  <c r="FT18" i="5"/>
  <c r="FU18" i="5"/>
  <c r="FV18" i="5"/>
  <c r="FW18" i="5"/>
  <c r="FX18" i="5"/>
  <c r="FY18" i="5"/>
  <c r="FZ18" i="5"/>
  <c r="GA18" i="5"/>
  <c r="GB18" i="5"/>
  <c r="GC18" i="5"/>
  <c r="GD18" i="5"/>
  <c r="GE18" i="5"/>
  <c r="DB19" i="5"/>
  <c r="DC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P19" i="5"/>
  <c r="DQ19" i="5"/>
  <c r="DR19" i="5"/>
  <c r="DS19" i="5"/>
  <c r="DT19" i="5"/>
  <c r="DU19" i="5"/>
  <c r="DV19" i="5"/>
  <c r="DW19" i="5"/>
  <c r="DX19" i="5"/>
  <c r="DY19" i="5"/>
  <c r="DZ19" i="5"/>
  <c r="EA19" i="5"/>
  <c r="EB19" i="5"/>
  <c r="EC19" i="5"/>
  <c r="ED19" i="5"/>
  <c r="EE19" i="5"/>
  <c r="EF19" i="5"/>
  <c r="EG19" i="5"/>
  <c r="EH19" i="5"/>
  <c r="EI19" i="5"/>
  <c r="EJ19" i="5"/>
  <c r="EK19" i="5"/>
  <c r="EL19" i="5"/>
  <c r="EM19" i="5"/>
  <c r="EN19" i="5"/>
  <c r="EO19" i="5"/>
  <c r="EP19" i="5"/>
  <c r="EQ19" i="5"/>
  <c r="ER19" i="5"/>
  <c r="ES19" i="5"/>
  <c r="ET19" i="5"/>
  <c r="EU19" i="5"/>
  <c r="EV19" i="5"/>
  <c r="EW19" i="5"/>
  <c r="EX19" i="5"/>
  <c r="EY19" i="5"/>
  <c r="EZ19" i="5"/>
  <c r="FA19" i="5"/>
  <c r="FB19" i="5"/>
  <c r="FC19" i="5"/>
  <c r="FD19" i="5"/>
  <c r="FE19" i="5"/>
  <c r="FF19" i="5"/>
  <c r="FG19" i="5"/>
  <c r="FH19" i="5"/>
  <c r="FI19" i="5"/>
  <c r="FJ19" i="5"/>
  <c r="FK19" i="5"/>
  <c r="FL19" i="5"/>
  <c r="FM19" i="5"/>
  <c r="FN19" i="5"/>
  <c r="FO19" i="5"/>
  <c r="FP19" i="5"/>
  <c r="FQ19" i="5"/>
  <c r="FR19" i="5"/>
  <c r="FS19" i="5"/>
  <c r="FT19" i="5"/>
  <c r="FU19" i="5"/>
  <c r="FV19" i="5"/>
  <c r="FW19" i="5"/>
  <c r="FX19" i="5"/>
  <c r="FY19" i="5"/>
  <c r="FZ19" i="5"/>
  <c r="GA19" i="5"/>
  <c r="GB19" i="5"/>
  <c r="GC19" i="5"/>
  <c r="GD19" i="5"/>
  <c r="GE19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EJ20" i="5"/>
  <c r="EK20" i="5"/>
  <c r="EL20" i="5"/>
  <c r="EM20" i="5"/>
  <c r="EN20" i="5"/>
  <c r="EO20" i="5"/>
  <c r="EP20" i="5"/>
  <c r="EQ20" i="5"/>
  <c r="ER20" i="5"/>
  <c r="ES20" i="5"/>
  <c r="ET20" i="5"/>
  <c r="EU20" i="5"/>
  <c r="EV20" i="5"/>
  <c r="EW20" i="5"/>
  <c r="EX20" i="5"/>
  <c r="EY20" i="5"/>
  <c r="EZ20" i="5"/>
  <c r="FA20" i="5"/>
  <c r="FB20" i="5"/>
  <c r="FC20" i="5"/>
  <c r="FD20" i="5"/>
  <c r="FE20" i="5"/>
  <c r="FF20" i="5"/>
  <c r="FG20" i="5"/>
  <c r="FH20" i="5"/>
  <c r="FI20" i="5"/>
  <c r="FJ20" i="5"/>
  <c r="FK20" i="5"/>
  <c r="FL20" i="5"/>
  <c r="FM20" i="5"/>
  <c r="FN20" i="5"/>
  <c r="FO20" i="5"/>
  <c r="FP20" i="5"/>
  <c r="FQ20" i="5"/>
  <c r="FR20" i="5"/>
  <c r="FS20" i="5"/>
  <c r="FT20" i="5"/>
  <c r="FU20" i="5"/>
  <c r="FV20" i="5"/>
  <c r="FW20" i="5"/>
  <c r="FX20" i="5"/>
  <c r="FY20" i="5"/>
  <c r="FZ20" i="5"/>
  <c r="GA20" i="5"/>
  <c r="GB20" i="5"/>
  <c r="GC20" i="5"/>
  <c r="GD20" i="5"/>
  <c r="GE20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EJ21" i="5"/>
  <c r="EK21" i="5"/>
  <c r="EL21" i="5"/>
  <c r="EM21" i="5"/>
  <c r="EN21" i="5"/>
  <c r="EO21" i="5"/>
  <c r="EP21" i="5"/>
  <c r="EQ21" i="5"/>
  <c r="ER21" i="5"/>
  <c r="ES21" i="5"/>
  <c r="ET21" i="5"/>
  <c r="EU21" i="5"/>
  <c r="EV21" i="5"/>
  <c r="EW21" i="5"/>
  <c r="EX21" i="5"/>
  <c r="EY21" i="5"/>
  <c r="EZ21" i="5"/>
  <c r="FA21" i="5"/>
  <c r="FB21" i="5"/>
  <c r="FC21" i="5"/>
  <c r="FD21" i="5"/>
  <c r="FE21" i="5"/>
  <c r="FF21" i="5"/>
  <c r="FG21" i="5"/>
  <c r="FH21" i="5"/>
  <c r="FI21" i="5"/>
  <c r="FJ21" i="5"/>
  <c r="FK21" i="5"/>
  <c r="FL21" i="5"/>
  <c r="FM21" i="5"/>
  <c r="FN21" i="5"/>
  <c r="FO21" i="5"/>
  <c r="FP21" i="5"/>
  <c r="FQ21" i="5"/>
  <c r="FR21" i="5"/>
  <c r="FS21" i="5"/>
  <c r="FT21" i="5"/>
  <c r="FU21" i="5"/>
  <c r="FV21" i="5"/>
  <c r="FW21" i="5"/>
  <c r="FX21" i="5"/>
  <c r="FY21" i="5"/>
  <c r="FZ21" i="5"/>
  <c r="GA21" i="5"/>
  <c r="GB21" i="5"/>
  <c r="GC21" i="5"/>
  <c r="GD21" i="5"/>
  <c r="GE21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EG22" i="5"/>
  <c r="EH22" i="5"/>
  <c r="EI22" i="5"/>
  <c r="EJ22" i="5"/>
  <c r="EK22" i="5"/>
  <c r="EL22" i="5"/>
  <c r="EM22" i="5"/>
  <c r="EN22" i="5"/>
  <c r="EO22" i="5"/>
  <c r="EP22" i="5"/>
  <c r="EQ22" i="5"/>
  <c r="ER22" i="5"/>
  <c r="ES22" i="5"/>
  <c r="ET22" i="5"/>
  <c r="EU22" i="5"/>
  <c r="EV22" i="5"/>
  <c r="EW22" i="5"/>
  <c r="EX22" i="5"/>
  <c r="EY22" i="5"/>
  <c r="EZ22" i="5"/>
  <c r="FA22" i="5"/>
  <c r="FB22" i="5"/>
  <c r="FC22" i="5"/>
  <c r="FD22" i="5"/>
  <c r="FE22" i="5"/>
  <c r="FF22" i="5"/>
  <c r="FG22" i="5"/>
  <c r="FH22" i="5"/>
  <c r="FI22" i="5"/>
  <c r="FJ22" i="5"/>
  <c r="FK22" i="5"/>
  <c r="FL22" i="5"/>
  <c r="FM22" i="5"/>
  <c r="FN22" i="5"/>
  <c r="FO22" i="5"/>
  <c r="FP22" i="5"/>
  <c r="FQ22" i="5"/>
  <c r="FR22" i="5"/>
  <c r="FS22" i="5"/>
  <c r="FT22" i="5"/>
  <c r="FU22" i="5"/>
  <c r="FV22" i="5"/>
  <c r="FW22" i="5"/>
  <c r="FX22" i="5"/>
  <c r="FY22" i="5"/>
  <c r="FZ22" i="5"/>
  <c r="GA22" i="5"/>
  <c r="GB22" i="5"/>
  <c r="GC22" i="5"/>
  <c r="GD22" i="5"/>
  <c r="GE22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M23" i="5"/>
  <c r="EN23" i="5"/>
  <c r="EO23" i="5"/>
  <c r="EP23" i="5"/>
  <c r="EQ23" i="5"/>
  <c r="ER23" i="5"/>
  <c r="ES23" i="5"/>
  <c r="ET23" i="5"/>
  <c r="EU23" i="5"/>
  <c r="EV23" i="5"/>
  <c r="EW23" i="5"/>
  <c r="EX23" i="5"/>
  <c r="EY23" i="5"/>
  <c r="EZ23" i="5"/>
  <c r="FA23" i="5"/>
  <c r="FB23" i="5"/>
  <c r="FC23" i="5"/>
  <c r="FD23" i="5"/>
  <c r="FE23" i="5"/>
  <c r="FF23" i="5"/>
  <c r="FG23" i="5"/>
  <c r="FH23" i="5"/>
  <c r="FI23" i="5"/>
  <c r="FJ23" i="5"/>
  <c r="FK23" i="5"/>
  <c r="FL23" i="5"/>
  <c r="FM23" i="5"/>
  <c r="FN23" i="5"/>
  <c r="FO23" i="5"/>
  <c r="FP23" i="5"/>
  <c r="FQ23" i="5"/>
  <c r="FR23" i="5"/>
  <c r="FS23" i="5"/>
  <c r="FT23" i="5"/>
  <c r="FU23" i="5"/>
  <c r="FV23" i="5"/>
  <c r="FW23" i="5"/>
  <c r="FX23" i="5"/>
  <c r="FY23" i="5"/>
  <c r="FZ23" i="5"/>
  <c r="GA23" i="5"/>
  <c r="GB23" i="5"/>
  <c r="GC23" i="5"/>
  <c r="GD23" i="5"/>
  <c r="GE23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EG24" i="5"/>
  <c r="EH24" i="5"/>
  <c r="EI24" i="5"/>
  <c r="EJ24" i="5"/>
  <c r="EK24" i="5"/>
  <c r="EL24" i="5"/>
  <c r="EM24" i="5"/>
  <c r="EN24" i="5"/>
  <c r="EO24" i="5"/>
  <c r="EP24" i="5"/>
  <c r="EQ24" i="5"/>
  <c r="ER24" i="5"/>
  <c r="ES24" i="5"/>
  <c r="ET24" i="5"/>
  <c r="EU24" i="5"/>
  <c r="EV24" i="5"/>
  <c r="EW24" i="5"/>
  <c r="EX24" i="5"/>
  <c r="EY24" i="5"/>
  <c r="EZ24" i="5"/>
  <c r="FA24" i="5"/>
  <c r="FB24" i="5"/>
  <c r="FC24" i="5"/>
  <c r="FD24" i="5"/>
  <c r="FE24" i="5"/>
  <c r="FF24" i="5"/>
  <c r="FG24" i="5"/>
  <c r="FH24" i="5"/>
  <c r="FI24" i="5"/>
  <c r="FJ24" i="5"/>
  <c r="FK24" i="5"/>
  <c r="FL24" i="5"/>
  <c r="FM24" i="5"/>
  <c r="FN24" i="5"/>
  <c r="FO24" i="5"/>
  <c r="FP24" i="5"/>
  <c r="FQ24" i="5"/>
  <c r="FR24" i="5"/>
  <c r="FS24" i="5"/>
  <c r="FT24" i="5"/>
  <c r="FU24" i="5"/>
  <c r="FV24" i="5"/>
  <c r="FW24" i="5"/>
  <c r="FX24" i="5"/>
  <c r="FY24" i="5"/>
  <c r="FZ24" i="5"/>
  <c r="GA24" i="5"/>
  <c r="GB24" i="5"/>
  <c r="GC24" i="5"/>
  <c r="GD24" i="5"/>
  <c r="GE24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ES25" i="5"/>
  <c r="ET25" i="5"/>
  <c r="EU25" i="5"/>
  <c r="EV25" i="5"/>
  <c r="EW25" i="5"/>
  <c r="EX25" i="5"/>
  <c r="EY25" i="5"/>
  <c r="EZ25" i="5"/>
  <c r="FA25" i="5"/>
  <c r="FB25" i="5"/>
  <c r="FC25" i="5"/>
  <c r="FD25" i="5"/>
  <c r="FE25" i="5"/>
  <c r="FF25" i="5"/>
  <c r="FG25" i="5"/>
  <c r="FH25" i="5"/>
  <c r="FI25" i="5"/>
  <c r="FJ25" i="5"/>
  <c r="FK25" i="5"/>
  <c r="FL25" i="5"/>
  <c r="FM25" i="5"/>
  <c r="FN25" i="5"/>
  <c r="FO25" i="5"/>
  <c r="FP25" i="5"/>
  <c r="FQ25" i="5"/>
  <c r="FR25" i="5"/>
  <c r="FS25" i="5"/>
  <c r="FT25" i="5"/>
  <c r="FU25" i="5"/>
  <c r="FV25" i="5"/>
  <c r="FW25" i="5"/>
  <c r="FX25" i="5"/>
  <c r="FY25" i="5"/>
  <c r="FZ25" i="5"/>
  <c r="GA25" i="5"/>
  <c r="GB25" i="5"/>
  <c r="GC25" i="5"/>
  <c r="GD25" i="5"/>
  <c r="GE25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EG26" i="5"/>
  <c r="EH26" i="5"/>
  <c r="EI26" i="5"/>
  <c r="EJ26" i="5"/>
  <c r="EK26" i="5"/>
  <c r="EL26" i="5"/>
  <c r="EM26" i="5"/>
  <c r="EN26" i="5"/>
  <c r="EO26" i="5"/>
  <c r="EP26" i="5"/>
  <c r="EQ26" i="5"/>
  <c r="ER26" i="5"/>
  <c r="ES26" i="5"/>
  <c r="ET26" i="5"/>
  <c r="EU26" i="5"/>
  <c r="EV26" i="5"/>
  <c r="EW26" i="5"/>
  <c r="EX26" i="5"/>
  <c r="EY26" i="5"/>
  <c r="EZ26" i="5"/>
  <c r="FA26" i="5"/>
  <c r="FB26" i="5"/>
  <c r="FC26" i="5"/>
  <c r="FD26" i="5"/>
  <c r="FE26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GD26" i="5"/>
  <c r="GE26" i="5"/>
  <c r="DA27" i="5"/>
  <c r="DB27" i="5"/>
  <c r="DC27" i="5"/>
  <c r="DD27" i="5"/>
  <c r="DE27" i="5"/>
  <c r="DF27" i="5"/>
  <c r="DG27" i="5"/>
  <c r="DH27" i="5"/>
  <c r="DI27" i="5"/>
  <c r="DJ27" i="5"/>
  <c r="DK27" i="5"/>
  <c r="DL27" i="5"/>
  <c r="DM27" i="5"/>
  <c r="DN27" i="5"/>
  <c r="DO27" i="5"/>
  <c r="DP27" i="5"/>
  <c r="DQ27" i="5"/>
  <c r="DR27" i="5"/>
  <c r="DS27" i="5"/>
  <c r="DT27" i="5"/>
  <c r="DU27" i="5"/>
  <c r="DV27" i="5"/>
  <c r="DW27" i="5"/>
  <c r="DX27" i="5"/>
  <c r="DY27" i="5"/>
  <c r="DZ27" i="5"/>
  <c r="EA27" i="5"/>
  <c r="EB27" i="5"/>
  <c r="EC27" i="5"/>
  <c r="ED27" i="5"/>
  <c r="EE27" i="5"/>
  <c r="EF27" i="5"/>
  <c r="EG27" i="5"/>
  <c r="EH27" i="5"/>
  <c r="EI27" i="5"/>
  <c r="EJ27" i="5"/>
  <c r="EK27" i="5"/>
  <c r="EL27" i="5"/>
  <c r="EM27" i="5"/>
  <c r="EN27" i="5"/>
  <c r="EO27" i="5"/>
  <c r="EP27" i="5"/>
  <c r="EQ27" i="5"/>
  <c r="ER27" i="5"/>
  <c r="ES27" i="5"/>
  <c r="ET27" i="5"/>
  <c r="EU27" i="5"/>
  <c r="EV27" i="5"/>
  <c r="EW27" i="5"/>
  <c r="EX27" i="5"/>
  <c r="EY27" i="5"/>
  <c r="EZ27" i="5"/>
  <c r="FA27" i="5"/>
  <c r="FB27" i="5"/>
  <c r="FC27" i="5"/>
  <c r="FD27" i="5"/>
  <c r="FE27" i="5"/>
  <c r="FF27" i="5"/>
  <c r="FG27" i="5"/>
  <c r="FH27" i="5"/>
  <c r="FI27" i="5"/>
  <c r="FJ27" i="5"/>
  <c r="FK27" i="5"/>
  <c r="FL27" i="5"/>
  <c r="FM27" i="5"/>
  <c r="FN27" i="5"/>
  <c r="FO27" i="5"/>
  <c r="FP27" i="5"/>
  <c r="FQ27" i="5"/>
  <c r="FR27" i="5"/>
  <c r="FS27" i="5"/>
  <c r="FT27" i="5"/>
  <c r="FU27" i="5"/>
  <c r="FV27" i="5"/>
  <c r="FW27" i="5"/>
  <c r="FX27" i="5"/>
  <c r="FY27" i="5"/>
  <c r="FZ27" i="5"/>
  <c r="GA27" i="5"/>
  <c r="GB27" i="5"/>
  <c r="GC27" i="5"/>
  <c r="GD27" i="5"/>
  <c r="GE27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EG28" i="5"/>
  <c r="EH28" i="5"/>
  <c r="EI28" i="5"/>
  <c r="EJ28" i="5"/>
  <c r="EK28" i="5"/>
  <c r="EL28" i="5"/>
  <c r="EM28" i="5"/>
  <c r="EN28" i="5"/>
  <c r="EO28" i="5"/>
  <c r="EP28" i="5"/>
  <c r="EQ28" i="5"/>
  <c r="ER28" i="5"/>
  <c r="ES28" i="5"/>
  <c r="ET28" i="5"/>
  <c r="EU28" i="5"/>
  <c r="EV28" i="5"/>
  <c r="EW28" i="5"/>
  <c r="EX28" i="5"/>
  <c r="EY28" i="5"/>
  <c r="EZ28" i="5"/>
  <c r="FA28" i="5"/>
  <c r="FB28" i="5"/>
  <c r="FC28" i="5"/>
  <c r="FD28" i="5"/>
  <c r="FE28" i="5"/>
  <c r="FF28" i="5"/>
  <c r="FG28" i="5"/>
  <c r="FH28" i="5"/>
  <c r="FI28" i="5"/>
  <c r="FJ28" i="5"/>
  <c r="FK28" i="5"/>
  <c r="FL28" i="5"/>
  <c r="FM28" i="5"/>
  <c r="FN28" i="5"/>
  <c r="FO28" i="5"/>
  <c r="FP28" i="5"/>
  <c r="FQ28" i="5"/>
  <c r="FR28" i="5"/>
  <c r="FS28" i="5"/>
  <c r="FT28" i="5"/>
  <c r="FU28" i="5"/>
  <c r="FV28" i="5"/>
  <c r="FW28" i="5"/>
  <c r="FX28" i="5"/>
  <c r="FY28" i="5"/>
  <c r="FZ28" i="5"/>
  <c r="GA28" i="5"/>
  <c r="GB28" i="5"/>
  <c r="GC28" i="5"/>
  <c r="GD28" i="5"/>
  <c r="GE28" i="5"/>
  <c r="DA29" i="5"/>
  <c r="DB29" i="5"/>
  <c r="DC29" i="5"/>
  <c r="DD29" i="5"/>
  <c r="DE29" i="5"/>
  <c r="DF29" i="5"/>
  <c r="DG29" i="5"/>
  <c r="DH29" i="5"/>
  <c r="DI29" i="5"/>
  <c r="DJ29" i="5"/>
  <c r="DK29" i="5"/>
  <c r="DL29" i="5"/>
  <c r="DM29" i="5"/>
  <c r="DN29" i="5"/>
  <c r="DO29" i="5"/>
  <c r="DP29" i="5"/>
  <c r="DQ29" i="5"/>
  <c r="DR29" i="5"/>
  <c r="DS29" i="5"/>
  <c r="DT29" i="5"/>
  <c r="DU29" i="5"/>
  <c r="DV29" i="5"/>
  <c r="DW29" i="5"/>
  <c r="DX29" i="5"/>
  <c r="DY29" i="5"/>
  <c r="DZ29" i="5"/>
  <c r="EA29" i="5"/>
  <c r="EB29" i="5"/>
  <c r="EC29" i="5"/>
  <c r="ED29" i="5"/>
  <c r="EE29" i="5"/>
  <c r="EF29" i="5"/>
  <c r="EG29" i="5"/>
  <c r="EH29" i="5"/>
  <c r="EI29" i="5"/>
  <c r="EJ29" i="5"/>
  <c r="EK29" i="5"/>
  <c r="EL29" i="5"/>
  <c r="EM29" i="5"/>
  <c r="EN29" i="5"/>
  <c r="EO29" i="5"/>
  <c r="EP29" i="5"/>
  <c r="EQ29" i="5"/>
  <c r="ER29" i="5"/>
  <c r="ES29" i="5"/>
  <c r="ET29" i="5"/>
  <c r="EU29" i="5"/>
  <c r="EV29" i="5"/>
  <c r="EW29" i="5"/>
  <c r="EX29" i="5"/>
  <c r="EY29" i="5"/>
  <c r="EZ29" i="5"/>
  <c r="FA29" i="5"/>
  <c r="FB29" i="5"/>
  <c r="FC29" i="5"/>
  <c r="FD29" i="5"/>
  <c r="FE29" i="5"/>
  <c r="FF29" i="5"/>
  <c r="FG29" i="5"/>
  <c r="FH29" i="5"/>
  <c r="FI29" i="5"/>
  <c r="FJ29" i="5"/>
  <c r="FK29" i="5"/>
  <c r="FL29" i="5"/>
  <c r="FM29" i="5"/>
  <c r="FN29" i="5"/>
  <c r="FO29" i="5"/>
  <c r="FP29" i="5"/>
  <c r="FQ29" i="5"/>
  <c r="FR29" i="5"/>
  <c r="FS29" i="5"/>
  <c r="FT29" i="5"/>
  <c r="FU29" i="5"/>
  <c r="FV29" i="5"/>
  <c r="FW29" i="5"/>
  <c r="FX29" i="5"/>
  <c r="FY29" i="5"/>
  <c r="FZ29" i="5"/>
  <c r="GA29" i="5"/>
  <c r="GB29" i="5"/>
  <c r="GC29" i="5"/>
  <c r="GD29" i="5"/>
  <c r="GE29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EF30" i="5"/>
  <c r="EG30" i="5"/>
  <c r="EH30" i="5"/>
  <c r="EI30" i="5"/>
  <c r="EJ30" i="5"/>
  <c r="EK30" i="5"/>
  <c r="EL30" i="5"/>
  <c r="EM30" i="5"/>
  <c r="EN30" i="5"/>
  <c r="EO30" i="5"/>
  <c r="EP30" i="5"/>
  <c r="EQ30" i="5"/>
  <c r="ER30" i="5"/>
  <c r="ES30" i="5"/>
  <c r="ET30" i="5"/>
  <c r="EU30" i="5"/>
  <c r="EV30" i="5"/>
  <c r="EW30" i="5"/>
  <c r="EX30" i="5"/>
  <c r="EY30" i="5"/>
  <c r="EZ30" i="5"/>
  <c r="FA30" i="5"/>
  <c r="FB30" i="5"/>
  <c r="FC30" i="5"/>
  <c r="FD30" i="5"/>
  <c r="FE30" i="5"/>
  <c r="FF30" i="5"/>
  <c r="FG30" i="5"/>
  <c r="FH30" i="5"/>
  <c r="FI30" i="5"/>
  <c r="FJ30" i="5"/>
  <c r="FK30" i="5"/>
  <c r="FL30" i="5"/>
  <c r="FM30" i="5"/>
  <c r="FN30" i="5"/>
  <c r="FO30" i="5"/>
  <c r="FP30" i="5"/>
  <c r="FQ30" i="5"/>
  <c r="FR30" i="5"/>
  <c r="FS30" i="5"/>
  <c r="FT30" i="5"/>
  <c r="FU30" i="5"/>
  <c r="FV30" i="5"/>
  <c r="FW30" i="5"/>
  <c r="FX30" i="5"/>
  <c r="FY30" i="5"/>
  <c r="FZ30" i="5"/>
  <c r="GA30" i="5"/>
  <c r="GB30" i="5"/>
  <c r="GC30" i="5"/>
  <c r="GD30" i="5"/>
  <c r="GE30" i="5"/>
  <c r="DA31" i="5"/>
  <c r="DB31" i="5"/>
  <c r="DC31" i="5"/>
  <c r="DD31" i="5"/>
  <c r="DE31" i="5"/>
  <c r="DF31" i="5"/>
  <c r="DG31" i="5"/>
  <c r="DH31" i="5"/>
  <c r="DI31" i="5"/>
  <c r="DJ31" i="5"/>
  <c r="DK31" i="5"/>
  <c r="DL31" i="5"/>
  <c r="DM31" i="5"/>
  <c r="DN31" i="5"/>
  <c r="DO31" i="5"/>
  <c r="DP31" i="5"/>
  <c r="DQ31" i="5"/>
  <c r="DR31" i="5"/>
  <c r="DS31" i="5"/>
  <c r="DT31" i="5"/>
  <c r="DU31" i="5"/>
  <c r="DV31" i="5"/>
  <c r="DW31" i="5"/>
  <c r="DX31" i="5"/>
  <c r="DY31" i="5"/>
  <c r="DZ31" i="5"/>
  <c r="EA31" i="5"/>
  <c r="EB31" i="5"/>
  <c r="EC31" i="5"/>
  <c r="ED31" i="5"/>
  <c r="EE31" i="5"/>
  <c r="EF31" i="5"/>
  <c r="EG31" i="5"/>
  <c r="EH31" i="5"/>
  <c r="EI31" i="5"/>
  <c r="EJ31" i="5"/>
  <c r="EK31" i="5"/>
  <c r="EL31" i="5"/>
  <c r="EM31" i="5"/>
  <c r="EN31" i="5"/>
  <c r="EO31" i="5"/>
  <c r="EP31" i="5"/>
  <c r="EQ31" i="5"/>
  <c r="ER31" i="5"/>
  <c r="ES31" i="5"/>
  <c r="ET31" i="5"/>
  <c r="EU31" i="5"/>
  <c r="EV31" i="5"/>
  <c r="EW31" i="5"/>
  <c r="EX31" i="5"/>
  <c r="EY31" i="5"/>
  <c r="EZ31" i="5"/>
  <c r="FA31" i="5"/>
  <c r="FB31" i="5"/>
  <c r="FC31" i="5"/>
  <c r="FD31" i="5"/>
  <c r="FE31" i="5"/>
  <c r="FF31" i="5"/>
  <c r="FG31" i="5"/>
  <c r="FH31" i="5"/>
  <c r="FI31" i="5"/>
  <c r="FJ31" i="5"/>
  <c r="FK31" i="5"/>
  <c r="FL31" i="5"/>
  <c r="FM31" i="5"/>
  <c r="FN31" i="5"/>
  <c r="FO31" i="5"/>
  <c r="FP31" i="5"/>
  <c r="FQ31" i="5"/>
  <c r="FR31" i="5"/>
  <c r="FS31" i="5"/>
  <c r="FT31" i="5"/>
  <c r="FU31" i="5"/>
  <c r="FV31" i="5"/>
  <c r="FW31" i="5"/>
  <c r="FX31" i="5"/>
  <c r="FY31" i="5"/>
  <c r="FZ31" i="5"/>
  <c r="GA31" i="5"/>
  <c r="GB31" i="5"/>
  <c r="GC31" i="5"/>
  <c r="GD31" i="5"/>
  <c r="GE31" i="5"/>
  <c r="DA32" i="5"/>
  <c r="DB32" i="5"/>
  <c r="DC32" i="5"/>
  <c r="DD32" i="5"/>
  <c r="DE32" i="5"/>
  <c r="DF32" i="5"/>
  <c r="DG32" i="5"/>
  <c r="DH32" i="5"/>
  <c r="DI32" i="5"/>
  <c r="DJ32" i="5"/>
  <c r="DK32" i="5"/>
  <c r="DL32" i="5"/>
  <c r="DM32" i="5"/>
  <c r="DN32" i="5"/>
  <c r="DO32" i="5"/>
  <c r="DP32" i="5"/>
  <c r="DQ32" i="5"/>
  <c r="DR32" i="5"/>
  <c r="DS32" i="5"/>
  <c r="DT32" i="5"/>
  <c r="DU32" i="5"/>
  <c r="DV32" i="5"/>
  <c r="DW32" i="5"/>
  <c r="DX32" i="5"/>
  <c r="DY32" i="5"/>
  <c r="DZ32" i="5"/>
  <c r="EA32" i="5"/>
  <c r="EB32" i="5"/>
  <c r="EC32" i="5"/>
  <c r="ED32" i="5"/>
  <c r="EE32" i="5"/>
  <c r="EF32" i="5"/>
  <c r="EG32" i="5"/>
  <c r="EH32" i="5"/>
  <c r="EI32" i="5"/>
  <c r="EJ32" i="5"/>
  <c r="EK32" i="5"/>
  <c r="EL32" i="5"/>
  <c r="EM32" i="5"/>
  <c r="EN32" i="5"/>
  <c r="EO32" i="5"/>
  <c r="EP32" i="5"/>
  <c r="EQ32" i="5"/>
  <c r="ER32" i="5"/>
  <c r="ES32" i="5"/>
  <c r="ET32" i="5"/>
  <c r="EU32" i="5"/>
  <c r="EV32" i="5"/>
  <c r="EW32" i="5"/>
  <c r="EX32" i="5"/>
  <c r="EY32" i="5"/>
  <c r="EZ32" i="5"/>
  <c r="FA32" i="5"/>
  <c r="FB32" i="5"/>
  <c r="FC32" i="5"/>
  <c r="FD32" i="5"/>
  <c r="FE32" i="5"/>
  <c r="FF32" i="5"/>
  <c r="FG32" i="5"/>
  <c r="FH32" i="5"/>
  <c r="FI32" i="5"/>
  <c r="FJ32" i="5"/>
  <c r="FK32" i="5"/>
  <c r="FL32" i="5"/>
  <c r="FM32" i="5"/>
  <c r="FN32" i="5"/>
  <c r="FO32" i="5"/>
  <c r="FP32" i="5"/>
  <c r="FQ32" i="5"/>
  <c r="FR32" i="5"/>
  <c r="FS32" i="5"/>
  <c r="FT32" i="5"/>
  <c r="FU32" i="5"/>
  <c r="FV32" i="5"/>
  <c r="FW32" i="5"/>
  <c r="FX32" i="5"/>
  <c r="FY32" i="5"/>
  <c r="FZ32" i="5"/>
  <c r="GA32" i="5"/>
  <c r="GB32" i="5"/>
  <c r="GC32" i="5"/>
  <c r="GD32" i="5"/>
  <c r="GE32" i="5"/>
  <c r="DA33" i="5"/>
  <c r="DB33" i="5"/>
  <c r="DC33" i="5"/>
  <c r="DD33" i="5"/>
  <c r="DE33" i="5"/>
  <c r="DF33" i="5"/>
  <c r="DG33" i="5"/>
  <c r="DH33" i="5"/>
  <c r="DI33" i="5"/>
  <c r="DJ33" i="5"/>
  <c r="DK33" i="5"/>
  <c r="DL33" i="5"/>
  <c r="DM33" i="5"/>
  <c r="DN33" i="5"/>
  <c r="DO33" i="5"/>
  <c r="DP33" i="5"/>
  <c r="DQ33" i="5"/>
  <c r="DR33" i="5"/>
  <c r="DS33" i="5"/>
  <c r="DT33" i="5"/>
  <c r="DU33" i="5"/>
  <c r="DV33" i="5"/>
  <c r="DW33" i="5"/>
  <c r="DX33" i="5"/>
  <c r="DY33" i="5"/>
  <c r="DZ33" i="5"/>
  <c r="EA33" i="5"/>
  <c r="EB33" i="5"/>
  <c r="EC33" i="5"/>
  <c r="ED33" i="5"/>
  <c r="EE33" i="5"/>
  <c r="EF33" i="5"/>
  <c r="EG33" i="5"/>
  <c r="EH33" i="5"/>
  <c r="EI33" i="5"/>
  <c r="EJ33" i="5"/>
  <c r="EK33" i="5"/>
  <c r="EL33" i="5"/>
  <c r="EM33" i="5"/>
  <c r="EN33" i="5"/>
  <c r="EO33" i="5"/>
  <c r="EP33" i="5"/>
  <c r="EQ33" i="5"/>
  <c r="ER33" i="5"/>
  <c r="ES33" i="5"/>
  <c r="ET33" i="5"/>
  <c r="EU33" i="5"/>
  <c r="EV33" i="5"/>
  <c r="EW33" i="5"/>
  <c r="EX33" i="5"/>
  <c r="EY33" i="5"/>
  <c r="EZ33" i="5"/>
  <c r="FA33" i="5"/>
  <c r="FB33" i="5"/>
  <c r="FC33" i="5"/>
  <c r="FD33" i="5"/>
  <c r="FE33" i="5"/>
  <c r="FF33" i="5"/>
  <c r="FG33" i="5"/>
  <c r="FH33" i="5"/>
  <c r="FI33" i="5"/>
  <c r="FJ33" i="5"/>
  <c r="FK33" i="5"/>
  <c r="FL33" i="5"/>
  <c r="FM33" i="5"/>
  <c r="FN33" i="5"/>
  <c r="FO33" i="5"/>
  <c r="FP33" i="5"/>
  <c r="FQ33" i="5"/>
  <c r="FR33" i="5"/>
  <c r="FS33" i="5"/>
  <c r="FT33" i="5"/>
  <c r="FU33" i="5"/>
  <c r="FV33" i="5"/>
  <c r="FW33" i="5"/>
  <c r="FX33" i="5"/>
  <c r="FY33" i="5"/>
  <c r="FZ33" i="5"/>
  <c r="GA33" i="5"/>
  <c r="GB33" i="5"/>
  <c r="GC33" i="5"/>
  <c r="GD33" i="5"/>
  <c r="GE33" i="5"/>
  <c r="DA34" i="5"/>
  <c r="DB34" i="5"/>
  <c r="DC34" i="5"/>
  <c r="DD34" i="5"/>
  <c r="DE34" i="5"/>
  <c r="DF34" i="5"/>
  <c r="DG34" i="5"/>
  <c r="DH34" i="5"/>
  <c r="DI34" i="5"/>
  <c r="DJ34" i="5"/>
  <c r="DK34" i="5"/>
  <c r="DL34" i="5"/>
  <c r="DM34" i="5"/>
  <c r="DN34" i="5"/>
  <c r="DO34" i="5"/>
  <c r="DP34" i="5"/>
  <c r="DQ34" i="5"/>
  <c r="DR34" i="5"/>
  <c r="DS34" i="5"/>
  <c r="DT34" i="5"/>
  <c r="DU34" i="5"/>
  <c r="DV34" i="5"/>
  <c r="DW34" i="5"/>
  <c r="DX34" i="5"/>
  <c r="DY34" i="5"/>
  <c r="DZ34" i="5"/>
  <c r="EA34" i="5"/>
  <c r="EB34" i="5"/>
  <c r="EC34" i="5"/>
  <c r="ED34" i="5"/>
  <c r="EE34" i="5"/>
  <c r="EF34" i="5"/>
  <c r="EG34" i="5"/>
  <c r="EH34" i="5"/>
  <c r="EI34" i="5"/>
  <c r="EJ34" i="5"/>
  <c r="EK34" i="5"/>
  <c r="EL34" i="5"/>
  <c r="EM34" i="5"/>
  <c r="EN34" i="5"/>
  <c r="EO34" i="5"/>
  <c r="EP34" i="5"/>
  <c r="EQ34" i="5"/>
  <c r="ER34" i="5"/>
  <c r="ES34" i="5"/>
  <c r="ET34" i="5"/>
  <c r="EU34" i="5"/>
  <c r="EV34" i="5"/>
  <c r="EW34" i="5"/>
  <c r="EX34" i="5"/>
  <c r="EY34" i="5"/>
  <c r="EZ34" i="5"/>
  <c r="FA34" i="5"/>
  <c r="FB34" i="5"/>
  <c r="FC34" i="5"/>
  <c r="FD34" i="5"/>
  <c r="FE34" i="5"/>
  <c r="FF34" i="5"/>
  <c r="FG34" i="5"/>
  <c r="FH34" i="5"/>
  <c r="FI34" i="5"/>
  <c r="FJ34" i="5"/>
  <c r="FK34" i="5"/>
  <c r="FL34" i="5"/>
  <c r="FM34" i="5"/>
  <c r="FN34" i="5"/>
  <c r="FO34" i="5"/>
  <c r="FP34" i="5"/>
  <c r="FQ34" i="5"/>
  <c r="FR34" i="5"/>
  <c r="FS34" i="5"/>
  <c r="FT34" i="5"/>
  <c r="FU34" i="5"/>
  <c r="FV34" i="5"/>
  <c r="FW34" i="5"/>
  <c r="FX34" i="5"/>
  <c r="FY34" i="5"/>
  <c r="FZ34" i="5"/>
  <c r="GA34" i="5"/>
  <c r="GB34" i="5"/>
  <c r="GC34" i="5"/>
  <c r="GD34" i="5"/>
  <c r="GE34" i="5"/>
  <c r="DA35" i="5"/>
  <c r="DB35" i="5"/>
  <c r="DC35" i="5"/>
  <c r="DD35" i="5"/>
  <c r="DE35" i="5"/>
  <c r="DF35" i="5"/>
  <c r="DG35" i="5"/>
  <c r="DH35" i="5"/>
  <c r="DI35" i="5"/>
  <c r="DJ35" i="5"/>
  <c r="DK35" i="5"/>
  <c r="DL35" i="5"/>
  <c r="DM35" i="5"/>
  <c r="DN35" i="5"/>
  <c r="DO35" i="5"/>
  <c r="DP35" i="5"/>
  <c r="DQ35" i="5"/>
  <c r="DR35" i="5"/>
  <c r="DS35" i="5"/>
  <c r="DT35" i="5"/>
  <c r="DU35" i="5"/>
  <c r="DV35" i="5"/>
  <c r="DW35" i="5"/>
  <c r="DX35" i="5"/>
  <c r="DY35" i="5"/>
  <c r="DZ35" i="5"/>
  <c r="EA35" i="5"/>
  <c r="EB35" i="5"/>
  <c r="EC35" i="5"/>
  <c r="ED35" i="5"/>
  <c r="EE35" i="5"/>
  <c r="EF35" i="5"/>
  <c r="EG35" i="5"/>
  <c r="EH35" i="5"/>
  <c r="EI35" i="5"/>
  <c r="EJ35" i="5"/>
  <c r="EK35" i="5"/>
  <c r="EL35" i="5"/>
  <c r="EM35" i="5"/>
  <c r="EN35" i="5"/>
  <c r="EO35" i="5"/>
  <c r="EP35" i="5"/>
  <c r="EQ35" i="5"/>
  <c r="ER35" i="5"/>
  <c r="ES35" i="5"/>
  <c r="ET35" i="5"/>
  <c r="EU35" i="5"/>
  <c r="EV35" i="5"/>
  <c r="EW35" i="5"/>
  <c r="EX35" i="5"/>
  <c r="EY35" i="5"/>
  <c r="EZ35" i="5"/>
  <c r="FA35" i="5"/>
  <c r="FB35" i="5"/>
  <c r="FC35" i="5"/>
  <c r="FD35" i="5"/>
  <c r="FE35" i="5"/>
  <c r="FF35" i="5"/>
  <c r="FG35" i="5"/>
  <c r="FH35" i="5"/>
  <c r="FI35" i="5"/>
  <c r="FJ35" i="5"/>
  <c r="FK35" i="5"/>
  <c r="FL35" i="5"/>
  <c r="FM35" i="5"/>
  <c r="FN35" i="5"/>
  <c r="FO35" i="5"/>
  <c r="FP35" i="5"/>
  <c r="FQ35" i="5"/>
  <c r="FR35" i="5"/>
  <c r="FS35" i="5"/>
  <c r="FT35" i="5"/>
  <c r="FU35" i="5"/>
  <c r="FV35" i="5"/>
  <c r="FW35" i="5"/>
  <c r="FX35" i="5"/>
  <c r="FY35" i="5"/>
  <c r="FZ35" i="5"/>
  <c r="GA35" i="5"/>
  <c r="GB35" i="5"/>
  <c r="GC35" i="5"/>
  <c r="GD35" i="5"/>
  <c r="GE35" i="5"/>
  <c r="DA36" i="5"/>
  <c r="DB36" i="5"/>
  <c r="DC36" i="5"/>
  <c r="DD36" i="5"/>
  <c r="DE36" i="5"/>
  <c r="DF36" i="5"/>
  <c r="DG36" i="5"/>
  <c r="DH36" i="5"/>
  <c r="DI36" i="5"/>
  <c r="DJ36" i="5"/>
  <c r="DK36" i="5"/>
  <c r="DL36" i="5"/>
  <c r="DM36" i="5"/>
  <c r="DN36" i="5"/>
  <c r="DO36" i="5"/>
  <c r="DP36" i="5"/>
  <c r="DQ36" i="5"/>
  <c r="DR36" i="5"/>
  <c r="DS36" i="5"/>
  <c r="DT36" i="5"/>
  <c r="DU36" i="5"/>
  <c r="DV36" i="5"/>
  <c r="DW36" i="5"/>
  <c r="DX36" i="5"/>
  <c r="DY36" i="5"/>
  <c r="DZ36" i="5"/>
  <c r="EA36" i="5"/>
  <c r="EB36" i="5"/>
  <c r="EC36" i="5"/>
  <c r="ED36" i="5"/>
  <c r="EE36" i="5"/>
  <c r="EF36" i="5"/>
  <c r="EG36" i="5"/>
  <c r="EH36" i="5"/>
  <c r="EI36" i="5"/>
  <c r="EJ36" i="5"/>
  <c r="EK36" i="5"/>
  <c r="EL36" i="5"/>
  <c r="EM36" i="5"/>
  <c r="EN36" i="5"/>
  <c r="EO36" i="5"/>
  <c r="EP36" i="5"/>
  <c r="EQ36" i="5"/>
  <c r="ER36" i="5"/>
  <c r="ES36" i="5"/>
  <c r="ET36" i="5"/>
  <c r="EU36" i="5"/>
  <c r="EV36" i="5"/>
  <c r="EW36" i="5"/>
  <c r="EX36" i="5"/>
  <c r="EY36" i="5"/>
  <c r="EZ36" i="5"/>
  <c r="FA36" i="5"/>
  <c r="FB36" i="5"/>
  <c r="FC36" i="5"/>
  <c r="FD36" i="5"/>
  <c r="FE36" i="5"/>
  <c r="FF36" i="5"/>
  <c r="FG36" i="5"/>
  <c r="FH36" i="5"/>
  <c r="FI36" i="5"/>
  <c r="FJ36" i="5"/>
  <c r="FK36" i="5"/>
  <c r="FL36" i="5"/>
  <c r="FM36" i="5"/>
  <c r="FN36" i="5"/>
  <c r="FO36" i="5"/>
  <c r="FP36" i="5"/>
  <c r="FQ36" i="5"/>
  <c r="FR36" i="5"/>
  <c r="FS36" i="5"/>
  <c r="FT36" i="5"/>
  <c r="FU36" i="5"/>
  <c r="FV36" i="5"/>
  <c r="FW36" i="5"/>
  <c r="FX36" i="5"/>
  <c r="FY36" i="5"/>
  <c r="FZ36" i="5"/>
  <c r="GA36" i="5"/>
  <c r="GB36" i="5"/>
  <c r="GC36" i="5"/>
  <c r="GD36" i="5"/>
  <c r="GE36" i="5"/>
  <c r="DA37" i="5"/>
  <c r="DB37" i="5"/>
  <c r="DC37" i="5"/>
  <c r="DD37" i="5"/>
  <c r="DE37" i="5"/>
  <c r="DF37" i="5"/>
  <c r="DG37" i="5"/>
  <c r="DH37" i="5"/>
  <c r="DI37" i="5"/>
  <c r="DJ37" i="5"/>
  <c r="DK37" i="5"/>
  <c r="DL37" i="5"/>
  <c r="DM37" i="5"/>
  <c r="DN37" i="5"/>
  <c r="DO37" i="5"/>
  <c r="DP37" i="5"/>
  <c r="DQ37" i="5"/>
  <c r="DR37" i="5"/>
  <c r="DS37" i="5"/>
  <c r="DT37" i="5"/>
  <c r="DU37" i="5"/>
  <c r="DV37" i="5"/>
  <c r="DW37" i="5"/>
  <c r="DX37" i="5"/>
  <c r="DY37" i="5"/>
  <c r="DZ37" i="5"/>
  <c r="EA37" i="5"/>
  <c r="EB37" i="5"/>
  <c r="EC37" i="5"/>
  <c r="ED37" i="5"/>
  <c r="EE37" i="5"/>
  <c r="EF37" i="5"/>
  <c r="EG37" i="5"/>
  <c r="EH37" i="5"/>
  <c r="EI37" i="5"/>
  <c r="EJ37" i="5"/>
  <c r="EK37" i="5"/>
  <c r="EL37" i="5"/>
  <c r="EM37" i="5"/>
  <c r="EN37" i="5"/>
  <c r="EO37" i="5"/>
  <c r="EP37" i="5"/>
  <c r="EQ37" i="5"/>
  <c r="ER37" i="5"/>
  <c r="ES37" i="5"/>
  <c r="ET37" i="5"/>
  <c r="EU37" i="5"/>
  <c r="EV37" i="5"/>
  <c r="EW37" i="5"/>
  <c r="EX37" i="5"/>
  <c r="EY37" i="5"/>
  <c r="EZ37" i="5"/>
  <c r="FA37" i="5"/>
  <c r="FB37" i="5"/>
  <c r="FC37" i="5"/>
  <c r="FD37" i="5"/>
  <c r="FE37" i="5"/>
  <c r="FF37" i="5"/>
  <c r="FG37" i="5"/>
  <c r="FH37" i="5"/>
  <c r="FI37" i="5"/>
  <c r="FJ37" i="5"/>
  <c r="FK37" i="5"/>
  <c r="FL37" i="5"/>
  <c r="FM37" i="5"/>
  <c r="FN37" i="5"/>
  <c r="FO37" i="5"/>
  <c r="FP37" i="5"/>
  <c r="FQ37" i="5"/>
  <c r="FR37" i="5"/>
  <c r="FS37" i="5"/>
  <c r="FT37" i="5"/>
  <c r="FU37" i="5"/>
  <c r="FV37" i="5"/>
  <c r="FW37" i="5"/>
  <c r="FX37" i="5"/>
  <c r="FY37" i="5"/>
  <c r="FZ37" i="5"/>
  <c r="GA37" i="5"/>
  <c r="GB37" i="5"/>
  <c r="GC37" i="5"/>
  <c r="GD37" i="5"/>
  <c r="GE37" i="5"/>
  <c r="DA38" i="5"/>
  <c r="DB38" i="5"/>
  <c r="DC38" i="5"/>
  <c r="DD38" i="5"/>
  <c r="DE38" i="5"/>
  <c r="DF38" i="5"/>
  <c r="DG38" i="5"/>
  <c r="DH38" i="5"/>
  <c r="DI38" i="5"/>
  <c r="DJ38" i="5"/>
  <c r="DK38" i="5"/>
  <c r="DL38" i="5"/>
  <c r="DM38" i="5"/>
  <c r="DN38" i="5"/>
  <c r="DO38" i="5"/>
  <c r="DP38" i="5"/>
  <c r="DQ38" i="5"/>
  <c r="DR38" i="5"/>
  <c r="DS38" i="5"/>
  <c r="DT38" i="5"/>
  <c r="DU38" i="5"/>
  <c r="DV38" i="5"/>
  <c r="DW38" i="5"/>
  <c r="DX38" i="5"/>
  <c r="DY38" i="5"/>
  <c r="DZ38" i="5"/>
  <c r="EA38" i="5"/>
  <c r="EB38" i="5"/>
  <c r="EC38" i="5"/>
  <c r="ED38" i="5"/>
  <c r="EE38" i="5"/>
  <c r="EF38" i="5"/>
  <c r="EG38" i="5"/>
  <c r="EH38" i="5"/>
  <c r="EI38" i="5"/>
  <c r="EJ38" i="5"/>
  <c r="EK38" i="5"/>
  <c r="EL38" i="5"/>
  <c r="EM38" i="5"/>
  <c r="EN38" i="5"/>
  <c r="EO38" i="5"/>
  <c r="EP38" i="5"/>
  <c r="EQ38" i="5"/>
  <c r="ER38" i="5"/>
  <c r="ES38" i="5"/>
  <c r="ET38" i="5"/>
  <c r="EU38" i="5"/>
  <c r="EV38" i="5"/>
  <c r="EW38" i="5"/>
  <c r="EX38" i="5"/>
  <c r="EY38" i="5"/>
  <c r="EZ38" i="5"/>
  <c r="FA38" i="5"/>
  <c r="FB38" i="5"/>
  <c r="FC38" i="5"/>
  <c r="FD38" i="5"/>
  <c r="FE38" i="5"/>
  <c r="FF38" i="5"/>
  <c r="FG38" i="5"/>
  <c r="FH38" i="5"/>
  <c r="FI38" i="5"/>
  <c r="FJ38" i="5"/>
  <c r="FK38" i="5"/>
  <c r="FL38" i="5"/>
  <c r="FM38" i="5"/>
  <c r="FN38" i="5"/>
  <c r="FO38" i="5"/>
  <c r="FP38" i="5"/>
  <c r="FQ38" i="5"/>
  <c r="FR38" i="5"/>
  <c r="FS38" i="5"/>
  <c r="FT38" i="5"/>
  <c r="FU38" i="5"/>
  <c r="FV38" i="5"/>
  <c r="FW38" i="5"/>
  <c r="FX38" i="5"/>
  <c r="FY38" i="5"/>
  <c r="FZ38" i="5"/>
  <c r="GA38" i="5"/>
  <c r="GB38" i="5"/>
  <c r="GC38" i="5"/>
  <c r="GD38" i="5"/>
  <c r="GE38" i="5"/>
  <c r="DA39" i="5"/>
  <c r="DB39" i="5"/>
  <c r="DC39" i="5"/>
  <c r="DD39" i="5"/>
  <c r="DE39" i="5"/>
  <c r="DF39" i="5"/>
  <c r="DG39" i="5"/>
  <c r="DH39" i="5"/>
  <c r="DI39" i="5"/>
  <c r="DJ39" i="5"/>
  <c r="DK39" i="5"/>
  <c r="DL39" i="5"/>
  <c r="DM39" i="5"/>
  <c r="DN39" i="5"/>
  <c r="DO39" i="5"/>
  <c r="DP39" i="5"/>
  <c r="DQ39" i="5"/>
  <c r="DR39" i="5"/>
  <c r="DS39" i="5"/>
  <c r="DT39" i="5"/>
  <c r="DU39" i="5"/>
  <c r="DV39" i="5"/>
  <c r="DW39" i="5"/>
  <c r="DX39" i="5"/>
  <c r="DY39" i="5"/>
  <c r="DZ39" i="5"/>
  <c r="EA39" i="5"/>
  <c r="EB39" i="5"/>
  <c r="EC39" i="5"/>
  <c r="ED39" i="5"/>
  <c r="EE39" i="5"/>
  <c r="EF39" i="5"/>
  <c r="EG39" i="5"/>
  <c r="EH39" i="5"/>
  <c r="EI39" i="5"/>
  <c r="EJ39" i="5"/>
  <c r="EK39" i="5"/>
  <c r="EL39" i="5"/>
  <c r="EM39" i="5"/>
  <c r="EN39" i="5"/>
  <c r="EO39" i="5"/>
  <c r="EP39" i="5"/>
  <c r="EQ39" i="5"/>
  <c r="ER39" i="5"/>
  <c r="ES39" i="5"/>
  <c r="ET39" i="5"/>
  <c r="EU39" i="5"/>
  <c r="EV39" i="5"/>
  <c r="EW39" i="5"/>
  <c r="EX39" i="5"/>
  <c r="EY39" i="5"/>
  <c r="EZ39" i="5"/>
  <c r="FA39" i="5"/>
  <c r="FB39" i="5"/>
  <c r="FC39" i="5"/>
  <c r="FD39" i="5"/>
  <c r="FE39" i="5"/>
  <c r="FF39" i="5"/>
  <c r="FG39" i="5"/>
  <c r="FH39" i="5"/>
  <c r="FI39" i="5"/>
  <c r="FJ39" i="5"/>
  <c r="FK39" i="5"/>
  <c r="FL39" i="5"/>
  <c r="FM39" i="5"/>
  <c r="FN39" i="5"/>
  <c r="FO39" i="5"/>
  <c r="FP39" i="5"/>
  <c r="FQ39" i="5"/>
  <c r="FR39" i="5"/>
  <c r="FS39" i="5"/>
  <c r="FT39" i="5"/>
  <c r="FU39" i="5"/>
  <c r="FV39" i="5"/>
  <c r="FW39" i="5"/>
  <c r="FX39" i="5"/>
  <c r="FY39" i="5"/>
  <c r="FZ39" i="5"/>
  <c r="GA39" i="5"/>
  <c r="GB39" i="5"/>
  <c r="GC39" i="5"/>
  <c r="GD39" i="5"/>
  <c r="GE39" i="5"/>
  <c r="DA40" i="5"/>
  <c r="DB40" i="5"/>
  <c r="DC40" i="5"/>
  <c r="DD40" i="5"/>
  <c r="DE40" i="5"/>
  <c r="DF40" i="5"/>
  <c r="DG40" i="5"/>
  <c r="DH40" i="5"/>
  <c r="DI40" i="5"/>
  <c r="DJ40" i="5"/>
  <c r="DK40" i="5"/>
  <c r="DL40" i="5"/>
  <c r="DM40" i="5"/>
  <c r="DN40" i="5"/>
  <c r="DO40" i="5"/>
  <c r="DP40" i="5"/>
  <c r="DQ40" i="5"/>
  <c r="DR40" i="5"/>
  <c r="DS40" i="5"/>
  <c r="DT40" i="5"/>
  <c r="DU40" i="5"/>
  <c r="DV40" i="5"/>
  <c r="DW40" i="5"/>
  <c r="DX40" i="5"/>
  <c r="DY40" i="5"/>
  <c r="DZ40" i="5"/>
  <c r="EA40" i="5"/>
  <c r="EB40" i="5"/>
  <c r="EC40" i="5"/>
  <c r="ED40" i="5"/>
  <c r="EE40" i="5"/>
  <c r="EF40" i="5"/>
  <c r="EG40" i="5"/>
  <c r="EH40" i="5"/>
  <c r="EI40" i="5"/>
  <c r="EJ40" i="5"/>
  <c r="EK40" i="5"/>
  <c r="EL40" i="5"/>
  <c r="EM40" i="5"/>
  <c r="EN40" i="5"/>
  <c r="EO40" i="5"/>
  <c r="EP40" i="5"/>
  <c r="EQ40" i="5"/>
  <c r="ER40" i="5"/>
  <c r="ES40" i="5"/>
  <c r="ET40" i="5"/>
  <c r="EU40" i="5"/>
  <c r="EV40" i="5"/>
  <c r="EW40" i="5"/>
  <c r="EX40" i="5"/>
  <c r="EY40" i="5"/>
  <c r="EZ40" i="5"/>
  <c r="FA40" i="5"/>
  <c r="FB40" i="5"/>
  <c r="FC40" i="5"/>
  <c r="FD40" i="5"/>
  <c r="FE40" i="5"/>
  <c r="FF40" i="5"/>
  <c r="FG40" i="5"/>
  <c r="FH40" i="5"/>
  <c r="FI40" i="5"/>
  <c r="FJ40" i="5"/>
  <c r="FK40" i="5"/>
  <c r="FL40" i="5"/>
  <c r="FM40" i="5"/>
  <c r="FN40" i="5"/>
  <c r="FO40" i="5"/>
  <c r="FP40" i="5"/>
  <c r="FQ40" i="5"/>
  <c r="FR40" i="5"/>
  <c r="FS40" i="5"/>
  <c r="FT40" i="5"/>
  <c r="FU40" i="5"/>
  <c r="FV40" i="5"/>
  <c r="FW40" i="5"/>
  <c r="FX40" i="5"/>
  <c r="FY40" i="5"/>
  <c r="FZ40" i="5"/>
  <c r="GA40" i="5"/>
  <c r="GB40" i="5"/>
  <c r="GC40" i="5"/>
  <c r="GD40" i="5"/>
  <c r="GE40" i="5"/>
  <c r="DA41" i="5"/>
  <c r="DB41" i="5"/>
  <c r="DC41" i="5"/>
  <c r="DD41" i="5"/>
  <c r="DE41" i="5"/>
  <c r="DF41" i="5"/>
  <c r="DG41" i="5"/>
  <c r="DH41" i="5"/>
  <c r="DI41" i="5"/>
  <c r="DJ41" i="5"/>
  <c r="DK41" i="5"/>
  <c r="DL41" i="5"/>
  <c r="DM41" i="5"/>
  <c r="DN41" i="5"/>
  <c r="DO41" i="5"/>
  <c r="DP41" i="5"/>
  <c r="DQ41" i="5"/>
  <c r="DR41" i="5"/>
  <c r="DS41" i="5"/>
  <c r="DT41" i="5"/>
  <c r="DU41" i="5"/>
  <c r="DV41" i="5"/>
  <c r="DW41" i="5"/>
  <c r="DX41" i="5"/>
  <c r="DY41" i="5"/>
  <c r="DZ41" i="5"/>
  <c r="EA41" i="5"/>
  <c r="EB41" i="5"/>
  <c r="EC41" i="5"/>
  <c r="ED41" i="5"/>
  <c r="EE41" i="5"/>
  <c r="EF41" i="5"/>
  <c r="EG41" i="5"/>
  <c r="EH41" i="5"/>
  <c r="EI41" i="5"/>
  <c r="EJ41" i="5"/>
  <c r="EK41" i="5"/>
  <c r="EL41" i="5"/>
  <c r="EM41" i="5"/>
  <c r="EN41" i="5"/>
  <c r="EO41" i="5"/>
  <c r="EP41" i="5"/>
  <c r="EQ41" i="5"/>
  <c r="ER41" i="5"/>
  <c r="ES41" i="5"/>
  <c r="ET41" i="5"/>
  <c r="EU41" i="5"/>
  <c r="EV41" i="5"/>
  <c r="EW41" i="5"/>
  <c r="EX41" i="5"/>
  <c r="EY41" i="5"/>
  <c r="EZ41" i="5"/>
  <c r="FA41" i="5"/>
  <c r="FB41" i="5"/>
  <c r="FC41" i="5"/>
  <c r="FD41" i="5"/>
  <c r="FE41" i="5"/>
  <c r="FF41" i="5"/>
  <c r="FG41" i="5"/>
  <c r="FH41" i="5"/>
  <c r="FI41" i="5"/>
  <c r="FJ41" i="5"/>
  <c r="FK41" i="5"/>
  <c r="FL41" i="5"/>
  <c r="FM41" i="5"/>
  <c r="FN41" i="5"/>
  <c r="FO41" i="5"/>
  <c r="FP41" i="5"/>
  <c r="FQ41" i="5"/>
  <c r="FR41" i="5"/>
  <c r="FS41" i="5"/>
  <c r="FT41" i="5"/>
  <c r="FU41" i="5"/>
  <c r="FV41" i="5"/>
  <c r="FW41" i="5"/>
  <c r="FX41" i="5"/>
  <c r="FY41" i="5"/>
  <c r="FZ41" i="5"/>
  <c r="GA41" i="5"/>
  <c r="GB41" i="5"/>
  <c r="GC41" i="5"/>
  <c r="GD41" i="5"/>
  <c r="GE41" i="5"/>
  <c r="DA42" i="5"/>
  <c r="DB42" i="5"/>
  <c r="DC42" i="5"/>
  <c r="DD42" i="5"/>
  <c r="DE42" i="5"/>
  <c r="DF42" i="5"/>
  <c r="DG42" i="5"/>
  <c r="DH42" i="5"/>
  <c r="DI42" i="5"/>
  <c r="DJ42" i="5"/>
  <c r="DK42" i="5"/>
  <c r="DL42" i="5"/>
  <c r="DM42" i="5"/>
  <c r="DN42" i="5"/>
  <c r="DO42" i="5"/>
  <c r="DP42" i="5"/>
  <c r="DQ42" i="5"/>
  <c r="DR42" i="5"/>
  <c r="DS42" i="5"/>
  <c r="DT42" i="5"/>
  <c r="DU42" i="5"/>
  <c r="DV42" i="5"/>
  <c r="DW42" i="5"/>
  <c r="DX42" i="5"/>
  <c r="DY42" i="5"/>
  <c r="DZ42" i="5"/>
  <c r="EA42" i="5"/>
  <c r="EB42" i="5"/>
  <c r="EC42" i="5"/>
  <c r="ED42" i="5"/>
  <c r="EE42" i="5"/>
  <c r="EF42" i="5"/>
  <c r="EG42" i="5"/>
  <c r="EH42" i="5"/>
  <c r="EI42" i="5"/>
  <c r="EJ42" i="5"/>
  <c r="EK42" i="5"/>
  <c r="EL42" i="5"/>
  <c r="EM42" i="5"/>
  <c r="EN42" i="5"/>
  <c r="EO42" i="5"/>
  <c r="EP42" i="5"/>
  <c r="EQ42" i="5"/>
  <c r="ER42" i="5"/>
  <c r="ES42" i="5"/>
  <c r="ET42" i="5"/>
  <c r="EU42" i="5"/>
  <c r="EV42" i="5"/>
  <c r="EW42" i="5"/>
  <c r="EX42" i="5"/>
  <c r="EY42" i="5"/>
  <c r="EZ42" i="5"/>
  <c r="FA42" i="5"/>
  <c r="FB42" i="5"/>
  <c r="FC42" i="5"/>
  <c r="FD42" i="5"/>
  <c r="FE42" i="5"/>
  <c r="FF42" i="5"/>
  <c r="FG42" i="5"/>
  <c r="FH42" i="5"/>
  <c r="FI42" i="5"/>
  <c r="FJ42" i="5"/>
  <c r="FK42" i="5"/>
  <c r="FL42" i="5"/>
  <c r="FM42" i="5"/>
  <c r="FN42" i="5"/>
  <c r="FO42" i="5"/>
  <c r="FP42" i="5"/>
  <c r="FQ42" i="5"/>
  <c r="FR42" i="5"/>
  <c r="FS42" i="5"/>
  <c r="FT42" i="5"/>
  <c r="FU42" i="5"/>
  <c r="FV42" i="5"/>
  <c r="FW42" i="5"/>
  <c r="FX42" i="5"/>
  <c r="FY42" i="5"/>
  <c r="FZ42" i="5"/>
  <c r="GA42" i="5"/>
  <c r="GB42" i="5"/>
  <c r="GC42" i="5"/>
  <c r="GD42" i="5"/>
  <c r="GE42" i="5"/>
  <c r="DA43" i="5"/>
  <c r="DB43" i="5"/>
  <c r="DC43" i="5"/>
  <c r="DD43" i="5"/>
  <c r="DE43" i="5"/>
  <c r="DF43" i="5"/>
  <c r="DG43" i="5"/>
  <c r="DH43" i="5"/>
  <c r="DI43" i="5"/>
  <c r="DJ43" i="5"/>
  <c r="DK43" i="5"/>
  <c r="DL43" i="5"/>
  <c r="DM43" i="5"/>
  <c r="DN43" i="5"/>
  <c r="DO43" i="5"/>
  <c r="DP43" i="5"/>
  <c r="DQ43" i="5"/>
  <c r="DR43" i="5"/>
  <c r="DS43" i="5"/>
  <c r="DT43" i="5"/>
  <c r="DU43" i="5"/>
  <c r="DV43" i="5"/>
  <c r="DW43" i="5"/>
  <c r="DX43" i="5"/>
  <c r="DY43" i="5"/>
  <c r="DZ43" i="5"/>
  <c r="EA43" i="5"/>
  <c r="EB43" i="5"/>
  <c r="EC43" i="5"/>
  <c r="ED43" i="5"/>
  <c r="EE43" i="5"/>
  <c r="EF43" i="5"/>
  <c r="EG43" i="5"/>
  <c r="EH43" i="5"/>
  <c r="EI43" i="5"/>
  <c r="EJ43" i="5"/>
  <c r="EK43" i="5"/>
  <c r="EL43" i="5"/>
  <c r="EM43" i="5"/>
  <c r="EN43" i="5"/>
  <c r="EO43" i="5"/>
  <c r="EP43" i="5"/>
  <c r="EQ43" i="5"/>
  <c r="ER43" i="5"/>
  <c r="ES43" i="5"/>
  <c r="ET43" i="5"/>
  <c r="EU43" i="5"/>
  <c r="EV43" i="5"/>
  <c r="EW43" i="5"/>
  <c r="EX43" i="5"/>
  <c r="EY43" i="5"/>
  <c r="EZ43" i="5"/>
  <c r="FA43" i="5"/>
  <c r="FB43" i="5"/>
  <c r="FC43" i="5"/>
  <c r="FD43" i="5"/>
  <c r="FE43" i="5"/>
  <c r="FF43" i="5"/>
  <c r="FG43" i="5"/>
  <c r="FH43" i="5"/>
  <c r="FI43" i="5"/>
  <c r="FJ43" i="5"/>
  <c r="FK43" i="5"/>
  <c r="FL43" i="5"/>
  <c r="FM43" i="5"/>
  <c r="FN43" i="5"/>
  <c r="FO43" i="5"/>
  <c r="FP43" i="5"/>
  <c r="FQ43" i="5"/>
  <c r="FR43" i="5"/>
  <c r="FS43" i="5"/>
  <c r="FT43" i="5"/>
  <c r="FU43" i="5"/>
  <c r="FV43" i="5"/>
  <c r="FW43" i="5"/>
  <c r="FX43" i="5"/>
  <c r="FY43" i="5"/>
  <c r="FZ43" i="5"/>
  <c r="GA43" i="5"/>
  <c r="GB43" i="5"/>
  <c r="GC43" i="5"/>
  <c r="GD43" i="5"/>
  <c r="GE43" i="5"/>
  <c r="DA44" i="5"/>
  <c r="DB44" i="5"/>
  <c r="DC44" i="5"/>
  <c r="DD44" i="5"/>
  <c r="DE44" i="5"/>
  <c r="DF44" i="5"/>
  <c r="DG44" i="5"/>
  <c r="DH44" i="5"/>
  <c r="DI44" i="5"/>
  <c r="DJ44" i="5"/>
  <c r="DK44" i="5"/>
  <c r="DL44" i="5"/>
  <c r="DM44" i="5"/>
  <c r="DN44" i="5"/>
  <c r="DO44" i="5"/>
  <c r="DP44" i="5"/>
  <c r="DQ44" i="5"/>
  <c r="DR44" i="5"/>
  <c r="DS44" i="5"/>
  <c r="DT44" i="5"/>
  <c r="DU44" i="5"/>
  <c r="DV44" i="5"/>
  <c r="DW44" i="5"/>
  <c r="DX44" i="5"/>
  <c r="DY44" i="5"/>
  <c r="DZ44" i="5"/>
  <c r="EA44" i="5"/>
  <c r="EB44" i="5"/>
  <c r="EC44" i="5"/>
  <c r="ED44" i="5"/>
  <c r="EE44" i="5"/>
  <c r="EF44" i="5"/>
  <c r="EG44" i="5"/>
  <c r="EH44" i="5"/>
  <c r="EI44" i="5"/>
  <c r="EJ44" i="5"/>
  <c r="EK44" i="5"/>
  <c r="EL44" i="5"/>
  <c r="EM44" i="5"/>
  <c r="EN44" i="5"/>
  <c r="EO44" i="5"/>
  <c r="EP44" i="5"/>
  <c r="EQ44" i="5"/>
  <c r="ER44" i="5"/>
  <c r="ES44" i="5"/>
  <c r="ET44" i="5"/>
  <c r="EU44" i="5"/>
  <c r="EV44" i="5"/>
  <c r="EW44" i="5"/>
  <c r="EX44" i="5"/>
  <c r="EY44" i="5"/>
  <c r="EZ44" i="5"/>
  <c r="FA44" i="5"/>
  <c r="FB44" i="5"/>
  <c r="FC44" i="5"/>
  <c r="FD44" i="5"/>
  <c r="FE44" i="5"/>
  <c r="FF44" i="5"/>
  <c r="FG44" i="5"/>
  <c r="FH44" i="5"/>
  <c r="FI44" i="5"/>
  <c r="FJ44" i="5"/>
  <c r="FK44" i="5"/>
  <c r="FL44" i="5"/>
  <c r="FM44" i="5"/>
  <c r="FN44" i="5"/>
  <c r="FO44" i="5"/>
  <c r="FP44" i="5"/>
  <c r="FQ44" i="5"/>
  <c r="FR44" i="5"/>
  <c r="FS44" i="5"/>
  <c r="FT44" i="5"/>
  <c r="FU44" i="5"/>
  <c r="FV44" i="5"/>
  <c r="FW44" i="5"/>
  <c r="FX44" i="5"/>
  <c r="FY44" i="5"/>
  <c r="FZ44" i="5"/>
  <c r="GA44" i="5"/>
  <c r="GB44" i="5"/>
  <c r="GC44" i="5"/>
  <c r="GD44" i="5"/>
  <c r="GE44" i="5"/>
  <c r="DA45" i="5"/>
  <c r="DB45" i="5"/>
  <c r="DC45" i="5"/>
  <c r="DD45" i="5"/>
  <c r="DE45" i="5"/>
  <c r="DF45" i="5"/>
  <c r="DG45" i="5"/>
  <c r="DH45" i="5"/>
  <c r="DI45" i="5"/>
  <c r="DJ45" i="5"/>
  <c r="DK45" i="5"/>
  <c r="DL45" i="5"/>
  <c r="DM45" i="5"/>
  <c r="DN45" i="5"/>
  <c r="DO45" i="5"/>
  <c r="DP45" i="5"/>
  <c r="DQ45" i="5"/>
  <c r="DR45" i="5"/>
  <c r="DS45" i="5"/>
  <c r="DT45" i="5"/>
  <c r="DU45" i="5"/>
  <c r="DV45" i="5"/>
  <c r="DW45" i="5"/>
  <c r="DX45" i="5"/>
  <c r="DY45" i="5"/>
  <c r="DZ45" i="5"/>
  <c r="EA45" i="5"/>
  <c r="EB45" i="5"/>
  <c r="EC45" i="5"/>
  <c r="ED45" i="5"/>
  <c r="EE45" i="5"/>
  <c r="EF45" i="5"/>
  <c r="EG45" i="5"/>
  <c r="EH45" i="5"/>
  <c r="EI45" i="5"/>
  <c r="EJ45" i="5"/>
  <c r="EK45" i="5"/>
  <c r="EL45" i="5"/>
  <c r="EM45" i="5"/>
  <c r="EN45" i="5"/>
  <c r="EO45" i="5"/>
  <c r="EP45" i="5"/>
  <c r="EQ45" i="5"/>
  <c r="ER45" i="5"/>
  <c r="ES45" i="5"/>
  <c r="ET45" i="5"/>
  <c r="EU45" i="5"/>
  <c r="EV45" i="5"/>
  <c r="EW45" i="5"/>
  <c r="EX45" i="5"/>
  <c r="EY45" i="5"/>
  <c r="EZ45" i="5"/>
  <c r="FA45" i="5"/>
  <c r="FB45" i="5"/>
  <c r="FC45" i="5"/>
  <c r="FD45" i="5"/>
  <c r="FE45" i="5"/>
  <c r="FF45" i="5"/>
  <c r="FG45" i="5"/>
  <c r="FH45" i="5"/>
  <c r="FI45" i="5"/>
  <c r="FJ45" i="5"/>
  <c r="FK45" i="5"/>
  <c r="FL45" i="5"/>
  <c r="FM45" i="5"/>
  <c r="FN45" i="5"/>
  <c r="FO45" i="5"/>
  <c r="FP45" i="5"/>
  <c r="FQ45" i="5"/>
  <c r="FR45" i="5"/>
  <c r="FS45" i="5"/>
  <c r="FT45" i="5"/>
  <c r="FU45" i="5"/>
  <c r="FV45" i="5"/>
  <c r="FW45" i="5"/>
  <c r="FX45" i="5"/>
  <c r="FY45" i="5"/>
  <c r="FZ45" i="5"/>
  <c r="GA45" i="5"/>
  <c r="GB45" i="5"/>
  <c r="GC45" i="5"/>
  <c r="GD45" i="5"/>
  <c r="GE45" i="5"/>
  <c r="DA46" i="5"/>
  <c r="DB46" i="5"/>
  <c r="DC46" i="5"/>
  <c r="DD46" i="5"/>
  <c r="DE46" i="5"/>
  <c r="DF46" i="5"/>
  <c r="DG46" i="5"/>
  <c r="DH46" i="5"/>
  <c r="DI46" i="5"/>
  <c r="DJ46" i="5"/>
  <c r="DK46" i="5"/>
  <c r="DL46" i="5"/>
  <c r="DM46" i="5"/>
  <c r="DN46" i="5"/>
  <c r="DO46" i="5"/>
  <c r="DP46" i="5"/>
  <c r="DQ46" i="5"/>
  <c r="DR46" i="5"/>
  <c r="DS46" i="5"/>
  <c r="DT46" i="5"/>
  <c r="DU46" i="5"/>
  <c r="DV46" i="5"/>
  <c r="DW46" i="5"/>
  <c r="DX46" i="5"/>
  <c r="DY46" i="5"/>
  <c r="DZ46" i="5"/>
  <c r="EA46" i="5"/>
  <c r="EB46" i="5"/>
  <c r="EC46" i="5"/>
  <c r="ED46" i="5"/>
  <c r="EE46" i="5"/>
  <c r="EF46" i="5"/>
  <c r="EG46" i="5"/>
  <c r="EH46" i="5"/>
  <c r="EI46" i="5"/>
  <c r="EJ46" i="5"/>
  <c r="EK46" i="5"/>
  <c r="EL46" i="5"/>
  <c r="EM46" i="5"/>
  <c r="EN46" i="5"/>
  <c r="EO46" i="5"/>
  <c r="EP46" i="5"/>
  <c r="EQ46" i="5"/>
  <c r="ER46" i="5"/>
  <c r="ES46" i="5"/>
  <c r="ET46" i="5"/>
  <c r="EU46" i="5"/>
  <c r="EV46" i="5"/>
  <c r="EW46" i="5"/>
  <c r="EX46" i="5"/>
  <c r="EY46" i="5"/>
  <c r="EZ46" i="5"/>
  <c r="FA46" i="5"/>
  <c r="FB46" i="5"/>
  <c r="FC46" i="5"/>
  <c r="FD46" i="5"/>
  <c r="FE46" i="5"/>
  <c r="FF46" i="5"/>
  <c r="FG46" i="5"/>
  <c r="FH46" i="5"/>
  <c r="FI46" i="5"/>
  <c r="FJ46" i="5"/>
  <c r="FK46" i="5"/>
  <c r="FL46" i="5"/>
  <c r="FM46" i="5"/>
  <c r="FN46" i="5"/>
  <c r="FO46" i="5"/>
  <c r="FP46" i="5"/>
  <c r="FQ46" i="5"/>
  <c r="FR46" i="5"/>
  <c r="FS46" i="5"/>
  <c r="FT46" i="5"/>
  <c r="FU46" i="5"/>
  <c r="FV46" i="5"/>
  <c r="FW46" i="5"/>
  <c r="FX46" i="5"/>
  <c r="FY46" i="5"/>
  <c r="FZ46" i="5"/>
  <c r="GA46" i="5"/>
  <c r="GB46" i="5"/>
  <c r="GC46" i="5"/>
  <c r="GD46" i="5"/>
  <c r="GE46" i="5"/>
  <c r="DA47" i="5"/>
  <c r="DB47" i="5"/>
  <c r="DC47" i="5"/>
  <c r="DD47" i="5"/>
  <c r="DE47" i="5"/>
  <c r="DF47" i="5"/>
  <c r="DG47" i="5"/>
  <c r="DH47" i="5"/>
  <c r="DI47" i="5"/>
  <c r="DJ47" i="5"/>
  <c r="DK47" i="5"/>
  <c r="DL47" i="5"/>
  <c r="DM47" i="5"/>
  <c r="DN47" i="5"/>
  <c r="DO47" i="5"/>
  <c r="DP47" i="5"/>
  <c r="DQ47" i="5"/>
  <c r="DR47" i="5"/>
  <c r="DS47" i="5"/>
  <c r="DT47" i="5"/>
  <c r="DU47" i="5"/>
  <c r="DV47" i="5"/>
  <c r="DW47" i="5"/>
  <c r="DX47" i="5"/>
  <c r="DY47" i="5"/>
  <c r="DZ47" i="5"/>
  <c r="EA47" i="5"/>
  <c r="EB47" i="5"/>
  <c r="EC47" i="5"/>
  <c r="ED47" i="5"/>
  <c r="EE47" i="5"/>
  <c r="EF47" i="5"/>
  <c r="EG47" i="5"/>
  <c r="EH47" i="5"/>
  <c r="EI47" i="5"/>
  <c r="EJ47" i="5"/>
  <c r="EK47" i="5"/>
  <c r="EL47" i="5"/>
  <c r="EM47" i="5"/>
  <c r="EN47" i="5"/>
  <c r="EO47" i="5"/>
  <c r="EP47" i="5"/>
  <c r="EQ47" i="5"/>
  <c r="ER47" i="5"/>
  <c r="ES47" i="5"/>
  <c r="ET47" i="5"/>
  <c r="EU47" i="5"/>
  <c r="EV47" i="5"/>
  <c r="EW47" i="5"/>
  <c r="EX47" i="5"/>
  <c r="EY47" i="5"/>
  <c r="EZ47" i="5"/>
  <c r="FA47" i="5"/>
  <c r="FB47" i="5"/>
  <c r="FC47" i="5"/>
  <c r="FD47" i="5"/>
  <c r="FE47" i="5"/>
  <c r="FF47" i="5"/>
  <c r="FG47" i="5"/>
  <c r="FH47" i="5"/>
  <c r="FI47" i="5"/>
  <c r="FJ47" i="5"/>
  <c r="FK47" i="5"/>
  <c r="FL47" i="5"/>
  <c r="FM47" i="5"/>
  <c r="FN47" i="5"/>
  <c r="FO47" i="5"/>
  <c r="FP47" i="5"/>
  <c r="FQ47" i="5"/>
  <c r="FR47" i="5"/>
  <c r="FS47" i="5"/>
  <c r="FT47" i="5"/>
  <c r="FU47" i="5"/>
  <c r="FV47" i="5"/>
  <c r="FW47" i="5"/>
  <c r="FX47" i="5"/>
  <c r="FY47" i="5"/>
  <c r="FZ47" i="5"/>
  <c r="GA47" i="5"/>
  <c r="GB47" i="5"/>
  <c r="GC47" i="5"/>
  <c r="GD47" i="5"/>
  <c r="GE47" i="5"/>
  <c r="DA48" i="5"/>
  <c r="DB48" i="5"/>
  <c r="DC48" i="5"/>
  <c r="DD48" i="5"/>
  <c r="DE48" i="5"/>
  <c r="DF48" i="5"/>
  <c r="DG48" i="5"/>
  <c r="DH48" i="5"/>
  <c r="DI48" i="5"/>
  <c r="DJ48" i="5"/>
  <c r="DK48" i="5"/>
  <c r="DL48" i="5"/>
  <c r="DM48" i="5"/>
  <c r="DN48" i="5"/>
  <c r="DO48" i="5"/>
  <c r="DP48" i="5"/>
  <c r="DQ48" i="5"/>
  <c r="DR48" i="5"/>
  <c r="DS48" i="5"/>
  <c r="DT48" i="5"/>
  <c r="DU48" i="5"/>
  <c r="DV48" i="5"/>
  <c r="DW48" i="5"/>
  <c r="DX48" i="5"/>
  <c r="DY48" i="5"/>
  <c r="DZ48" i="5"/>
  <c r="EA48" i="5"/>
  <c r="EB48" i="5"/>
  <c r="EC48" i="5"/>
  <c r="ED48" i="5"/>
  <c r="EE48" i="5"/>
  <c r="EF48" i="5"/>
  <c r="EG48" i="5"/>
  <c r="EH48" i="5"/>
  <c r="EI48" i="5"/>
  <c r="EJ48" i="5"/>
  <c r="EK48" i="5"/>
  <c r="EL48" i="5"/>
  <c r="EM48" i="5"/>
  <c r="EN48" i="5"/>
  <c r="EO48" i="5"/>
  <c r="EP48" i="5"/>
  <c r="EQ48" i="5"/>
  <c r="ER48" i="5"/>
  <c r="ES48" i="5"/>
  <c r="ET48" i="5"/>
  <c r="EU48" i="5"/>
  <c r="EV48" i="5"/>
  <c r="EW48" i="5"/>
  <c r="EX48" i="5"/>
  <c r="EY48" i="5"/>
  <c r="EZ48" i="5"/>
  <c r="FA48" i="5"/>
  <c r="FB48" i="5"/>
  <c r="FC48" i="5"/>
  <c r="FD48" i="5"/>
  <c r="FE48" i="5"/>
  <c r="FF48" i="5"/>
  <c r="FG48" i="5"/>
  <c r="FH48" i="5"/>
  <c r="FI48" i="5"/>
  <c r="FJ48" i="5"/>
  <c r="FK48" i="5"/>
  <c r="FL48" i="5"/>
  <c r="FM48" i="5"/>
  <c r="FN48" i="5"/>
  <c r="FO48" i="5"/>
  <c r="FP48" i="5"/>
  <c r="FQ48" i="5"/>
  <c r="FR48" i="5"/>
  <c r="FS48" i="5"/>
  <c r="FT48" i="5"/>
  <c r="FU48" i="5"/>
  <c r="FV48" i="5"/>
  <c r="FW48" i="5"/>
  <c r="FX48" i="5"/>
  <c r="FY48" i="5"/>
  <c r="FZ48" i="5"/>
  <c r="GA48" i="5"/>
  <c r="GB48" i="5"/>
  <c r="GC48" i="5"/>
  <c r="GD48" i="5"/>
  <c r="GE48" i="5"/>
  <c r="DA49" i="5"/>
  <c r="DB49" i="5"/>
  <c r="DC49" i="5"/>
  <c r="DD49" i="5"/>
  <c r="DE49" i="5"/>
  <c r="DF49" i="5"/>
  <c r="DG49" i="5"/>
  <c r="DH49" i="5"/>
  <c r="DI49" i="5"/>
  <c r="DJ49" i="5"/>
  <c r="DK49" i="5"/>
  <c r="DL49" i="5"/>
  <c r="DM49" i="5"/>
  <c r="DN49" i="5"/>
  <c r="DO49" i="5"/>
  <c r="DP49" i="5"/>
  <c r="DQ49" i="5"/>
  <c r="DR49" i="5"/>
  <c r="DS49" i="5"/>
  <c r="DT49" i="5"/>
  <c r="DU49" i="5"/>
  <c r="DV49" i="5"/>
  <c r="DW49" i="5"/>
  <c r="DX49" i="5"/>
  <c r="DY49" i="5"/>
  <c r="DZ49" i="5"/>
  <c r="EA49" i="5"/>
  <c r="EB49" i="5"/>
  <c r="EC49" i="5"/>
  <c r="ED49" i="5"/>
  <c r="EE49" i="5"/>
  <c r="EF49" i="5"/>
  <c r="EG49" i="5"/>
  <c r="EH49" i="5"/>
  <c r="EI49" i="5"/>
  <c r="EJ49" i="5"/>
  <c r="EK49" i="5"/>
  <c r="EL49" i="5"/>
  <c r="EM49" i="5"/>
  <c r="EN49" i="5"/>
  <c r="EO49" i="5"/>
  <c r="EP49" i="5"/>
  <c r="EQ49" i="5"/>
  <c r="ER49" i="5"/>
  <c r="ES49" i="5"/>
  <c r="ET49" i="5"/>
  <c r="EU49" i="5"/>
  <c r="EV49" i="5"/>
  <c r="EW49" i="5"/>
  <c r="EX49" i="5"/>
  <c r="EY49" i="5"/>
  <c r="EZ49" i="5"/>
  <c r="FA49" i="5"/>
  <c r="FB49" i="5"/>
  <c r="FC49" i="5"/>
  <c r="FD49" i="5"/>
  <c r="FE49" i="5"/>
  <c r="FF49" i="5"/>
  <c r="FG49" i="5"/>
  <c r="FH49" i="5"/>
  <c r="FI49" i="5"/>
  <c r="FJ49" i="5"/>
  <c r="FK49" i="5"/>
  <c r="FL49" i="5"/>
  <c r="FM49" i="5"/>
  <c r="FN49" i="5"/>
  <c r="FO49" i="5"/>
  <c r="FP49" i="5"/>
  <c r="FQ49" i="5"/>
  <c r="FR49" i="5"/>
  <c r="FS49" i="5"/>
  <c r="FT49" i="5"/>
  <c r="FU49" i="5"/>
  <c r="FV49" i="5"/>
  <c r="FW49" i="5"/>
  <c r="FX49" i="5"/>
  <c r="FY49" i="5"/>
  <c r="FZ49" i="5"/>
  <c r="GA49" i="5"/>
  <c r="GB49" i="5"/>
  <c r="GC49" i="5"/>
  <c r="GD49" i="5"/>
  <c r="GE49" i="5"/>
  <c r="DA50" i="5"/>
  <c r="DB50" i="5"/>
  <c r="DC50" i="5"/>
  <c r="DD50" i="5"/>
  <c r="DE50" i="5"/>
  <c r="DF50" i="5"/>
  <c r="DG50" i="5"/>
  <c r="DH50" i="5"/>
  <c r="DI50" i="5"/>
  <c r="DJ50" i="5"/>
  <c r="DK50" i="5"/>
  <c r="DL50" i="5"/>
  <c r="DM50" i="5"/>
  <c r="DN50" i="5"/>
  <c r="DO50" i="5"/>
  <c r="DP50" i="5"/>
  <c r="DQ50" i="5"/>
  <c r="DR50" i="5"/>
  <c r="DS50" i="5"/>
  <c r="DT50" i="5"/>
  <c r="DU50" i="5"/>
  <c r="DV50" i="5"/>
  <c r="DW50" i="5"/>
  <c r="DX50" i="5"/>
  <c r="DY50" i="5"/>
  <c r="DZ50" i="5"/>
  <c r="EA50" i="5"/>
  <c r="EB50" i="5"/>
  <c r="EC50" i="5"/>
  <c r="ED50" i="5"/>
  <c r="EE50" i="5"/>
  <c r="EF50" i="5"/>
  <c r="EG50" i="5"/>
  <c r="EH50" i="5"/>
  <c r="EI50" i="5"/>
  <c r="EJ50" i="5"/>
  <c r="EK50" i="5"/>
  <c r="EL50" i="5"/>
  <c r="EM50" i="5"/>
  <c r="EN50" i="5"/>
  <c r="EO50" i="5"/>
  <c r="EP50" i="5"/>
  <c r="EQ50" i="5"/>
  <c r="ER50" i="5"/>
  <c r="ES50" i="5"/>
  <c r="ET50" i="5"/>
  <c r="EU50" i="5"/>
  <c r="EV50" i="5"/>
  <c r="EW50" i="5"/>
  <c r="EX50" i="5"/>
  <c r="EY50" i="5"/>
  <c r="EZ50" i="5"/>
  <c r="FA50" i="5"/>
  <c r="FB50" i="5"/>
  <c r="FC50" i="5"/>
  <c r="FD50" i="5"/>
  <c r="FE50" i="5"/>
  <c r="FF50" i="5"/>
  <c r="FG50" i="5"/>
  <c r="FH50" i="5"/>
  <c r="FI50" i="5"/>
  <c r="FJ50" i="5"/>
  <c r="FK50" i="5"/>
  <c r="FL50" i="5"/>
  <c r="FM50" i="5"/>
  <c r="FN50" i="5"/>
  <c r="FO50" i="5"/>
  <c r="FP50" i="5"/>
  <c r="FQ50" i="5"/>
  <c r="FR50" i="5"/>
  <c r="FS50" i="5"/>
  <c r="FT50" i="5"/>
  <c r="FU50" i="5"/>
  <c r="FV50" i="5"/>
  <c r="FW50" i="5"/>
  <c r="FX50" i="5"/>
  <c r="FY50" i="5"/>
  <c r="FZ50" i="5"/>
  <c r="GA50" i="5"/>
  <c r="GB50" i="5"/>
  <c r="GC50" i="5"/>
  <c r="GD50" i="5"/>
  <c r="GE50" i="5"/>
  <c r="DA51" i="5"/>
  <c r="DB51" i="5"/>
  <c r="DC51" i="5"/>
  <c r="DD51" i="5"/>
  <c r="DE51" i="5"/>
  <c r="DF51" i="5"/>
  <c r="DG51" i="5"/>
  <c r="DH51" i="5"/>
  <c r="DI51" i="5"/>
  <c r="DJ51" i="5"/>
  <c r="DK51" i="5"/>
  <c r="DL51" i="5"/>
  <c r="DM51" i="5"/>
  <c r="DN51" i="5"/>
  <c r="DO51" i="5"/>
  <c r="DP51" i="5"/>
  <c r="DQ51" i="5"/>
  <c r="DR51" i="5"/>
  <c r="DS51" i="5"/>
  <c r="DT51" i="5"/>
  <c r="DU51" i="5"/>
  <c r="DV51" i="5"/>
  <c r="DW51" i="5"/>
  <c r="DX51" i="5"/>
  <c r="DY51" i="5"/>
  <c r="DZ51" i="5"/>
  <c r="EA51" i="5"/>
  <c r="EB51" i="5"/>
  <c r="EC51" i="5"/>
  <c r="ED51" i="5"/>
  <c r="EE51" i="5"/>
  <c r="EF51" i="5"/>
  <c r="EG51" i="5"/>
  <c r="EH51" i="5"/>
  <c r="EI51" i="5"/>
  <c r="EJ51" i="5"/>
  <c r="EK51" i="5"/>
  <c r="EL51" i="5"/>
  <c r="EM51" i="5"/>
  <c r="EN51" i="5"/>
  <c r="EO51" i="5"/>
  <c r="EP51" i="5"/>
  <c r="EQ51" i="5"/>
  <c r="ER51" i="5"/>
  <c r="ES51" i="5"/>
  <c r="ET51" i="5"/>
  <c r="EU51" i="5"/>
  <c r="EV51" i="5"/>
  <c r="EW51" i="5"/>
  <c r="EX51" i="5"/>
  <c r="EY51" i="5"/>
  <c r="EZ51" i="5"/>
  <c r="FA51" i="5"/>
  <c r="FB51" i="5"/>
  <c r="FC51" i="5"/>
  <c r="FD51" i="5"/>
  <c r="FE51" i="5"/>
  <c r="FF51" i="5"/>
  <c r="FG51" i="5"/>
  <c r="FH51" i="5"/>
  <c r="FI51" i="5"/>
  <c r="FJ51" i="5"/>
  <c r="FK51" i="5"/>
  <c r="FL51" i="5"/>
  <c r="FM51" i="5"/>
  <c r="FN51" i="5"/>
  <c r="FO51" i="5"/>
  <c r="FP51" i="5"/>
  <c r="FQ51" i="5"/>
  <c r="FR51" i="5"/>
  <c r="FS51" i="5"/>
  <c r="FT51" i="5"/>
  <c r="FU51" i="5"/>
  <c r="FV51" i="5"/>
  <c r="FW51" i="5"/>
  <c r="FX51" i="5"/>
  <c r="FY51" i="5"/>
  <c r="FZ51" i="5"/>
  <c r="GA51" i="5"/>
  <c r="GB51" i="5"/>
  <c r="GC51" i="5"/>
  <c r="GD51" i="5"/>
  <c r="GE51" i="5"/>
  <c r="DA52" i="5"/>
  <c r="DB52" i="5"/>
  <c r="DC52" i="5"/>
  <c r="DD52" i="5"/>
  <c r="DE52" i="5"/>
  <c r="DF52" i="5"/>
  <c r="DG52" i="5"/>
  <c r="DH52" i="5"/>
  <c r="DI52" i="5"/>
  <c r="DJ52" i="5"/>
  <c r="DK52" i="5"/>
  <c r="DL52" i="5"/>
  <c r="DM52" i="5"/>
  <c r="DN52" i="5"/>
  <c r="DO52" i="5"/>
  <c r="DP52" i="5"/>
  <c r="DQ52" i="5"/>
  <c r="DR52" i="5"/>
  <c r="DS52" i="5"/>
  <c r="DT52" i="5"/>
  <c r="DU52" i="5"/>
  <c r="DV52" i="5"/>
  <c r="DW52" i="5"/>
  <c r="DX52" i="5"/>
  <c r="DY52" i="5"/>
  <c r="DZ52" i="5"/>
  <c r="EA52" i="5"/>
  <c r="EB52" i="5"/>
  <c r="EC52" i="5"/>
  <c r="ED52" i="5"/>
  <c r="EE52" i="5"/>
  <c r="EF52" i="5"/>
  <c r="EG52" i="5"/>
  <c r="EH52" i="5"/>
  <c r="EI52" i="5"/>
  <c r="EJ52" i="5"/>
  <c r="EK52" i="5"/>
  <c r="EL52" i="5"/>
  <c r="EM52" i="5"/>
  <c r="EN52" i="5"/>
  <c r="EO52" i="5"/>
  <c r="EP52" i="5"/>
  <c r="EQ52" i="5"/>
  <c r="ER52" i="5"/>
  <c r="ES52" i="5"/>
  <c r="ET52" i="5"/>
  <c r="EU52" i="5"/>
  <c r="EV52" i="5"/>
  <c r="EW52" i="5"/>
  <c r="EX52" i="5"/>
  <c r="EY52" i="5"/>
  <c r="EZ52" i="5"/>
  <c r="FA52" i="5"/>
  <c r="FB52" i="5"/>
  <c r="FC52" i="5"/>
  <c r="FD52" i="5"/>
  <c r="FE52" i="5"/>
  <c r="FF52" i="5"/>
  <c r="FG52" i="5"/>
  <c r="FH52" i="5"/>
  <c r="FI52" i="5"/>
  <c r="FJ52" i="5"/>
  <c r="FK52" i="5"/>
  <c r="FL52" i="5"/>
  <c r="FM52" i="5"/>
  <c r="FN52" i="5"/>
  <c r="FO52" i="5"/>
  <c r="FP52" i="5"/>
  <c r="FQ52" i="5"/>
  <c r="FR52" i="5"/>
  <c r="FS52" i="5"/>
  <c r="FT52" i="5"/>
  <c r="FU52" i="5"/>
  <c r="FV52" i="5"/>
  <c r="FW52" i="5"/>
  <c r="FX52" i="5"/>
  <c r="FY52" i="5"/>
  <c r="FZ52" i="5"/>
  <c r="GA52" i="5"/>
  <c r="GB52" i="5"/>
  <c r="GC52" i="5"/>
  <c r="GD52" i="5"/>
  <c r="GE52" i="5"/>
  <c r="DA53" i="5"/>
  <c r="DB53" i="5"/>
  <c r="DC53" i="5"/>
  <c r="DD53" i="5"/>
  <c r="DE53" i="5"/>
  <c r="DF53" i="5"/>
  <c r="DG53" i="5"/>
  <c r="DH53" i="5"/>
  <c r="DI53" i="5"/>
  <c r="DJ53" i="5"/>
  <c r="DK53" i="5"/>
  <c r="DL53" i="5"/>
  <c r="DM53" i="5"/>
  <c r="DN53" i="5"/>
  <c r="DO53" i="5"/>
  <c r="DP53" i="5"/>
  <c r="DQ53" i="5"/>
  <c r="DR53" i="5"/>
  <c r="DS53" i="5"/>
  <c r="DT53" i="5"/>
  <c r="DU53" i="5"/>
  <c r="DV53" i="5"/>
  <c r="DW53" i="5"/>
  <c r="DX53" i="5"/>
  <c r="DY53" i="5"/>
  <c r="DZ53" i="5"/>
  <c r="EA53" i="5"/>
  <c r="EB53" i="5"/>
  <c r="EC53" i="5"/>
  <c r="ED53" i="5"/>
  <c r="EE53" i="5"/>
  <c r="EF53" i="5"/>
  <c r="EG53" i="5"/>
  <c r="EH53" i="5"/>
  <c r="EI53" i="5"/>
  <c r="EJ53" i="5"/>
  <c r="EK53" i="5"/>
  <c r="EL53" i="5"/>
  <c r="EM53" i="5"/>
  <c r="EN53" i="5"/>
  <c r="EO53" i="5"/>
  <c r="EP53" i="5"/>
  <c r="EQ53" i="5"/>
  <c r="ER53" i="5"/>
  <c r="ES53" i="5"/>
  <c r="ET53" i="5"/>
  <c r="EU53" i="5"/>
  <c r="EV53" i="5"/>
  <c r="EW53" i="5"/>
  <c r="EX53" i="5"/>
  <c r="EY53" i="5"/>
  <c r="EZ53" i="5"/>
  <c r="FA53" i="5"/>
  <c r="FB53" i="5"/>
  <c r="FC53" i="5"/>
  <c r="FD53" i="5"/>
  <c r="FE53" i="5"/>
  <c r="FF53" i="5"/>
  <c r="FG53" i="5"/>
  <c r="FH53" i="5"/>
  <c r="FI53" i="5"/>
  <c r="FJ53" i="5"/>
  <c r="FK53" i="5"/>
  <c r="FL53" i="5"/>
  <c r="FM53" i="5"/>
  <c r="FN53" i="5"/>
  <c r="FO53" i="5"/>
  <c r="FP53" i="5"/>
  <c r="FQ53" i="5"/>
  <c r="FR53" i="5"/>
  <c r="FS53" i="5"/>
  <c r="FT53" i="5"/>
  <c r="FU53" i="5"/>
  <c r="FV53" i="5"/>
  <c r="FW53" i="5"/>
  <c r="FX53" i="5"/>
  <c r="FY53" i="5"/>
  <c r="FZ53" i="5"/>
  <c r="GA53" i="5"/>
  <c r="GB53" i="5"/>
  <c r="GC53" i="5"/>
  <c r="GD53" i="5"/>
  <c r="GE53" i="5"/>
  <c r="DA54" i="5"/>
  <c r="DB54" i="5"/>
  <c r="DC54" i="5"/>
  <c r="DD54" i="5"/>
  <c r="DE54" i="5"/>
  <c r="DF54" i="5"/>
  <c r="DG54" i="5"/>
  <c r="DH54" i="5"/>
  <c r="DI54" i="5"/>
  <c r="DJ54" i="5"/>
  <c r="DK54" i="5"/>
  <c r="DL54" i="5"/>
  <c r="DM54" i="5"/>
  <c r="DN54" i="5"/>
  <c r="DO54" i="5"/>
  <c r="DP54" i="5"/>
  <c r="DQ54" i="5"/>
  <c r="DR54" i="5"/>
  <c r="DS54" i="5"/>
  <c r="DT54" i="5"/>
  <c r="DU54" i="5"/>
  <c r="DV54" i="5"/>
  <c r="DW54" i="5"/>
  <c r="DX54" i="5"/>
  <c r="DY54" i="5"/>
  <c r="DZ54" i="5"/>
  <c r="EA54" i="5"/>
  <c r="EB54" i="5"/>
  <c r="EC54" i="5"/>
  <c r="ED54" i="5"/>
  <c r="EE54" i="5"/>
  <c r="EF54" i="5"/>
  <c r="EG54" i="5"/>
  <c r="EH54" i="5"/>
  <c r="EI54" i="5"/>
  <c r="EJ54" i="5"/>
  <c r="EK54" i="5"/>
  <c r="EL54" i="5"/>
  <c r="EM54" i="5"/>
  <c r="EN54" i="5"/>
  <c r="EO54" i="5"/>
  <c r="EP54" i="5"/>
  <c r="EQ54" i="5"/>
  <c r="ER54" i="5"/>
  <c r="ES54" i="5"/>
  <c r="ET54" i="5"/>
  <c r="EU54" i="5"/>
  <c r="EV54" i="5"/>
  <c r="EW54" i="5"/>
  <c r="EX54" i="5"/>
  <c r="EY54" i="5"/>
  <c r="EZ54" i="5"/>
  <c r="FA54" i="5"/>
  <c r="FB54" i="5"/>
  <c r="FC54" i="5"/>
  <c r="FD54" i="5"/>
  <c r="FE54" i="5"/>
  <c r="FF54" i="5"/>
  <c r="FG54" i="5"/>
  <c r="FH54" i="5"/>
  <c r="FI54" i="5"/>
  <c r="FJ54" i="5"/>
  <c r="FK54" i="5"/>
  <c r="FL54" i="5"/>
  <c r="FM54" i="5"/>
  <c r="FN54" i="5"/>
  <c r="FO54" i="5"/>
  <c r="FP54" i="5"/>
  <c r="FQ54" i="5"/>
  <c r="FR54" i="5"/>
  <c r="FS54" i="5"/>
  <c r="FT54" i="5"/>
  <c r="FU54" i="5"/>
  <c r="FV54" i="5"/>
  <c r="FW54" i="5"/>
  <c r="FX54" i="5"/>
  <c r="FY54" i="5"/>
  <c r="FZ54" i="5"/>
  <c r="GA54" i="5"/>
  <c r="GB54" i="5"/>
  <c r="GC54" i="5"/>
  <c r="GD54" i="5"/>
  <c r="GE54" i="5"/>
  <c r="DA55" i="5"/>
  <c r="DB55" i="5"/>
  <c r="DC55" i="5"/>
  <c r="DD55" i="5"/>
  <c r="DE55" i="5"/>
  <c r="DF55" i="5"/>
  <c r="DG55" i="5"/>
  <c r="DH55" i="5"/>
  <c r="DI55" i="5"/>
  <c r="DJ55" i="5"/>
  <c r="DK55" i="5"/>
  <c r="DL55" i="5"/>
  <c r="DM55" i="5"/>
  <c r="DN55" i="5"/>
  <c r="DO55" i="5"/>
  <c r="DP55" i="5"/>
  <c r="DQ55" i="5"/>
  <c r="DR55" i="5"/>
  <c r="DS55" i="5"/>
  <c r="DT55" i="5"/>
  <c r="DU55" i="5"/>
  <c r="DV55" i="5"/>
  <c r="DW55" i="5"/>
  <c r="DX55" i="5"/>
  <c r="DY55" i="5"/>
  <c r="DZ55" i="5"/>
  <c r="EA55" i="5"/>
  <c r="EB55" i="5"/>
  <c r="EC55" i="5"/>
  <c r="ED55" i="5"/>
  <c r="EE55" i="5"/>
  <c r="EF55" i="5"/>
  <c r="EG55" i="5"/>
  <c r="EH55" i="5"/>
  <c r="EI55" i="5"/>
  <c r="EJ55" i="5"/>
  <c r="EK55" i="5"/>
  <c r="EL55" i="5"/>
  <c r="EM55" i="5"/>
  <c r="EN55" i="5"/>
  <c r="EO55" i="5"/>
  <c r="EP55" i="5"/>
  <c r="EQ55" i="5"/>
  <c r="ER55" i="5"/>
  <c r="ES55" i="5"/>
  <c r="ET55" i="5"/>
  <c r="EU55" i="5"/>
  <c r="EV55" i="5"/>
  <c r="EW55" i="5"/>
  <c r="EX55" i="5"/>
  <c r="EY55" i="5"/>
  <c r="EZ55" i="5"/>
  <c r="FA55" i="5"/>
  <c r="FB55" i="5"/>
  <c r="FC55" i="5"/>
  <c r="FD55" i="5"/>
  <c r="FE55" i="5"/>
  <c r="FF55" i="5"/>
  <c r="FG55" i="5"/>
  <c r="FH55" i="5"/>
  <c r="FI55" i="5"/>
  <c r="FJ55" i="5"/>
  <c r="FK55" i="5"/>
  <c r="FL55" i="5"/>
  <c r="FM55" i="5"/>
  <c r="FN55" i="5"/>
  <c r="FO55" i="5"/>
  <c r="FP55" i="5"/>
  <c r="FQ55" i="5"/>
  <c r="FR55" i="5"/>
  <c r="FS55" i="5"/>
  <c r="FT55" i="5"/>
  <c r="FU55" i="5"/>
  <c r="FV55" i="5"/>
  <c r="FW55" i="5"/>
  <c r="FX55" i="5"/>
  <c r="FY55" i="5"/>
  <c r="FZ55" i="5"/>
  <c r="GA55" i="5"/>
  <c r="GB55" i="5"/>
  <c r="GC55" i="5"/>
  <c r="GD55" i="5"/>
  <c r="GE55" i="5"/>
  <c r="DA56" i="5"/>
  <c r="DB56" i="5"/>
  <c r="DC56" i="5"/>
  <c r="DD56" i="5"/>
  <c r="DE56" i="5"/>
  <c r="DF56" i="5"/>
  <c r="DG56" i="5"/>
  <c r="DH56" i="5"/>
  <c r="DI56" i="5"/>
  <c r="DJ56" i="5"/>
  <c r="DK56" i="5"/>
  <c r="DL56" i="5"/>
  <c r="DM56" i="5"/>
  <c r="DN56" i="5"/>
  <c r="DO56" i="5"/>
  <c r="DP56" i="5"/>
  <c r="DQ56" i="5"/>
  <c r="DR56" i="5"/>
  <c r="DS56" i="5"/>
  <c r="DT56" i="5"/>
  <c r="DU56" i="5"/>
  <c r="DV56" i="5"/>
  <c r="DW56" i="5"/>
  <c r="DX56" i="5"/>
  <c r="DY56" i="5"/>
  <c r="DZ56" i="5"/>
  <c r="EA56" i="5"/>
  <c r="EB56" i="5"/>
  <c r="EC56" i="5"/>
  <c r="ED56" i="5"/>
  <c r="EE56" i="5"/>
  <c r="EF56" i="5"/>
  <c r="EG56" i="5"/>
  <c r="EH56" i="5"/>
  <c r="EI56" i="5"/>
  <c r="EJ56" i="5"/>
  <c r="EK56" i="5"/>
  <c r="EL56" i="5"/>
  <c r="EM56" i="5"/>
  <c r="EN56" i="5"/>
  <c r="EO56" i="5"/>
  <c r="EP56" i="5"/>
  <c r="EQ56" i="5"/>
  <c r="ER56" i="5"/>
  <c r="ES56" i="5"/>
  <c r="ET56" i="5"/>
  <c r="EU56" i="5"/>
  <c r="EV56" i="5"/>
  <c r="EW56" i="5"/>
  <c r="EX56" i="5"/>
  <c r="EY56" i="5"/>
  <c r="EZ56" i="5"/>
  <c r="FA56" i="5"/>
  <c r="FB56" i="5"/>
  <c r="FC56" i="5"/>
  <c r="FD56" i="5"/>
  <c r="FE56" i="5"/>
  <c r="FF56" i="5"/>
  <c r="FG56" i="5"/>
  <c r="FH56" i="5"/>
  <c r="FI56" i="5"/>
  <c r="FJ56" i="5"/>
  <c r="FK56" i="5"/>
  <c r="FL56" i="5"/>
  <c r="FM56" i="5"/>
  <c r="FN56" i="5"/>
  <c r="FO56" i="5"/>
  <c r="FP56" i="5"/>
  <c r="FQ56" i="5"/>
  <c r="FR56" i="5"/>
  <c r="FS56" i="5"/>
  <c r="FT56" i="5"/>
  <c r="FU56" i="5"/>
  <c r="FV56" i="5"/>
  <c r="FW56" i="5"/>
  <c r="FX56" i="5"/>
  <c r="FY56" i="5"/>
  <c r="FZ56" i="5"/>
  <c r="GA56" i="5"/>
  <c r="GB56" i="5"/>
  <c r="GC56" i="5"/>
  <c r="GD56" i="5"/>
  <c r="GE56" i="5"/>
  <c r="DA57" i="5"/>
  <c r="DB57" i="5"/>
  <c r="DC57" i="5"/>
  <c r="DD57" i="5"/>
  <c r="DE57" i="5"/>
  <c r="DF57" i="5"/>
  <c r="DG57" i="5"/>
  <c r="DH57" i="5"/>
  <c r="DI57" i="5"/>
  <c r="DJ57" i="5"/>
  <c r="DK57" i="5"/>
  <c r="DL57" i="5"/>
  <c r="DM57" i="5"/>
  <c r="DN57" i="5"/>
  <c r="DO57" i="5"/>
  <c r="DP57" i="5"/>
  <c r="DQ57" i="5"/>
  <c r="DR57" i="5"/>
  <c r="DS57" i="5"/>
  <c r="DT57" i="5"/>
  <c r="DU57" i="5"/>
  <c r="DV57" i="5"/>
  <c r="DW57" i="5"/>
  <c r="DX57" i="5"/>
  <c r="DY57" i="5"/>
  <c r="DZ57" i="5"/>
  <c r="EA57" i="5"/>
  <c r="EB57" i="5"/>
  <c r="EC57" i="5"/>
  <c r="ED57" i="5"/>
  <c r="EE57" i="5"/>
  <c r="EF57" i="5"/>
  <c r="EG57" i="5"/>
  <c r="EH57" i="5"/>
  <c r="EI57" i="5"/>
  <c r="EJ57" i="5"/>
  <c r="EK57" i="5"/>
  <c r="EL57" i="5"/>
  <c r="EM57" i="5"/>
  <c r="EN57" i="5"/>
  <c r="EO57" i="5"/>
  <c r="EP57" i="5"/>
  <c r="EQ57" i="5"/>
  <c r="ER57" i="5"/>
  <c r="ES57" i="5"/>
  <c r="ET57" i="5"/>
  <c r="EU57" i="5"/>
  <c r="EV57" i="5"/>
  <c r="EW57" i="5"/>
  <c r="EX57" i="5"/>
  <c r="EY57" i="5"/>
  <c r="EZ57" i="5"/>
  <c r="FA57" i="5"/>
  <c r="FB57" i="5"/>
  <c r="FC57" i="5"/>
  <c r="FD57" i="5"/>
  <c r="FE57" i="5"/>
  <c r="FF57" i="5"/>
  <c r="FG57" i="5"/>
  <c r="FH57" i="5"/>
  <c r="FI57" i="5"/>
  <c r="FJ57" i="5"/>
  <c r="FK57" i="5"/>
  <c r="FL57" i="5"/>
  <c r="FM57" i="5"/>
  <c r="FN57" i="5"/>
  <c r="FO57" i="5"/>
  <c r="FP57" i="5"/>
  <c r="FQ57" i="5"/>
  <c r="FR57" i="5"/>
  <c r="FS57" i="5"/>
  <c r="FT57" i="5"/>
  <c r="FU57" i="5"/>
  <c r="FV57" i="5"/>
  <c r="FW57" i="5"/>
  <c r="FX57" i="5"/>
  <c r="FY57" i="5"/>
  <c r="FZ57" i="5"/>
  <c r="GA57" i="5"/>
  <c r="GB57" i="5"/>
  <c r="GC57" i="5"/>
  <c r="GD57" i="5"/>
  <c r="GE57" i="5"/>
  <c r="DA58" i="5"/>
  <c r="DB58" i="5"/>
  <c r="DC58" i="5"/>
  <c r="DD58" i="5"/>
  <c r="DE58" i="5"/>
  <c r="DF58" i="5"/>
  <c r="DG58" i="5"/>
  <c r="DH58" i="5"/>
  <c r="DI58" i="5"/>
  <c r="DJ58" i="5"/>
  <c r="DK58" i="5"/>
  <c r="DL58" i="5"/>
  <c r="DM58" i="5"/>
  <c r="DN58" i="5"/>
  <c r="DO58" i="5"/>
  <c r="DP58" i="5"/>
  <c r="DQ58" i="5"/>
  <c r="DR58" i="5"/>
  <c r="DS58" i="5"/>
  <c r="DT58" i="5"/>
  <c r="DU58" i="5"/>
  <c r="DV58" i="5"/>
  <c r="DW58" i="5"/>
  <c r="DX58" i="5"/>
  <c r="DY58" i="5"/>
  <c r="DZ58" i="5"/>
  <c r="EA58" i="5"/>
  <c r="EB58" i="5"/>
  <c r="EC58" i="5"/>
  <c r="ED58" i="5"/>
  <c r="EE58" i="5"/>
  <c r="EF58" i="5"/>
  <c r="EG58" i="5"/>
  <c r="EH58" i="5"/>
  <c r="EI58" i="5"/>
  <c r="EJ58" i="5"/>
  <c r="EK58" i="5"/>
  <c r="EL58" i="5"/>
  <c r="EM58" i="5"/>
  <c r="EN58" i="5"/>
  <c r="EO58" i="5"/>
  <c r="EP58" i="5"/>
  <c r="EQ58" i="5"/>
  <c r="ER58" i="5"/>
  <c r="ES58" i="5"/>
  <c r="ET58" i="5"/>
  <c r="EU58" i="5"/>
  <c r="EV58" i="5"/>
  <c r="EW58" i="5"/>
  <c r="EX58" i="5"/>
  <c r="EY58" i="5"/>
  <c r="EZ58" i="5"/>
  <c r="FA58" i="5"/>
  <c r="FB58" i="5"/>
  <c r="FC58" i="5"/>
  <c r="FD58" i="5"/>
  <c r="FE58" i="5"/>
  <c r="FF58" i="5"/>
  <c r="FG58" i="5"/>
  <c r="FH58" i="5"/>
  <c r="FI58" i="5"/>
  <c r="FJ58" i="5"/>
  <c r="FK58" i="5"/>
  <c r="FL58" i="5"/>
  <c r="FM58" i="5"/>
  <c r="FN58" i="5"/>
  <c r="FO58" i="5"/>
  <c r="FP58" i="5"/>
  <c r="FQ58" i="5"/>
  <c r="FR58" i="5"/>
  <c r="FS58" i="5"/>
  <c r="FT58" i="5"/>
  <c r="FU58" i="5"/>
  <c r="FV58" i="5"/>
  <c r="FW58" i="5"/>
  <c r="FX58" i="5"/>
  <c r="FY58" i="5"/>
  <c r="FZ58" i="5"/>
  <c r="GA58" i="5"/>
  <c r="GB58" i="5"/>
  <c r="GC58" i="5"/>
  <c r="GD58" i="5"/>
  <c r="GE58" i="5"/>
  <c r="DA59" i="5"/>
  <c r="DB59" i="5"/>
  <c r="DC59" i="5"/>
  <c r="DD59" i="5"/>
  <c r="DE59" i="5"/>
  <c r="DF59" i="5"/>
  <c r="DG59" i="5"/>
  <c r="DH59" i="5"/>
  <c r="DI59" i="5"/>
  <c r="DJ59" i="5"/>
  <c r="DK59" i="5"/>
  <c r="DL59" i="5"/>
  <c r="DM59" i="5"/>
  <c r="DN59" i="5"/>
  <c r="DO59" i="5"/>
  <c r="DP59" i="5"/>
  <c r="DQ59" i="5"/>
  <c r="DR59" i="5"/>
  <c r="DS59" i="5"/>
  <c r="DT59" i="5"/>
  <c r="DU59" i="5"/>
  <c r="DV59" i="5"/>
  <c r="DW59" i="5"/>
  <c r="DX59" i="5"/>
  <c r="DY59" i="5"/>
  <c r="DZ59" i="5"/>
  <c r="EA59" i="5"/>
  <c r="EB59" i="5"/>
  <c r="EC59" i="5"/>
  <c r="ED59" i="5"/>
  <c r="EE59" i="5"/>
  <c r="EF59" i="5"/>
  <c r="EG59" i="5"/>
  <c r="EH59" i="5"/>
  <c r="EI59" i="5"/>
  <c r="EJ59" i="5"/>
  <c r="EK59" i="5"/>
  <c r="EL59" i="5"/>
  <c r="EM59" i="5"/>
  <c r="EN59" i="5"/>
  <c r="EO59" i="5"/>
  <c r="EP59" i="5"/>
  <c r="EQ59" i="5"/>
  <c r="ER59" i="5"/>
  <c r="ES59" i="5"/>
  <c r="ET59" i="5"/>
  <c r="EU59" i="5"/>
  <c r="EV59" i="5"/>
  <c r="EW59" i="5"/>
  <c r="EX59" i="5"/>
  <c r="EY59" i="5"/>
  <c r="EZ59" i="5"/>
  <c r="FA59" i="5"/>
  <c r="FB59" i="5"/>
  <c r="FC59" i="5"/>
  <c r="FD59" i="5"/>
  <c r="FE59" i="5"/>
  <c r="FF59" i="5"/>
  <c r="FG59" i="5"/>
  <c r="FH59" i="5"/>
  <c r="FI59" i="5"/>
  <c r="FJ59" i="5"/>
  <c r="FK59" i="5"/>
  <c r="FL59" i="5"/>
  <c r="FM59" i="5"/>
  <c r="FN59" i="5"/>
  <c r="FO59" i="5"/>
  <c r="FP59" i="5"/>
  <c r="FQ59" i="5"/>
  <c r="FR59" i="5"/>
  <c r="FS59" i="5"/>
  <c r="FT59" i="5"/>
  <c r="FU59" i="5"/>
  <c r="FV59" i="5"/>
  <c r="FW59" i="5"/>
  <c r="FX59" i="5"/>
  <c r="FY59" i="5"/>
  <c r="FZ59" i="5"/>
  <c r="GA59" i="5"/>
  <c r="GB59" i="5"/>
  <c r="GC59" i="5"/>
  <c r="GD59" i="5"/>
  <c r="GE59" i="5"/>
  <c r="DA60" i="5"/>
  <c r="DB60" i="5"/>
  <c r="DC60" i="5"/>
  <c r="DD60" i="5"/>
  <c r="DE60" i="5"/>
  <c r="DF60" i="5"/>
  <c r="DG60" i="5"/>
  <c r="DH60" i="5"/>
  <c r="DI60" i="5"/>
  <c r="DJ60" i="5"/>
  <c r="DK60" i="5"/>
  <c r="DL60" i="5"/>
  <c r="DM60" i="5"/>
  <c r="DN60" i="5"/>
  <c r="DO60" i="5"/>
  <c r="DP60" i="5"/>
  <c r="DQ60" i="5"/>
  <c r="DR60" i="5"/>
  <c r="DS60" i="5"/>
  <c r="DT60" i="5"/>
  <c r="DU60" i="5"/>
  <c r="DV60" i="5"/>
  <c r="DW60" i="5"/>
  <c r="DX60" i="5"/>
  <c r="DY60" i="5"/>
  <c r="DZ60" i="5"/>
  <c r="EA60" i="5"/>
  <c r="EB60" i="5"/>
  <c r="EC60" i="5"/>
  <c r="ED60" i="5"/>
  <c r="EE60" i="5"/>
  <c r="EF60" i="5"/>
  <c r="EG60" i="5"/>
  <c r="EH60" i="5"/>
  <c r="EI60" i="5"/>
  <c r="EJ60" i="5"/>
  <c r="EK60" i="5"/>
  <c r="EL60" i="5"/>
  <c r="EM60" i="5"/>
  <c r="EN60" i="5"/>
  <c r="EO60" i="5"/>
  <c r="EP60" i="5"/>
  <c r="EQ60" i="5"/>
  <c r="ER60" i="5"/>
  <c r="ES60" i="5"/>
  <c r="ET60" i="5"/>
  <c r="EU60" i="5"/>
  <c r="EV60" i="5"/>
  <c r="EW60" i="5"/>
  <c r="EX60" i="5"/>
  <c r="EY60" i="5"/>
  <c r="EZ60" i="5"/>
  <c r="FA60" i="5"/>
  <c r="FB60" i="5"/>
  <c r="FC60" i="5"/>
  <c r="FD60" i="5"/>
  <c r="FE60" i="5"/>
  <c r="FF60" i="5"/>
  <c r="FG60" i="5"/>
  <c r="FH60" i="5"/>
  <c r="FI60" i="5"/>
  <c r="FJ60" i="5"/>
  <c r="FK60" i="5"/>
  <c r="FL60" i="5"/>
  <c r="FM60" i="5"/>
  <c r="FN60" i="5"/>
  <c r="FO60" i="5"/>
  <c r="FP60" i="5"/>
  <c r="FQ60" i="5"/>
  <c r="FR60" i="5"/>
  <c r="FS60" i="5"/>
  <c r="FT60" i="5"/>
  <c r="FU60" i="5"/>
  <c r="FV60" i="5"/>
  <c r="FW60" i="5"/>
  <c r="FX60" i="5"/>
  <c r="FY60" i="5"/>
  <c r="FZ60" i="5"/>
  <c r="GA60" i="5"/>
  <c r="GB60" i="5"/>
  <c r="GC60" i="5"/>
  <c r="GD60" i="5"/>
  <c r="GE60" i="5"/>
  <c r="DA61" i="5"/>
  <c r="DB61" i="5"/>
  <c r="DC61" i="5"/>
  <c r="DD61" i="5"/>
  <c r="DE61" i="5"/>
  <c r="DF61" i="5"/>
  <c r="DG61" i="5"/>
  <c r="DH61" i="5"/>
  <c r="DI61" i="5"/>
  <c r="DJ61" i="5"/>
  <c r="DK61" i="5"/>
  <c r="DL61" i="5"/>
  <c r="DM61" i="5"/>
  <c r="DN61" i="5"/>
  <c r="DO61" i="5"/>
  <c r="DP61" i="5"/>
  <c r="DQ61" i="5"/>
  <c r="DR61" i="5"/>
  <c r="DS61" i="5"/>
  <c r="DT61" i="5"/>
  <c r="DU61" i="5"/>
  <c r="DV61" i="5"/>
  <c r="DW61" i="5"/>
  <c r="DX61" i="5"/>
  <c r="DY61" i="5"/>
  <c r="DZ61" i="5"/>
  <c r="EA61" i="5"/>
  <c r="EB61" i="5"/>
  <c r="EC61" i="5"/>
  <c r="ED61" i="5"/>
  <c r="EE61" i="5"/>
  <c r="EF61" i="5"/>
  <c r="EG61" i="5"/>
  <c r="EH61" i="5"/>
  <c r="EI61" i="5"/>
  <c r="EJ61" i="5"/>
  <c r="EK61" i="5"/>
  <c r="EL61" i="5"/>
  <c r="EM61" i="5"/>
  <c r="EN61" i="5"/>
  <c r="EO61" i="5"/>
  <c r="EP61" i="5"/>
  <c r="EQ61" i="5"/>
  <c r="ER61" i="5"/>
  <c r="ES61" i="5"/>
  <c r="ET61" i="5"/>
  <c r="EU61" i="5"/>
  <c r="EV61" i="5"/>
  <c r="EW61" i="5"/>
  <c r="EX61" i="5"/>
  <c r="EY61" i="5"/>
  <c r="EZ61" i="5"/>
  <c r="FA61" i="5"/>
  <c r="FB61" i="5"/>
  <c r="FC61" i="5"/>
  <c r="FD61" i="5"/>
  <c r="FE61" i="5"/>
  <c r="FF61" i="5"/>
  <c r="FG61" i="5"/>
  <c r="FH61" i="5"/>
  <c r="FI61" i="5"/>
  <c r="FJ61" i="5"/>
  <c r="FK61" i="5"/>
  <c r="FL61" i="5"/>
  <c r="FM61" i="5"/>
  <c r="FN61" i="5"/>
  <c r="FO61" i="5"/>
  <c r="FP61" i="5"/>
  <c r="FQ61" i="5"/>
  <c r="FR61" i="5"/>
  <c r="FS61" i="5"/>
  <c r="FT61" i="5"/>
  <c r="FU61" i="5"/>
  <c r="FV61" i="5"/>
  <c r="FW61" i="5"/>
  <c r="FX61" i="5"/>
  <c r="FY61" i="5"/>
  <c r="FZ61" i="5"/>
  <c r="GA61" i="5"/>
  <c r="GB61" i="5"/>
  <c r="GC61" i="5"/>
  <c r="GD61" i="5"/>
  <c r="GE61" i="5"/>
  <c r="DA62" i="5"/>
  <c r="DB62" i="5"/>
  <c r="DC62" i="5"/>
  <c r="DD62" i="5"/>
  <c r="DE62" i="5"/>
  <c r="DF62" i="5"/>
  <c r="DG62" i="5"/>
  <c r="DH62" i="5"/>
  <c r="DI62" i="5"/>
  <c r="DJ62" i="5"/>
  <c r="DK62" i="5"/>
  <c r="DL62" i="5"/>
  <c r="DM62" i="5"/>
  <c r="DN62" i="5"/>
  <c r="DO62" i="5"/>
  <c r="DP62" i="5"/>
  <c r="DQ62" i="5"/>
  <c r="DR62" i="5"/>
  <c r="DS62" i="5"/>
  <c r="DT62" i="5"/>
  <c r="DU62" i="5"/>
  <c r="DV62" i="5"/>
  <c r="DW62" i="5"/>
  <c r="DX62" i="5"/>
  <c r="DY62" i="5"/>
  <c r="DZ62" i="5"/>
  <c r="EA62" i="5"/>
  <c r="EB62" i="5"/>
  <c r="EC62" i="5"/>
  <c r="ED62" i="5"/>
  <c r="EE62" i="5"/>
  <c r="EF62" i="5"/>
  <c r="EG62" i="5"/>
  <c r="EH62" i="5"/>
  <c r="EI62" i="5"/>
  <c r="EJ62" i="5"/>
  <c r="EK62" i="5"/>
  <c r="EL62" i="5"/>
  <c r="EM62" i="5"/>
  <c r="EN62" i="5"/>
  <c r="EO62" i="5"/>
  <c r="EP62" i="5"/>
  <c r="EQ62" i="5"/>
  <c r="ER62" i="5"/>
  <c r="ES62" i="5"/>
  <c r="ET62" i="5"/>
  <c r="EU62" i="5"/>
  <c r="EV62" i="5"/>
  <c r="EW62" i="5"/>
  <c r="EX62" i="5"/>
  <c r="EY62" i="5"/>
  <c r="EZ62" i="5"/>
  <c r="FA62" i="5"/>
  <c r="FB62" i="5"/>
  <c r="FC62" i="5"/>
  <c r="FD62" i="5"/>
  <c r="FE62" i="5"/>
  <c r="FF62" i="5"/>
  <c r="FG62" i="5"/>
  <c r="FH62" i="5"/>
  <c r="FI62" i="5"/>
  <c r="FJ62" i="5"/>
  <c r="FK62" i="5"/>
  <c r="FL62" i="5"/>
  <c r="FM62" i="5"/>
  <c r="FN62" i="5"/>
  <c r="FO62" i="5"/>
  <c r="FP62" i="5"/>
  <c r="FQ62" i="5"/>
  <c r="FR62" i="5"/>
  <c r="FS62" i="5"/>
  <c r="FT62" i="5"/>
  <c r="FU62" i="5"/>
  <c r="FV62" i="5"/>
  <c r="FW62" i="5"/>
  <c r="FX62" i="5"/>
  <c r="FY62" i="5"/>
  <c r="FZ62" i="5"/>
  <c r="GA62" i="5"/>
  <c r="GB62" i="5"/>
  <c r="GC62" i="5"/>
  <c r="GD62" i="5"/>
  <c r="GE62" i="5"/>
  <c r="DA63" i="5"/>
  <c r="DB63" i="5"/>
  <c r="DC63" i="5"/>
  <c r="DD63" i="5"/>
  <c r="DE63" i="5"/>
  <c r="DF63" i="5"/>
  <c r="DG63" i="5"/>
  <c r="DH63" i="5"/>
  <c r="DI63" i="5"/>
  <c r="DJ63" i="5"/>
  <c r="DK63" i="5"/>
  <c r="DL63" i="5"/>
  <c r="DM63" i="5"/>
  <c r="DN63" i="5"/>
  <c r="DO63" i="5"/>
  <c r="DP63" i="5"/>
  <c r="DQ63" i="5"/>
  <c r="DR63" i="5"/>
  <c r="DS63" i="5"/>
  <c r="DT63" i="5"/>
  <c r="DU63" i="5"/>
  <c r="DV63" i="5"/>
  <c r="DW63" i="5"/>
  <c r="DX63" i="5"/>
  <c r="DY63" i="5"/>
  <c r="DZ63" i="5"/>
  <c r="EA63" i="5"/>
  <c r="EB63" i="5"/>
  <c r="EC63" i="5"/>
  <c r="ED63" i="5"/>
  <c r="EE63" i="5"/>
  <c r="EF63" i="5"/>
  <c r="EG63" i="5"/>
  <c r="EH63" i="5"/>
  <c r="EI63" i="5"/>
  <c r="EJ63" i="5"/>
  <c r="EK63" i="5"/>
  <c r="EL63" i="5"/>
  <c r="EM63" i="5"/>
  <c r="EN63" i="5"/>
  <c r="EO63" i="5"/>
  <c r="EP63" i="5"/>
  <c r="EQ63" i="5"/>
  <c r="ER63" i="5"/>
  <c r="ES63" i="5"/>
  <c r="ET63" i="5"/>
  <c r="EU63" i="5"/>
  <c r="EV63" i="5"/>
  <c r="EW63" i="5"/>
  <c r="EX63" i="5"/>
  <c r="EY63" i="5"/>
  <c r="EZ63" i="5"/>
  <c r="FA63" i="5"/>
  <c r="FB63" i="5"/>
  <c r="FC63" i="5"/>
  <c r="FD63" i="5"/>
  <c r="FE63" i="5"/>
  <c r="FF63" i="5"/>
  <c r="FG63" i="5"/>
  <c r="FH63" i="5"/>
  <c r="FI63" i="5"/>
  <c r="FJ63" i="5"/>
  <c r="FK63" i="5"/>
  <c r="FL63" i="5"/>
  <c r="FM63" i="5"/>
  <c r="FN63" i="5"/>
  <c r="FO63" i="5"/>
  <c r="FP63" i="5"/>
  <c r="FQ63" i="5"/>
  <c r="FR63" i="5"/>
  <c r="FS63" i="5"/>
  <c r="FT63" i="5"/>
  <c r="FU63" i="5"/>
  <c r="FV63" i="5"/>
  <c r="FW63" i="5"/>
  <c r="FX63" i="5"/>
  <c r="FY63" i="5"/>
  <c r="FZ63" i="5"/>
  <c r="GA63" i="5"/>
  <c r="GB63" i="5"/>
  <c r="GC63" i="5"/>
  <c r="GD63" i="5"/>
  <c r="GE63" i="5"/>
  <c r="DA64" i="5"/>
  <c r="DB64" i="5"/>
  <c r="DC64" i="5"/>
  <c r="DD64" i="5"/>
  <c r="DE64" i="5"/>
  <c r="DF64" i="5"/>
  <c r="DG64" i="5"/>
  <c r="DH64" i="5"/>
  <c r="DI64" i="5"/>
  <c r="DJ64" i="5"/>
  <c r="DK64" i="5"/>
  <c r="DL64" i="5"/>
  <c r="DM64" i="5"/>
  <c r="DN64" i="5"/>
  <c r="DO64" i="5"/>
  <c r="DP64" i="5"/>
  <c r="DQ64" i="5"/>
  <c r="DR64" i="5"/>
  <c r="DS64" i="5"/>
  <c r="DT64" i="5"/>
  <c r="DU64" i="5"/>
  <c r="DV64" i="5"/>
  <c r="DW64" i="5"/>
  <c r="DX64" i="5"/>
  <c r="DY64" i="5"/>
  <c r="DZ64" i="5"/>
  <c r="EA64" i="5"/>
  <c r="EB64" i="5"/>
  <c r="EC64" i="5"/>
  <c r="ED64" i="5"/>
  <c r="EE64" i="5"/>
  <c r="EF64" i="5"/>
  <c r="EG64" i="5"/>
  <c r="EH64" i="5"/>
  <c r="EI64" i="5"/>
  <c r="EJ64" i="5"/>
  <c r="EK64" i="5"/>
  <c r="EL64" i="5"/>
  <c r="EM64" i="5"/>
  <c r="EN64" i="5"/>
  <c r="EO64" i="5"/>
  <c r="EP64" i="5"/>
  <c r="EQ64" i="5"/>
  <c r="ER64" i="5"/>
  <c r="ES64" i="5"/>
  <c r="ET64" i="5"/>
  <c r="EU64" i="5"/>
  <c r="EV64" i="5"/>
  <c r="EW64" i="5"/>
  <c r="EX64" i="5"/>
  <c r="EY64" i="5"/>
  <c r="EZ64" i="5"/>
  <c r="FA64" i="5"/>
  <c r="FB64" i="5"/>
  <c r="FC64" i="5"/>
  <c r="FD64" i="5"/>
  <c r="FE64" i="5"/>
  <c r="FF64" i="5"/>
  <c r="FG64" i="5"/>
  <c r="FH64" i="5"/>
  <c r="FI64" i="5"/>
  <c r="FJ64" i="5"/>
  <c r="FK64" i="5"/>
  <c r="FL64" i="5"/>
  <c r="FM64" i="5"/>
  <c r="FN64" i="5"/>
  <c r="FO64" i="5"/>
  <c r="FP64" i="5"/>
  <c r="FQ64" i="5"/>
  <c r="FR64" i="5"/>
  <c r="FS64" i="5"/>
  <c r="FT64" i="5"/>
  <c r="FU64" i="5"/>
  <c r="FV64" i="5"/>
  <c r="FW64" i="5"/>
  <c r="FX64" i="5"/>
  <c r="FY64" i="5"/>
  <c r="FZ64" i="5"/>
  <c r="GA64" i="5"/>
  <c r="GB64" i="5"/>
  <c r="GC64" i="5"/>
  <c r="GD64" i="5"/>
  <c r="GE64" i="5"/>
  <c r="DA65" i="5"/>
  <c r="DB65" i="5"/>
  <c r="DC65" i="5"/>
  <c r="DD65" i="5"/>
  <c r="DE65" i="5"/>
  <c r="DF65" i="5"/>
  <c r="DG65" i="5"/>
  <c r="DH65" i="5"/>
  <c r="DI65" i="5"/>
  <c r="DJ65" i="5"/>
  <c r="DK65" i="5"/>
  <c r="DL65" i="5"/>
  <c r="DM65" i="5"/>
  <c r="DN65" i="5"/>
  <c r="DO65" i="5"/>
  <c r="DP65" i="5"/>
  <c r="DQ65" i="5"/>
  <c r="DR65" i="5"/>
  <c r="DS65" i="5"/>
  <c r="DT65" i="5"/>
  <c r="DU65" i="5"/>
  <c r="DV65" i="5"/>
  <c r="DW65" i="5"/>
  <c r="DX65" i="5"/>
  <c r="DY65" i="5"/>
  <c r="DZ65" i="5"/>
  <c r="EA65" i="5"/>
  <c r="EB65" i="5"/>
  <c r="EC65" i="5"/>
  <c r="ED65" i="5"/>
  <c r="EE65" i="5"/>
  <c r="EF65" i="5"/>
  <c r="EG65" i="5"/>
  <c r="EH65" i="5"/>
  <c r="EI65" i="5"/>
  <c r="EJ65" i="5"/>
  <c r="EK65" i="5"/>
  <c r="EL65" i="5"/>
  <c r="EM65" i="5"/>
  <c r="EN65" i="5"/>
  <c r="EO65" i="5"/>
  <c r="EP65" i="5"/>
  <c r="EQ65" i="5"/>
  <c r="ER65" i="5"/>
  <c r="ES65" i="5"/>
  <c r="ET65" i="5"/>
  <c r="EU65" i="5"/>
  <c r="EV65" i="5"/>
  <c r="EW65" i="5"/>
  <c r="EX65" i="5"/>
  <c r="EY65" i="5"/>
  <c r="EZ65" i="5"/>
  <c r="FA65" i="5"/>
  <c r="FB65" i="5"/>
  <c r="FC65" i="5"/>
  <c r="FD65" i="5"/>
  <c r="FE65" i="5"/>
  <c r="FF65" i="5"/>
  <c r="FG65" i="5"/>
  <c r="FH65" i="5"/>
  <c r="FI65" i="5"/>
  <c r="FJ65" i="5"/>
  <c r="FK65" i="5"/>
  <c r="FL65" i="5"/>
  <c r="FM65" i="5"/>
  <c r="FN65" i="5"/>
  <c r="FO65" i="5"/>
  <c r="FP65" i="5"/>
  <c r="FQ65" i="5"/>
  <c r="FR65" i="5"/>
  <c r="FS65" i="5"/>
  <c r="FT65" i="5"/>
  <c r="FU65" i="5"/>
  <c r="FV65" i="5"/>
  <c r="FW65" i="5"/>
  <c r="FX65" i="5"/>
  <c r="FY65" i="5"/>
  <c r="FZ65" i="5"/>
  <c r="GA65" i="5"/>
  <c r="GB65" i="5"/>
  <c r="GC65" i="5"/>
  <c r="GD65" i="5"/>
  <c r="GE65" i="5"/>
  <c r="DA66" i="5"/>
  <c r="DB66" i="5"/>
  <c r="DC66" i="5"/>
  <c r="DD66" i="5"/>
  <c r="DE66" i="5"/>
  <c r="DF66" i="5"/>
  <c r="DG66" i="5"/>
  <c r="DH66" i="5"/>
  <c r="DI66" i="5"/>
  <c r="DJ66" i="5"/>
  <c r="DK66" i="5"/>
  <c r="DL66" i="5"/>
  <c r="DM66" i="5"/>
  <c r="DN66" i="5"/>
  <c r="DO66" i="5"/>
  <c r="DP66" i="5"/>
  <c r="DQ66" i="5"/>
  <c r="DR66" i="5"/>
  <c r="DS66" i="5"/>
  <c r="DT66" i="5"/>
  <c r="DU66" i="5"/>
  <c r="DV66" i="5"/>
  <c r="DW66" i="5"/>
  <c r="DX66" i="5"/>
  <c r="DY66" i="5"/>
  <c r="DZ66" i="5"/>
  <c r="EA66" i="5"/>
  <c r="EB66" i="5"/>
  <c r="EC66" i="5"/>
  <c r="ED66" i="5"/>
  <c r="EE66" i="5"/>
  <c r="EF66" i="5"/>
  <c r="EG66" i="5"/>
  <c r="EH66" i="5"/>
  <c r="EI66" i="5"/>
  <c r="EJ66" i="5"/>
  <c r="EK66" i="5"/>
  <c r="EL66" i="5"/>
  <c r="EM66" i="5"/>
  <c r="EN66" i="5"/>
  <c r="EO66" i="5"/>
  <c r="EP66" i="5"/>
  <c r="EQ66" i="5"/>
  <c r="ER66" i="5"/>
  <c r="ES66" i="5"/>
  <c r="ET66" i="5"/>
  <c r="EU66" i="5"/>
  <c r="EV66" i="5"/>
  <c r="EW66" i="5"/>
  <c r="EX66" i="5"/>
  <c r="EY66" i="5"/>
  <c r="EZ66" i="5"/>
  <c r="FA66" i="5"/>
  <c r="FB66" i="5"/>
  <c r="FC66" i="5"/>
  <c r="FD66" i="5"/>
  <c r="FE66" i="5"/>
  <c r="FF66" i="5"/>
  <c r="FG66" i="5"/>
  <c r="FH66" i="5"/>
  <c r="FI66" i="5"/>
  <c r="FJ66" i="5"/>
  <c r="FK66" i="5"/>
  <c r="FL66" i="5"/>
  <c r="FM66" i="5"/>
  <c r="FN66" i="5"/>
  <c r="FO66" i="5"/>
  <c r="FP66" i="5"/>
  <c r="FQ66" i="5"/>
  <c r="FR66" i="5"/>
  <c r="FS66" i="5"/>
  <c r="FT66" i="5"/>
  <c r="FU66" i="5"/>
  <c r="FV66" i="5"/>
  <c r="FW66" i="5"/>
  <c r="FX66" i="5"/>
  <c r="FY66" i="5"/>
  <c r="FZ66" i="5"/>
  <c r="GA66" i="5"/>
  <c r="GB66" i="5"/>
  <c r="GC66" i="5"/>
  <c r="GD66" i="5"/>
  <c r="GE66" i="5"/>
  <c r="DA67" i="5"/>
  <c r="DB67" i="5"/>
  <c r="DC67" i="5"/>
  <c r="DD67" i="5"/>
  <c r="DE67" i="5"/>
  <c r="DF67" i="5"/>
  <c r="DG67" i="5"/>
  <c r="DH67" i="5"/>
  <c r="DI67" i="5"/>
  <c r="DJ67" i="5"/>
  <c r="DK67" i="5"/>
  <c r="DL67" i="5"/>
  <c r="DM67" i="5"/>
  <c r="DN67" i="5"/>
  <c r="DO67" i="5"/>
  <c r="DP67" i="5"/>
  <c r="DQ67" i="5"/>
  <c r="DR67" i="5"/>
  <c r="DS67" i="5"/>
  <c r="DT67" i="5"/>
  <c r="DU67" i="5"/>
  <c r="DV67" i="5"/>
  <c r="DW67" i="5"/>
  <c r="DX67" i="5"/>
  <c r="DY67" i="5"/>
  <c r="DZ67" i="5"/>
  <c r="EA67" i="5"/>
  <c r="EB67" i="5"/>
  <c r="EC67" i="5"/>
  <c r="ED67" i="5"/>
  <c r="EE67" i="5"/>
  <c r="EF67" i="5"/>
  <c r="EG67" i="5"/>
  <c r="EH67" i="5"/>
  <c r="EI67" i="5"/>
  <c r="EJ67" i="5"/>
  <c r="EK67" i="5"/>
  <c r="EL67" i="5"/>
  <c r="EM67" i="5"/>
  <c r="EN67" i="5"/>
  <c r="EO67" i="5"/>
  <c r="EP67" i="5"/>
  <c r="EQ67" i="5"/>
  <c r="ER67" i="5"/>
  <c r="ES67" i="5"/>
  <c r="ET67" i="5"/>
  <c r="EU67" i="5"/>
  <c r="EV67" i="5"/>
  <c r="EW67" i="5"/>
  <c r="EX67" i="5"/>
  <c r="EY67" i="5"/>
  <c r="EZ67" i="5"/>
  <c r="FA67" i="5"/>
  <c r="FB67" i="5"/>
  <c r="FC67" i="5"/>
  <c r="FD67" i="5"/>
  <c r="FE67" i="5"/>
  <c r="FF67" i="5"/>
  <c r="FG67" i="5"/>
  <c r="FH67" i="5"/>
  <c r="FI67" i="5"/>
  <c r="FJ67" i="5"/>
  <c r="FK67" i="5"/>
  <c r="FL67" i="5"/>
  <c r="FM67" i="5"/>
  <c r="FN67" i="5"/>
  <c r="FO67" i="5"/>
  <c r="FP67" i="5"/>
  <c r="FQ67" i="5"/>
  <c r="FR67" i="5"/>
  <c r="FS67" i="5"/>
  <c r="FT67" i="5"/>
  <c r="FU67" i="5"/>
  <c r="FV67" i="5"/>
  <c r="FW67" i="5"/>
  <c r="FX67" i="5"/>
  <c r="FY67" i="5"/>
  <c r="FZ67" i="5"/>
  <c r="GA67" i="5"/>
  <c r="GB67" i="5"/>
  <c r="GC67" i="5"/>
  <c r="GD67" i="5"/>
  <c r="GE67" i="5"/>
  <c r="DA68" i="5"/>
  <c r="DB68" i="5"/>
  <c r="DC68" i="5"/>
  <c r="DD68" i="5"/>
  <c r="DE68" i="5"/>
  <c r="DF68" i="5"/>
  <c r="DG68" i="5"/>
  <c r="DH68" i="5"/>
  <c r="DI68" i="5"/>
  <c r="DJ68" i="5"/>
  <c r="DK68" i="5"/>
  <c r="DL68" i="5"/>
  <c r="DM68" i="5"/>
  <c r="DN68" i="5"/>
  <c r="DO68" i="5"/>
  <c r="DP68" i="5"/>
  <c r="DQ68" i="5"/>
  <c r="DR68" i="5"/>
  <c r="DS68" i="5"/>
  <c r="DT68" i="5"/>
  <c r="DU68" i="5"/>
  <c r="DV68" i="5"/>
  <c r="DW68" i="5"/>
  <c r="DX68" i="5"/>
  <c r="DY68" i="5"/>
  <c r="DZ68" i="5"/>
  <c r="EA68" i="5"/>
  <c r="EB68" i="5"/>
  <c r="EC68" i="5"/>
  <c r="ED68" i="5"/>
  <c r="EE68" i="5"/>
  <c r="EF68" i="5"/>
  <c r="EG68" i="5"/>
  <c r="EH68" i="5"/>
  <c r="EI68" i="5"/>
  <c r="EJ68" i="5"/>
  <c r="EK68" i="5"/>
  <c r="EL68" i="5"/>
  <c r="EM68" i="5"/>
  <c r="EN68" i="5"/>
  <c r="EO68" i="5"/>
  <c r="EP68" i="5"/>
  <c r="EQ68" i="5"/>
  <c r="ER68" i="5"/>
  <c r="ES68" i="5"/>
  <c r="ET68" i="5"/>
  <c r="EU68" i="5"/>
  <c r="EV68" i="5"/>
  <c r="EW68" i="5"/>
  <c r="EX68" i="5"/>
  <c r="EY68" i="5"/>
  <c r="EZ68" i="5"/>
  <c r="FA68" i="5"/>
  <c r="FB68" i="5"/>
  <c r="FC68" i="5"/>
  <c r="FD68" i="5"/>
  <c r="FE68" i="5"/>
  <c r="FF68" i="5"/>
  <c r="FG68" i="5"/>
  <c r="FH68" i="5"/>
  <c r="FI68" i="5"/>
  <c r="FJ68" i="5"/>
  <c r="FK68" i="5"/>
  <c r="FL68" i="5"/>
  <c r="FM68" i="5"/>
  <c r="FN68" i="5"/>
  <c r="FO68" i="5"/>
  <c r="FP68" i="5"/>
  <c r="FQ68" i="5"/>
  <c r="FR68" i="5"/>
  <c r="FS68" i="5"/>
  <c r="FT68" i="5"/>
  <c r="FU68" i="5"/>
  <c r="FV68" i="5"/>
  <c r="FW68" i="5"/>
  <c r="FX68" i="5"/>
  <c r="FY68" i="5"/>
  <c r="FZ68" i="5"/>
  <c r="GA68" i="5"/>
  <c r="GB68" i="5"/>
  <c r="GC68" i="5"/>
  <c r="GD68" i="5"/>
  <c r="GE68" i="5"/>
  <c r="DA69" i="5"/>
  <c r="DB69" i="5"/>
  <c r="DC69" i="5"/>
  <c r="DD69" i="5"/>
  <c r="DE69" i="5"/>
  <c r="DF69" i="5"/>
  <c r="DG69" i="5"/>
  <c r="DH69" i="5"/>
  <c r="DI69" i="5"/>
  <c r="DJ69" i="5"/>
  <c r="DK69" i="5"/>
  <c r="DL69" i="5"/>
  <c r="DM69" i="5"/>
  <c r="DN69" i="5"/>
  <c r="DO69" i="5"/>
  <c r="DP69" i="5"/>
  <c r="DQ69" i="5"/>
  <c r="DR69" i="5"/>
  <c r="DS69" i="5"/>
  <c r="DT69" i="5"/>
  <c r="DU69" i="5"/>
  <c r="DV69" i="5"/>
  <c r="DW69" i="5"/>
  <c r="DX69" i="5"/>
  <c r="DY69" i="5"/>
  <c r="DZ69" i="5"/>
  <c r="EA69" i="5"/>
  <c r="EB69" i="5"/>
  <c r="EC69" i="5"/>
  <c r="ED69" i="5"/>
  <c r="EE69" i="5"/>
  <c r="EF69" i="5"/>
  <c r="EG69" i="5"/>
  <c r="EH69" i="5"/>
  <c r="EI69" i="5"/>
  <c r="EJ69" i="5"/>
  <c r="EK69" i="5"/>
  <c r="EL69" i="5"/>
  <c r="EM69" i="5"/>
  <c r="EN69" i="5"/>
  <c r="EO69" i="5"/>
  <c r="EP69" i="5"/>
  <c r="EQ69" i="5"/>
  <c r="ER69" i="5"/>
  <c r="ES69" i="5"/>
  <c r="ET69" i="5"/>
  <c r="EU69" i="5"/>
  <c r="EV69" i="5"/>
  <c r="EW69" i="5"/>
  <c r="EX69" i="5"/>
  <c r="EY69" i="5"/>
  <c r="EZ69" i="5"/>
  <c r="FA69" i="5"/>
  <c r="FB69" i="5"/>
  <c r="FC69" i="5"/>
  <c r="FD69" i="5"/>
  <c r="FE69" i="5"/>
  <c r="FF69" i="5"/>
  <c r="FG69" i="5"/>
  <c r="FH69" i="5"/>
  <c r="FI69" i="5"/>
  <c r="FJ69" i="5"/>
  <c r="FK69" i="5"/>
  <c r="FL69" i="5"/>
  <c r="FM69" i="5"/>
  <c r="FN69" i="5"/>
  <c r="FO69" i="5"/>
  <c r="FP69" i="5"/>
  <c r="FQ69" i="5"/>
  <c r="FR69" i="5"/>
  <c r="FS69" i="5"/>
  <c r="FT69" i="5"/>
  <c r="FU69" i="5"/>
  <c r="FV69" i="5"/>
  <c r="FW69" i="5"/>
  <c r="FX69" i="5"/>
  <c r="FY69" i="5"/>
  <c r="FZ69" i="5"/>
  <c r="GA69" i="5"/>
  <c r="GB69" i="5"/>
  <c r="GC69" i="5"/>
  <c r="GD69" i="5"/>
  <c r="GE69" i="5"/>
  <c r="DA70" i="5"/>
  <c r="DB70" i="5"/>
  <c r="DC70" i="5"/>
  <c r="DD70" i="5"/>
  <c r="DE70" i="5"/>
  <c r="DF70" i="5"/>
  <c r="DG70" i="5"/>
  <c r="DH70" i="5"/>
  <c r="DI70" i="5"/>
  <c r="DJ70" i="5"/>
  <c r="DK70" i="5"/>
  <c r="DL70" i="5"/>
  <c r="DM70" i="5"/>
  <c r="DN70" i="5"/>
  <c r="DO70" i="5"/>
  <c r="DP70" i="5"/>
  <c r="DQ70" i="5"/>
  <c r="DR70" i="5"/>
  <c r="DS70" i="5"/>
  <c r="DT70" i="5"/>
  <c r="DU70" i="5"/>
  <c r="DV70" i="5"/>
  <c r="DW70" i="5"/>
  <c r="DX70" i="5"/>
  <c r="DY70" i="5"/>
  <c r="DZ70" i="5"/>
  <c r="EA70" i="5"/>
  <c r="EB70" i="5"/>
  <c r="EC70" i="5"/>
  <c r="ED70" i="5"/>
  <c r="EE70" i="5"/>
  <c r="EF70" i="5"/>
  <c r="EG70" i="5"/>
  <c r="EH70" i="5"/>
  <c r="EI70" i="5"/>
  <c r="EJ70" i="5"/>
  <c r="EK70" i="5"/>
  <c r="EL70" i="5"/>
  <c r="EM70" i="5"/>
  <c r="EN70" i="5"/>
  <c r="EO70" i="5"/>
  <c r="EP70" i="5"/>
  <c r="EQ70" i="5"/>
  <c r="ER70" i="5"/>
  <c r="ES70" i="5"/>
  <c r="ET70" i="5"/>
  <c r="EU70" i="5"/>
  <c r="EV70" i="5"/>
  <c r="EW70" i="5"/>
  <c r="EX70" i="5"/>
  <c r="EY70" i="5"/>
  <c r="EZ70" i="5"/>
  <c r="FA70" i="5"/>
  <c r="FB70" i="5"/>
  <c r="FC70" i="5"/>
  <c r="FD70" i="5"/>
  <c r="FE70" i="5"/>
  <c r="FF70" i="5"/>
  <c r="FG70" i="5"/>
  <c r="FH70" i="5"/>
  <c r="FI70" i="5"/>
  <c r="FJ70" i="5"/>
  <c r="FK70" i="5"/>
  <c r="FL70" i="5"/>
  <c r="FM70" i="5"/>
  <c r="FN70" i="5"/>
  <c r="FO70" i="5"/>
  <c r="FP70" i="5"/>
  <c r="FQ70" i="5"/>
  <c r="FR70" i="5"/>
  <c r="FS70" i="5"/>
  <c r="FT70" i="5"/>
  <c r="FU70" i="5"/>
  <c r="FV70" i="5"/>
  <c r="FW70" i="5"/>
  <c r="FX70" i="5"/>
  <c r="FY70" i="5"/>
  <c r="FZ70" i="5"/>
  <c r="GA70" i="5"/>
  <c r="GB70" i="5"/>
  <c r="GC70" i="5"/>
  <c r="GD70" i="5"/>
  <c r="GE70" i="5"/>
  <c r="DA71" i="5"/>
  <c r="DB71" i="5"/>
  <c r="DC71" i="5"/>
  <c r="DD71" i="5"/>
  <c r="DE71" i="5"/>
  <c r="DF71" i="5"/>
  <c r="DG71" i="5"/>
  <c r="DH71" i="5"/>
  <c r="DI71" i="5"/>
  <c r="DJ71" i="5"/>
  <c r="DK71" i="5"/>
  <c r="DL71" i="5"/>
  <c r="DM71" i="5"/>
  <c r="DN71" i="5"/>
  <c r="DO71" i="5"/>
  <c r="DP71" i="5"/>
  <c r="DQ71" i="5"/>
  <c r="DR71" i="5"/>
  <c r="DS71" i="5"/>
  <c r="DT71" i="5"/>
  <c r="DU71" i="5"/>
  <c r="DV71" i="5"/>
  <c r="DW71" i="5"/>
  <c r="DX71" i="5"/>
  <c r="DY71" i="5"/>
  <c r="DZ71" i="5"/>
  <c r="EA71" i="5"/>
  <c r="EB71" i="5"/>
  <c r="EC71" i="5"/>
  <c r="ED71" i="5"/>
  <c r="EE71" i="5"/>
  <c r="EF71" i="5"/>
  <c r="EG71" i="5"/>
  <c r="EH71" i="5"/>
  <c r="EI71" i="5"/>
  <c r="EJ71" i="5"/>
  <c r="EK71" i="5"/>
  <c r="EL71" i="5"/>
  <c r="EM71" i="5"/>
  <c r="EN71" i="5"/>
  <c r="EO71" i="5"/>
  <c r="EP71" i="5"/>
  <c r="EQ71" i="5"/>
  <c r="ER71" i="5"/>
  <c r="ES71" i="5"/>
  <c r="ET71" i="5"/>
  <c r="EU71" i="5"/>
  <c r="EV71" i="5"/>
  <c r="EW71" i="5"/>
  <c r="EX71" i="5"/>
  <c r="EY71" i="5"/>
  <c r="EZ71" i="5"/>
  <c r="FA71" i="5"/>
  <c r="FB71" i="5"/>
  <c r="FC71" i="5"/>
  <c r="FD71" i="5"/>
  <c r="FE71" i="5"/>
  <c r="FF71" i="5"/>
  <c r="FG71" i="5"/>
  <c r="FH71" i="5"/>
  <c r="FI71" i="5"/>
  <c r="FJ71" i="5"/>
  <c r="FK71" i="5"/>
  <c r="FL71" i="5"/>
  <c r="FM71" i="5"/>
  <c r="FN71" i="5"/>
  <c r="FO71" i="5"/>
  <c r="FP71" i="5"/>
  <c r="FQ71" i="5"/>
  <c r="FR71" i="5"/>
  <c r="FS71" i="5"/>
  <c r="FT71" i="5"/>
  <c r="FU71" i="5"/>
  <c r="FV71" i="5"/>
  <c r="FW71" i="5"/>
  <c r="FX71" i="5"/>
  <c r="FY71" i="5"/>
  <c r="FZ71" i="5"/>
  <c r="GA71" i="5"/>
  <c r="GB71" i="5"/>
  <c r="GC71" i="5"/>
  <c r="GD71" i="5"/>
  <c r="GE71" i="5"/>
  <c r="DA72" i="5"/>
  <c r="DB72" i="5"/>
  <c r="DC72" i="5"/>
  <c r="DD72" i="5"/>
  <c r="DE72" i="5"/>
  <c r="DF72" i="5"/>
  <c r="DG72" i="5"/>
  <c r="DH72" i="5"/>
  <c r="DI72" i="5"/>
  <c r="DJ72" i="5"/>
  <c r="DK72" i="5"/>
  <c r="DL72" i="5"/>
  <c r="DM72" i="5"/>
  <c r="DN72" i="5"/>
  <c r="DO72" i="5"/>
  <c r="DP72" i="5"/>
  <c r="DQ72" i="5"/>
  <c r="DR72" i="5"/>
  <c r="DS72" i="5"/>
  <c r="DT72" i="5"/>
  <c r="DU72" i="5"/>
  <c r="DV72" i="5"/>
  <c r="DW72" i="5"/>
  <c r="DX72" i="5"/>
  <c r="DY72" i="5"/>
  <c r="DZ72" i="5"/>
  <c r="EA72" i="5"/>
  <c r="EB72" i="5"/>
  <c r="EC72" i="5"/>
  <c r="ED72" i="5"/>
  <c r="EE72" i="5"/>
  <c r="EF72" i="5"/>
  <c r="EG72" i="5"/>
  <c r="EH72" i="5"/>
  <c r="EI72" i="5"/>
  <c r="EJ72" i="5"/>
  <c r="EK72" i="5"/>
  <c r="EL72" i="5"/>
  <c r="EM72" i="5"/>
  <c r="EN72" i="5"/>
  <c r="EO72" i="5"/>
  <c r="EP72" i="5"/>
  <c r="EQ72" i="5"/>
  <c r="ER72" i="5"/>
  <c r="ES72" i="5"/>
  <c r="ET72" i="5"/>
  <c r="EU72" i="5"/>
  <c r="EV72" i="5"/>
  <c r="EW72" i="5"/>
  <c r="EX72" i="5"/>
  <c r="EY72" i="5"/>
  <c r="EZ72" i="5"/>
  <c r="FA72" i="5"/>
  <c r="FB72" i="5"/>
  <c r="FC72" i="5"/>
  <c r="FD72" i="5"/>
  <c r="FE72" i="5"/>
  <c r="FF72" i="5"/>
  <c r="FG72" i="5"/>
  <c r="FH72" i="5"/>
  <c r="FI72" i="5"/>
  <c r="FJ72" i="5"/>
  <c r="FK72" i="5"/>
  <c r="FL72" i="5"/>
  <c r="FM72" i="5"/>
  <c r="FN72" i="5"/>
  <c r="FO72" i="5"/>
  <c r="FP72" i="5"/>
  <c r="FQ72" i="5"/>
  <c r="FR72" i="5"/>
  <c r="FS72" i="5"/>
  <c r="FT72" i="5"/>
  <c r="FU72" i="5"/>
  <c r="FV72" i="5"/>
  <c r="FW72" i="5"/>
  <c r="FX72" i="5"/>
  <c r="FY72" i="5"/>
  <c r="FZ72" i="5"/>
  <c r="GA72" i="5"/>
  <c r="GB72" i="5"/>
  <c r="GC72" i="5"/>
  <c r="GD72" i="5"/>
  <c r="GE72" i="5"/>
  <c r="DA73" i="5"/>
  <c r="DB73" i="5"/>
  <c r="DC73" i="5"/>
  <c r="DD73" i="5"/>
  <c r="DE73" i="5"/>
  <c r="DF73" i="5"/>
  <c r="DG73" i="5"/>
  <c r="DH73" i="5"/>
  <c r="DI73" i="5"/>
  <c r="DJ73" i="5"/>
  <c r="DK73" i="5"/>
  <c r="DL73" i="5"/>
  <c r="DM73" i="5"/>
  <c r="DN73" i="5"/>
  <c r="DO73" i="5"/>
  <c r="DP73" i="5"/>
  <c r="DQ73" i="5"/>
  <c r="DR73" i="5"/>
  <c r="DS73" i="5"/>
  <c r="DT73" i="5"/>
  <c r="DU73" i="5"/>
  <c r="DV73" i="5"/>
  <c r="DW73" i="5"/>
  <c r="DX73" i="5"/>
  <c r="DY73" i="5"/>
  <c r="DZ73" i="5"/>
  <c r="EA73" i="5"/>
  <c r="EB73" i="5"/>
  <c r="EC73" i="5"/>
  <c r="ED73" i="5"/>
  <c r="EE73" i="5"/>
  <c r="EF73" i="5"/>
  <c r="EG73" i="5"/>
  <c r="EH73" i="5"/>
  <c r="EI73" i="5"/>
  <c r="EJ73" i="5"/>
  <c r="EK73" i="5"/>
  <c r="EL73" i="5"/>
  <c r="EM73" i="5"/>
  <c r="EN73" i="5"/>
  <c r="EO73" i="5"/>
  <c r="EP73" i="5"/>
  <c r="EQ73" i="5"/>
  <c r="ER73" i="5"/>
  <c r="ES73" i="5"/>
  <c r="ET73" i="5"/>
  <c r="EU73" i="5"/>
  <c r="EV73" i="5"/>
  <c r="EW73" i="5"/>
  <c r="EX73" i="5"/>
  <c r="EY73" i="5"/>
  <c r="EZ73" i="5"/>
  <c r="FA73" i="5"/>
  <c r="FB73" i="5"/>
  <c r="FC73" i="5"/>
  <c r="FD73" i="5"/>
  <c r="FE73" i="5"/>
  <c r="FF73" i="5"/>
  <c r="FG73" i="5"/>
  <c r="FH73" i="5"/>
  <c r="FI73" i="5"/>
  <c r="FJ73" i="5"/>
  <c r="FK73" i="5"/>
  <c r="FL73" i="5"/>
  <c r="FM73" i="5"/>
  <c r="FN73" i="5"/>
  <c r="FO73" i="5"/>
  <c r="FP73" i="5"/>
  <c r="FQ73" i="5"/>
  <c r="FR73" i="5"/>
  <c r="FS73" i="5"/>
  <c r="FT73" i="5"/>
  <c r="FU73" i="5"/>
  <c r="FV73" i="5"/>
  <c r="FW73" i="5"/>
  <c r="FX73" i="5"/>
  <c r="FY73" i="5"/>
  <c r="FZ73" i="5"/>
  <c r="GA73" i="5"/>
  <c r="GB73" i="5"/>
  <c r="GC73" i="5"/>
  <c r="GD73" i="5"/>
  <c r="GE73" i="5"/>
  <c r="DA74" i="5"/>
  <c r="DB74" i="5"/>
  <c r="DC74" i="5"/>
  <c r="DD74" i="5"/>
  <c r="DE74" i="5"/>
  <c r="DF74" i="5"/>
  <c r="DG74" i="5"/>
  <c r="DH74" i="5"/>
  <c r="DI74" i="5"/>
  <c r="DJ74" i="5"/>
  <c r="DK74" i="5"/>
  <c r="DL74" i="5"/>
  <c r="DM74" i="5"/>
  <c r="DN74" i="5"/>
  <c r="DO74" i="5"/>
  <c r="DP74" i="5"/>
  <c r="DQ74" i="5"/>
  <c r="DR74" i="5"/>
  <c r="DS74" i="5"/>
  <c r="DT74" i="5"/>
  <c r="DU74" i="5"/>
  <c r="DV74" i="5"/>
  <c r="DW74" i="5"/>
  <c r="DX74" i="5"/>
  <c r="DY74" i="5"/>
  <c r="DZ74" i="5"/>
  <c r="EA74" i="5"/>
  <c r="EB74" i="5"/>
  <c r="EC74" i="5"/>
  <c r="ED74" i="5"/>
  <c r="EE74" i="5"/>
  <c r="EF74" i="5"/>
  <c r="EG74" i="5"/>
  <c r="EH74" i="5"/>
  <c r="EI74" i="5"/>
  <c r="EJ74" i="5"/>
  <c r="EK74" i="5"/>
  <c r="EL74" i="5"/>
  <c r="EM74" i="5"/>
  <c r="EN74" i="5"/>
  <c r="EO74" i="5"/>
  <c r="EP74" i="5"/>
  <c r="EQ74" i="5"/>
  <c r="ER74" i="5"/>
  <c r="ES74" i="5"/>
  <c r="ET74" i="5"/>
  <c r="EU74" i="5"/>
  <c r="EV74" i="5"/>
  <c r="EW74" i="5"/>
  <c r="EX74" i="5"/>
  <c r="EY74" i="5"/>
  <c r="EZ74" i="5"/>
  <c r="FA74" i="5"/>
  <c r="FB74" i="5"/>
  <c r="FC74" i="5"/>
  <c r="FD74" i="5"/>
  <c r="FE74" i="5"/>
  <c r="FF74" i="5"/>
  <c r="FG74" i="5"/>
  <c r="FH74" i="5"/>
  <c r="FI74" i="5"/>
  <c r="FJ74" i="5"/>
  <c r="FK74" i="5"/>
  <c r="FL74" i="5"/>
  <c r="FM74" i="5"/>
  <c r="FN74" i="5"/>
  <c r="FO74" i="5"/>
  <c r="FP74" i="5"/>
  <c r="FQ74" i="5"/>
  <c r="FR74" i="5"/>
  <c r="FS74" i="5"/>
  <c r="FT74" i="5"/>
  <c r="FU74" i="5"/>
  <c r="FV74" i="5"/>
  <c r="FW74" i="5"/>
  <c r="FX74" i="5"/>
  <c r="FY74" i="5"/>
  <c r="FZ74" i="5"/>
  <c r="GA74" i="5"/>
  <c r="GB74" i="5"/>
  <c r="GC74" i="5"/>
  <c r="GD74" i="5"/>
  <c r="GE74" i="5"/>
  <c r="DA75" i="5"/>
  <c r="DB75" i="5"/>
  <c r="DC75" i="5"/>
  <c r="DD75" i="5"/>
  <c r="DE75" i="5"/>
  <c r="DF75" i="5"/>
  <c r="DG75" i="5"/>
  <c r="DH75" i="5"/>
  <c r="DI75" i="5"/>
  <c r="DJ75" i="5"/>
  <c r="DK75" i="5"/>
  <c r="DL75" i="5"/>
  <c r="DM75" i="5"/>
  <c r="DN75" i="5"/>
  <c r="DO75" i="5"/>
  <c r="DP75" i="5"/>
  <c r="DQ75" i="5"/>
  <c r="DR75" i="5"/>
  <c r="DS75" i="5"/>
  <c r="DT75" i="5"/>
  <c r="DU75" i="5"/>
  <c r="DV75" i="5"/>
  <c r="DW75" i="5"/>
  <c r="DX75" i="5"/>
  <c r="DY75" i="5"/>
  <c r="DZ75" i="5"/>
  <c r="EA75" i="5"/>
  <c r="EB75" i="5"/>
  <c r="EC75" i="5"/>
  <c r="ED75" i="5"/>
  <c r="EE75" i="5"/>
  <c r="EF75" i="5"/>
  <c r="EG75" i="5"/>
  <c r="EH75" i="5"/>
  <c r="EI75" i="5"/>
  <c r="EJ75" i="5"/>
  <c r="EK75" i="5"/>
  <c r="EL75" i="5"/>
  <c r="EM75" i="5"/>
  <c r="EN75" i="5"/>
  <c r="EO75" i="5"/>
  <c r="EP75" i="5"/>
  <c r="EQ75" i="5"/>
  <c r="ER75" i="5"/>
  <c r="ES75" i="5"/>
  <c r="ET75" i="5"/>
  <c r="EU75" i="5"/>
  <c r="EV75" i="5"/>
  <c r="EW75" i="5"/>
  <c r="EX75" i="5"/>
  <c r="EY75" i="5"/>
  <c r="EZ75" i="5"/>
  <c r="FA75" i="5"/>
  <c r="FB75" i="5"/>
  <c r="FC75" i="5"/>
  <c r="FD75" i="5"/>
  <c r="FE75" i="5"/>
  <c r="FF75" i="5"/>
  <c r="FG75" i="5"/>
  <c r="FH75" i="5"/>
  <c r="FI75" i="5"/>
  <c r="FJ75" i="5"/>
  <c r="FK75" i="5"/>
  <c r="FL75" i="5"/>
  <c r="FM75" i="5"/>
  <c r="FN75" i="5"/>
  <c r="FO75" i="5"/>
  <c r="FP75" i="5"/>
  <c r="FQ75" i="5"/>
  <c r="FR75" i="5"/>
  <c r="FS75" i="5"/>
  <c r="FT75" i="5"/>
  <c r="FU75" i="5"/>
  <c r="FV75" i="5"/>
  <c r="FW75" i="5"/>
  <c r="FX75" i="5"/>
  <c r="FY75" i="5"/>
  <c r="FZ75" i="5"/>
  <c r="GA75" i="5"/>
  <c r="GB75" i="5"/>
  <c r="GC75" i="5"/>
  <c r="GD75" i="5"/>
  <c r="GE75" i="5"/>
  <c r="DA76" i="5"/>
  <c r="DB76" i="5"/>
  <c r="DC76" i="5"/>
  <c r="DD76" i="5"/>
  <c r="DE76" i="5"/>
  <c r="DF76" i="5"/>
  <c r="DG76" i="5"/>
  <c r="DH76" i="5"/>
  <c r="DI76" i="5"/>
  <c r="DJ76" i="5"/>
  <c r="DK76" i="5"/>
  <c r="DL76" i="5"/>
  <c r="DM76" i="5"/>
  <c r="DN76" i="5"/>
  <c r="DO76" i="5"/>
  <c r="DP76" i="5"/>
  <c r="DQ76" i="5"/>
  <c r="DR76" i="5"/>
  <c r="DS76" i="5"/>
  <c r="DT76" i="5"/>
  <c r="DU76" i="5"/>
  <c r="DV76" i="5"/>
  <c r="DW76" i="5"/>
  <c r="DX76" i="5"/>
  <c r="DY76" i="5"/>
  <c r="DZ76" i="5"/>
  <c r="EA76" i="5"/>
  <c r="EB76" i="5"/>
  <c r="EC76" i="5"/>
  <c r="ED76" i="5"/>
  <c r="EE76" i="5"/>
  <c r="EF76" i="5"/>
  <c r="EG76" i="5"/>
  <c r="EH76" i="5"/>
  <c r="EI76" i="5"/>
  <c r="EJ76" i="5"/>
  <c r="EK76" i="5"/>
  <c r="EL76" i="5"/>
  <c r="EM76" i="5"/>
  <c r="EN76" i="5"/>
  <c r="EO76" i="5"/>
  <c r="EP76" i="5"/>
  <c r="EQ76" i="5"/>
  <c r="ER76" i="5"/>
  <c r="ES76" i="5"/>
  <c r="ET76" i="5"/>
  <c r="EU76" i="5"/>
  <c r="EV76" i="5"/>
  <c r="EW76" i="5"/>
  <c r="EX76" i="5"/>
  <c r="EY76" i="5"/>
  <c r="EZ76" i="5"/>
  <c r="FA76" i="5"/>
  <c r="FB76" i="5"/>
  <c r="FC76" i="5"/>
  <c r="FD76" i="5"/>
  <c r="FE76" i="5"/>
  <c r="FF76" i="5"/>
  <c r="FG76" i="5"/>
  <c r="FH76" i="5"/>
  <c r="FI76" i="5"/>
  <c r="FJ76" i="5"/>
  <c r="FK76" i="5"/>
  <c r="FL76" i="5"/>
  <c r="FM76" i="5"/>
  <c r="FN76" i="5"/>
  <c r="FO76" i="5"/>
  <c r="FP76" i="5"/>
  <c r="FQ76" i="5"/>
  <c r="FR76" i="5"/>
  <c r="FS76" i="5"/>
  <c r="FT76" i="5"/>
  <c r="FU76" i="5"/>
  <c r="FV76" i="5"/>
  <c r="FW76" i="5"/>
  <c r="FX76" i="5"/>
  <c r="FY76" i="5"/>
  <c r="FZ76" i="5"/>
  <c r="GA76" i="5"/>
  <c r="GB76" i="5"/>
  <c r="GC76" i="5"/>
  <c r="GD76" i="5"/>
  <c r="GE76" i="5"/>
  <c r="DA77" i="5"/>
  <c r="DB77" i="5"/>
  <c r="DC77" i="5"/>
  <c r="DD77" i="5"/>
  <c r="DE77" i="5"/>
  <c r="DF77" i="5"/>
  <c r="DG77" i="5"/>
  <c r="DH77" i="5"/>
  <c r="DI77" i="5"/>
  <c r="DJ77" i="5"/>
  <c r="DK77" i="5"/>
  <c r="DL77" i="5"/>
  <c r="DM77" i="5"/>
  <c r="DN77" i="5"/>
  <c r="DO77" i="5"/>
  <c r="DP77" i="5"/>
  <c r="DQ77" i="5"/>
  <c r="DR77" i="5"/>
  <c r="DS77" i="5"/>
  <c r="DT77" i="5"/>
  <c r="DU77" i="5"/>
  <c r="DV77" i="5"/>
  <c r="DW77" i="5"/>
  <c r="DX77" i="5"/>
  <c r="DY77" i="5"/>
  <c r="DZ77" i="5"/>
  <c r="EA77" i="5"/>
  <c r="EB77" i="5"/>
  <c r="EC77" i="5"/>
  <c r="ED77" i="5"/>
  <c r="EE77" i="5"/>
  <c r="EF77" i="5"/>
  <c r="EG77" i="5"/>
  <c r="EH77" i="5"/>
  <c r="EI77" i="5"/>
  <c r="EJ77" i="5"/>
  <c r="EK77" i="5"/>
  <c r="EL77" i="5"/>
  <c r="EM77" i="5"/>
  <c r="EN77" i="5"/>
  <c r="EO77" i="5"/>
  <c r="EP77" i="5"/>
  <c r="EQ77" i="5"/>
  <c r="ER77" i="5"/>
  <c r="ES77" i="5"/>
  <c r="ET77" i="5"/>
  <c r="EU77" i="5"/>
  <c r="EV77" i="5"/>
  <c r="EW77" i="5"/>
  <c r="EX77" i="5"/>
  <c r="EY77" i="5"/>
  <c r="EZ77" i="5"/>
  <c r="FA77" i="5"/>
  <c r="FB77" i="5"/>
  <c r="FC77" i="5"/>
  <c r="FD77" i="5"/>
  <c r="FE77" i="5"/>
  <c r="FF77" i="5"/>
  <c r="FG77" i="5"/>
  <c r="FH77" i="5"/>
  <c r="FI77" i="5"/>
  <c r="FJ77" i="5"/>
  <c r="FK77" i="5"/>
  <c r="FL77" i="5"/>
  <c r="FM77" i="5"/>
  <c r="FN77" i="5"/>
  <c r="FO77" i="5"/>
  <c r="FP77" i="5"/>
  <c r="FQ77" i="5"/>
  <c r="FR77" i="5"/>
  <c r="FS77" i="5"/>
  <c r="FT77" i="5"/>
  <c r="FU77" i="5"/>
  <c r="FV77" i="5"/>
  <c r="FW77" i="5"/>
  <c r="FX77" i="5"/>
  <c r="FY77" i="5"/>
  <c r="FZ77" i="5"/>
  <c r="GA77" i="5"/>
  <c r="GB77" i="5"/>
  <c r="GC77" i="5"/>
  <c r="GD77" i="5"/>
  <c r="GE77" i="5"/>
  <c r="DA78" i="5"/>
  <c r="DB78" i="5"/>
  <c r="DC78" i="5"/>
  <c r="DD78" i="5"/>
  <c r="DE78" i="5"/>
  <c r="DF78" i="5"/>
  <c r="DG78" i="5"/>
  <c r="DH78" i="5"/>
  <c r="DI78" i="5"/>
  <c r="DJ78" i="5"/>
  <c r="DK78" i="5"/>
  <c r="DL78" i="5"/>
  <c r="DM78" i="5"/>
  <c r="DN78" i="5"/>
  <c r="DO78" i="5"/>
  <c r="DP78" i="5"/>
  <c r="DQ78" i="5"/>
  <c r="DR78" i="5"/>
  <c r="DS78" i="5"/>
  <c r="DT78" i="5"/>
  <c r="DU78" i="5"/>
  <c r="DV78" i="5"/>
  <c r="DW78" i="5"/>
  <c r="DX78" i="5"/>
  <c r="DY78" i="5"/>
  <c r="DZ78" i="5"/>
  <c r="EA78" i="5"/>
  <c r="EB78" i="5"/>
  <c r="EC78" i="5"/>
  <c r="ED78" i="5"/>
  <c r="EE78" i="5"/>
  <c r="EF78" i="5"/>
  <c r="EG78" i="5"/>
  <c r="EH78" i="5"/>
  <c r="EI78" i="5"/>
  <c r="EJ78" i="5"/>
  <c r="EK78" i="5"/>
  <c r="EL78" i="5"/>
  <c r="EM78" i="5"/>
  <c r="EN78" i="5"/>
  <c r="EO78" i="5"/>
  <c r="EP78" i="5"/>
  <c r="EQ78" i="5"/>
  <c r="ER78" i="5"/>
  <c r="ES78" i="5"/>
  <c r="ET78" i="5"/>
  <c r="EU78" i="5"/>
  <c r="EV78" i="5"/>
  <c r="EW78" i="5"/>
  <c r="EX78" i="5"/>
  <c r="EY78" i="5"/>
  <c r="EZ78" i="5"/>
  <c r="FA78" i="5"/>
  <c r="FB78" i="5"/>
  <c r="FC78" i="5"/>
  <c r="FD78" i="5"/>
  <c r="FE78" i="5"/>
  <c r="FF78" i="5"/>
  <c r="FG78" i="5"/>
  <c r="FH78" i="5"/>
  <c r="FI78" i="5"/>
  <c r="FJ78" i="5"/>
  <c r="FK78" i="5"/>
  <c r="FL78" i="5"/>
  <c r="FM78" i="5"/>
  <c r="FN78" i="5"/>
  <c r="FO78" i="5"/>
  <c r="FP78" i="5"/>
  <c r="FQ78" i="5"/>
  <c r="FR78" i="5"/>
  <c r="FS78" i="5"/>
  <c r="FT78" i="5"/>
  <c r="FU78" i="5"/>
  <c r="FV78" i="5"/>
  <c r="FW78" i="5"/>
  <c r="FX78" i="5"/>
  <c r="FY78" i="5"/>
  <c r="FZ78" i="5"/>
  <c r="GA78" i="5"/>
  <c r="GB78" i="5"/>
  <c r="GC78" i="5"/>
  <c r="GD78" i="5"/>
  <c r="GE78" i="5"/>
  <c r="DA79" i="5"/>
  <c r="DB79" i="5"/>
  <c r="DC79" i="5"/>
  <c r="DD79" i="5"/>
  <c r="DE79" i="5"/>
  <c r="DF79" i="5"/>
  <c r="DG79" i="5"/>
  <c r="DH79" i="5"/>
  <c r="DI79" i="5"/>
  <c r="DJ79" i="5"/>
  <c r="DK79" i="5"/>
  <c r="DL79" i="5"/>
  <c r="DM79" i="5"/>
  <c r="DN79" i="5"/>
  <c r="DO79" i="5"/>
  <c r="DP79" i="5"/>
  <c r="DQ79" i="5"/>
  <c r="DR79" i="5"/>
  <c r="DS79" i="5"/>
  <c r="DT79" i="5"/>
  <c r="DU79" i="5"/>
  <c r="DV79" i="5"/>
  <c r="DW79" i="5"/>
  <c r="DX79" i="5"/>
  <c r="DY79" i="5"/>
  <c r="DZ79" i="5"/>
  <c r="EA79" i="5"/>
  <c r="EB79" i="5"/>
  <c r="EC79" i="5"/>
  <c r="ED79" i="5"/>
  <c r="EE79" i="5"/>
  <c r="EF79" i="5"/>
  <c r="EG79" i="5"/>
  <c r="EH79" i="5"/>
  <c r="EI79" i="5"/>
  <c r="EJ79" i="5"/>
  <c r="EK79" i="5"/>
  <c r="EL79" i="5"/>
  <c r="EM79" i="5"/>
  <c r="EN79" i="5"/>
  <c r="EO79" i="5"/>
  <c r="EP79" i="5"/>
  <c r="EQ79" i="5"/>
  <c r="ER79" i="5"/>
  <c r="ES79" i="5"/>
  <c r="ET79" i="5"/>
  <c r="EU79" i="5"/>
  <c r="EV79" i="5"/>
  <c r="EW79" i="5"/>
  <c r="EX79" i="5"/>
  <c r="EY79" i="5"/>
  <c r="EZ79" i="5"/>
  <c r="FA79" i="5"/>
  <c r="FB79" i="5"/>
  <c r="FC79" i="5"/>
  <c r="FD79" i="5"/>
  <c r="FE79" i="5"/>
  <c r="FF79" i="5"/>
  <c r="FG79" i="5"/>
  <c r="FH79" i="5"/>
  <c r="FI79" i="5"/>
  <c r="FJ79" i="5"/>
  <c r="FK79" i="5"/>
  <c r="FL79" i="5"/>
  <c r="FM79" i="5"/>
  <c r="FN79" i="5"/>
  <c r="FO79" i="5"/>
  <c r="FP79" i="5"/>
  <c r="FQ79" i="5"/>
  <c r="FR79" i="5"/>
  <c r="FS79" i="5"/>
  <c r="FT79" i="5"/>
  <c r="FU79" i="5"/>
  <c r="FV79" i="5"/>
  <c r="FW79" i="5"/>
  <c r="FX79" i="5"/>
  <c r="FY79" i="5"/>
  <c r="FZ79" i="5"/>
  <c r="GA79" i="5"/>
  <c r="GB79" i="5"/>
  <c r="GC79" i="5"/>
  <c r="GD79" i="5"/>
  <c r="GE79" i="5"/>
  <c r="DA80" i="5"/>
  <c r="DB80" i="5"/>
  <c r="DC80" i="5"/>
  <c r="DD80" i="5"/>
  <c r="DE80" i="5"/>
  <c r="DF80" i="5"/>
  <c r="DG80" i="5"/>
  <c r="DH80" i="5"/>
  <c r="DI80" i="5"/>
  <c r="DJ80" i="5"/>
  <c r="DK80" i="5"/>
  <c r="DL80" i="5"/>
  <c r="DM80" i="5"/>
  <c r="DN80" i="5"/>
  <c r="DO80" i="5"/>
  <c r="DP80" i="5"/>
  <c r="DQ80" i="5"/>
  <c r="DR80" i="5"/>
  <c r="DS80" i="5"/>
  <c r="DT80" i="5"/>
  <c r="DU80" i="5"/>
  <c r="DV80" i="5"/>
  <c r="DW80" i="5"/>
  <c r="DX80" i="5"/>
  <c r="DY80" i="5"/>
  <c r="DZ80" i="5"/>
  <c r="EA80" i="5"/>
  <c r="EB80" i="5"/>
  <c r="EC80" i="5"/>
  <c r="ED80" i="5"/>
  <c r="EE80" i="5"/>
  <c r="EF80" i="5"/>
  <c r="EG80" i="5"/>
  <c r="EH80" i="5"/>
  <c r="EI80" i="5"/>
  <c r="EJ80" i="5"/>
  <c r="EK80" i="5"/>
  <c r="EL80" i="5"/>
  <c r="EM80" i="5"/>
  <c r="EN80" i="5"/>
  <c r="EO80" i="5"/>
  <c r="EP80" i="5"/>
  <c r="EQ80" i="5"/>
  <c r="ER80" i="5"/>
  <c r="ES80" i="5"/>
  <c r="ET80" i="5"/>
  <c r="EU80" i="5"/>
  <c r="EV80" i="5"/>
  <c r="EW80" i="5"/>
  <c r="EX80" i="5"/>
  <c r="EY80" i="5"/>
  <c r="EZ80" i="5"/>
  <c r="FA80" i="5"/>
  <c r="FB80" i="5"/>
  <c r="FC80" i="5"/>
  <c r="FD80" i="5"/>
  <c r="FE80" i="5"/>
  <c r="FF80" i="5"/>
  <c r="FG80" i="5"/>
  <c r="FH80" i="5"/>
  <c r="FI80" i="5"/>
  <c r="FJ80" i="5"/>
  <c r="FK80" i="5"/>
  <c r="FL80" i="5"/>
  <c r="FM80" i="5"/>
  <c r="FN80" i="5"/>
  <c r="FO80" i="5"/>
  <c r="FP80" i="5"/>
  <c r="FQ80" i="5"/>
  <c r="FR80" i="5"/>
  <c r="FS80" i="5"/>
  <c r="FT80" i="5"/>
  <c r="FU80" i="5"/>
  <c r="FV80" i="5"/>
  <c r="FW80" i="5"/>
  <c r="FX80" i="5"/>
  <c r="FY80" i="5"/>
  <c r="FZ80" i="5"/>
  <c r="GA80" i="5"/>
  <c r="GB80" i="5"/>
  <c r="GC80" i="5"/>
  <c r="GD80" i="5"/>
  <c r="GE80" i="5"/>
  <c r="DA81" i="5"/>
  <c r="DB81" i="5"/>
  <c r="DC81" i="5"/>
  <c r="DD81" i="5"/>
  <c r="DE81" i="5"/>
  <c r="DF81" i="5"/>
  <c r="DG81" i="5"/>
  <c r="DH81" i="5"/>
  <c r="DI81" i="5"/>
  <c r="DJ81" i="5"/>
  <c r="DK81" i="5"/>
  <c r="DL81" i="5"/>
  <c r="DM81" i="5"/>
  <c r="DN81" i="5"/>
  <c r="DO81" i="5"/>
  <c r="DP81" i="5"/>
  <c r="DQ81" i="5"/>
  <c r="DR81" i="5"/>
  <c r="DS81" i="5"/>
  <c r="DT81" i="5"/>
  <c r="DU81" i="5"/>
  <c r="DV81" i="5"/>
  <c r="DW81" i="5"/>
  <c r="DX81" i="5"/>
  <c r="DY81" i="5"/>
  <c r="DZ81" i="5"/>
  <c r="EA81" i="5"/>
  <c r="EB81" i="5"/>
  <c r="EC81" i="5"/>
  <c r="ED81" i="5"/>
  <c r="EE81" i="5"/>
  <c r="EF81" i="5"/>
  <c r="EG81" i="5"/>
  <c r="EH81" i="5"/>
  <c r="EI81" i="5"/>
  <c r="EJ81" i="5"/>
  <c r="EK81" i="5"/>
  <c r="EL81" i="5"/>
  <c r="EM81" i="5"/>
  <c r="EN81" i="5"/>
  <c r="EO81" i="5"/>
  <c r="EP81" i="5"/>
  <c r="EQ81" i="5"/>
  <c r="ER81" i="5"/>
  <c r="ES81" i="5"/>
  <c r="ET81" i="5"/>
  <c r="EU81" i="5"/>
  <c r="EV81" i="5"/>
  <c r="EW81" i="5"/>
  <c r="EX81" i="5"/>
  <c r="EY81" i="5"/>
  <c r="EZ81" i="5"/>
  <c r="FA81" i="5"/>
  <c r="FB81" i="5"/>
  <c r="FC81" i="5"/>
  <c r="FD81" i="5"/>
  <c r="FE81" i="5"/>
  <c r="FF81" i="5"/>
  <c r="FG81" i="5"/>
  <c r="FH81" i="5"/>
  <c r="FI81" i="5"/>
  <c r="FJ81" i="5"/>
  <c r="FK81" i="5"/>
  <c r="FL81" i="5"/>
  <c r="FM81" i="5"/>
  <c r="FN81" i="5"/>
  <c r="FO81" i="5"/>
  <c r="FP81" i="5"/>
  <c r="FQ81" i="5"/>
  <c r="FR81" i="5"/>
  <c r="FS81" i="5"/>
  <c r="FT81" i="5"/>
  <c r="FU81" i="5"/>
  <c r="FV81" i="5"/>
  <c r="FW81" i="5"/>
  <c r="FX81" i="5"/>
  <c r="FY81" i="5"/>
  <c r="FZ81" i="5"/>
  <c r="GA81" i="5"/>
  <c r="GB81" i="5"/>
  <c r="GC81" i="5"/>
  <c r="GD81" i="5"/>
  <c r="GE81" i="5"/>
  <c r="DA82" i="5"/>
  <c r="DB82" i="5"/>
  <c r="DC82" i="5"/>
  <c r="DD82" i="5"/>
  <c r="DE82" i="5"/>
  <c r="DF82" i="5"/>
  <c r="DG82" i="5"/>
  <c r="DH82" i="5"/>
  <c r="DI82" i="5"/>
  <c r="DJ82" i="5"/>
  <c r="DK82" i="5"/>
  <c r="DL82" i="5"/>
  <c r="DM82" i="5"/>
  <c r="DN82" i="5"/>
  <c r="DO82" i="5"/>
  <c r="DP82" i="5"/>
  <c r="DQ82" i="5"/>
  <c r="DR82" i="5"/>
  <c r="DS82" i="5"/>
  <c r="DT82" i="5"/>
  <c r="DU82" i="5"/>
  <c r="DV82" i="5"/>
  <c r="DW82" i="5"/>
  <c r="DX82" i="5"/>
  <c r="DY82" i="5"/>
  <c r="DZ82" i="5"/>
  <c r="EA82" i="5"/>
  <c r="EB82" i="5"/>
  <c r="EC82" i="5"/>
  <c r="ED82" i="5"/>
  <c r="EE82" i="5"/>
  <c r="EF82" i="5"/>
  <c r="EG82" i="5"/>
  <c r="EH82" i="5"/>
  <c r="EI82" i="5"/>
  <c r="EJ82" i="5"/>
  <c r="EK82" i="5"/>
  <c r="EL82" i="5"/>
  <c r="EM82" i="5"/>
  <c r="EN82" i="5"/>
  <c r="EO82" i="5"/>
  <c r="EP82" i="5"/>
  <c r="EQ82" i="5"/>
  <c r="ER82" i="5"/>
  <c r="ES82" i="5"/>
  <c r="ET82" i="5"/>
  <c r="EU82" i="5"/>
  <c r="EV82" i="5"/>
  <c r="EW82" i="5"/>
  <c r="EX82" i="5"/>
  <c r="EY82" i="5"/>
  <c r="EZ82" i="5"/>
  <c r="FA82" i="5"/>
  <c r="FB82" i="5"/>
  <c r="FC82" i="5"/>
  <c r="FD82" i="5"/>
  <c r="FE82" i="5"/>
  <c r="FF82" i="5"/>
  <c r="FG82" i="5"/>
  <c r="FH82" i="5"/>
  <c r="FI82" i="5"/>
  <c r="FJ82" i="5"/>
  <c r="FK82" i="5"/>
  <c r="FL82" i="5"/>
  <c r="FM82" i="5"/>
  <c r="FN82" i="5"/>
  <c r="FO82" i="5"/>
  <c r="FP82" i="5"/>
  <c r="FQ82" i="5"/>
  <c r="FR82" i="5"/>
  <c r="FS82" i="5"/>
  <c r="FT82" i="5"/>
  <c r="FU82" i="5"/>
  <c r="FV82" i="5"/>
  <c r="FW82" i="5"/>
  <c r="FX82" i="5"/>
  <c r="FY82" i="5"/>
  <c r="FZ82" i="5"/>
  <c r="GA82" i="5"/>
  <c r="GB82" i="5"/>
  <c r="GC82" i="5"/>
  <c r="GD82" i="5"/>
  <c r="GE82" i="5"/>
  <c r="DA83" i="5"/>
  <c r="DB83" i="5"/>
  <c r="DC83" i="5"/>
  <c r="DD83" i="5"/>
  <c r="DE83" i="5"/>
  <c r="DF83" i="5"/>
  <c r="DG83" i="5"/>
  <c r="DH83" i="5"/>
  <c r="DI83" i="5"/>
  <c r="DJ83" i="5"/>
  <c r="DK83" i="5"/>
  <c r="DL83" i="5"/>
  <c r="DM83" i="5"/>
  <c r="DN83" i="5"/>
  <c r="DO83" i="5"/>
  <c r="DP83" i="5"/>
  <c r="DQ83" i="5"/>
  <c r="DR83" i="5"/>
  <c r="DS83" i="5"/>
  <c r="DT83" i="5"/>
  <c r="DU83" i="5"/>
  <c r="DV83" i="5"/>
  <c r="DW83" i="5"/>
  <c r="DX83" i="5"/>
  <c r="DY83" i="5"/>
  <c r="DZ83" i="5"/>
  <c r="EA83" i="5"/>
  <c r="EB83" i="5"/>
  <c r="EC83" i="5"/>
  <c r="ED83" i="5"/>
  <c r="EE83" i="5"/>
  <c r="EF83" i="5"/>
  <c r="EG83" i="5"/>
  <c r="EH83" i="5"/>
  <c r="EI83" i="5"/>
  <c r="EJ83" i="5"/>
  <c r="EK83" i="5"/>
  <c r="EL83" i="5"/>
  <c r="EM83" i="5"/>
  <c r="EN83" i="5"/>
  <c r="EO83" i="5"/>
  <c r="EP83" i="5"/>
  <c r="EQ83" i="5"/>
  <c r="ER83" i="5"/>
  <c r="ES83" i="5"/>
  <c r="ET83" i="5"/>
  <c r="EU83" i="5"/>
  <c r="EV83" i="5"/>
  <c r="EW83" i="5"/>
  <c r="EX83" i="5"/>
  <c r="EY83" i="5"/>
  <c r="EZ83" i="5"/>
  <c r="FA83" i="5"/>
  <c r="FB83" i="5"/>
  <c r="FC83" i="5"/>
  <c r="FD83" i="5"/>
  <c r="FE83" i="5"/>
  <c r="FF83" i="5"/>
  <c r="FG83" i="5"/>
  <c r="FH83" i="5"/>
  <c r="FI83" i="5"/>
  <c r="FJ83" i="5"/>
  <c r="FK83" i="5"/>
  <c r="FL83" i="5"/>
  <c r="FM83" i="5"/>
  <c r="FN83" i="5"/>
  <c r="FO83" i="5"/>
  <c r="FP83" i="5"/>
  <c r="FQ83" i="5"/>
  <c r="FR83" i="5"/>
  <c r="FS83" i="5"/>
  <c r="FT83" i="5"/>
  <c r="FU83" i="5"/>
  <c r="FV83" i="5"/>
  <c r="FW83" i="5"/>
  <c r="FX83" i="5"/>
  <c r="FY83" i="5"/>
  <c r="FZ83" i="5"/>
  <c r="GA83" i="5"/>
  <c r="GB83" i="5"/>
  <c r="GC83" i="5"/>
  <c r="GD83" i="5"/>
  <c r="GE83" i="5"/>
  <c r="DA84" i="5"/>
  <c r="DB84" i="5"/>
  <c r="DC84" i="5"/>
  <c r="DD84" i="5"/>
  <c r="DE84" i="5"/>
  <c r="DF84" i="5"/>
  <c r="DG84" i="5"/>
  <c r="DH84" i="5"/>
  <c r="DI84" i="5"/>
  <c r="DJ84" i="5"/>
  <c r="DK84" i="5"/>
  <c r="DL84" i="5"/>
  <c r="DM84" i="5"/>
  <c r="DN84" i="5"/>
  <c r="DO84" i="5"/>
  <c r="DP84" i="5"/>
  <c r="DQ84" i="5"/>
  <c r="DR84" i="5"/>
  <c r="DS84" i="5"/>
  <c r="DT84" i="5"/>
  <c r="DU84" i="5"/>
  <c r="DV84" i="5"/>
  <c r="DW84" i="5"/>
  <c r="DX84" i="5"/>
  <c r="DY84" i="5"/>
  <c r="DZ84" i="5"/>
  <c r="EA84" i="5"/>
  <c r="EB84" i="5"/>
  <c r="EC84" i="5"/>
  <c r="ED84" i="5"/>
  <c r="EE84" i="5"/>
  <c r="EF84" i="5"/>
  <c r="EG84" i="5"/>
  <c r="EH84" i="5"/>
  <c r="EI84" i="5"/>
  <c r="EJ84" i="5"/>
  <c r="EK84" i="5"/>
  <c r="EL84" i="5"/>
  <c r="EM84" i="5"/>
  <c r="EN84" i="5"/>
  <c r="EO84" i="5"/>
  <c r="EP84" i="5"/>
  <c r="EQ84" i="5"/>
  <c r="ER84" i="5"/>
  <c r="ES84" i="5"/>
  <c r="ET84" i="5"/>
  <c r="EU84" i="5"/>
  <c r="EV84" i="5"/>
  <c r="EW84" i="5"/>
  <c r="EX84" i="5"/>
  <c r="EY84" i="5"/>
  <c r="EZ84" i="5"/>
  <c r="FA84" i="5"/>
  <c r="FB84" i="5"/>
  <c r="FC84" i="5"/>
  <c r="FD84" i="5"/>
  <c r="FE84" i="5"/>
  <c r="FF84" i="5"/>
  <c r="FG84" i="5"/>
  <c r="FH84" i="5"/>
  <c r="FI84" i="5"/>
  <c r="FJ84" i="5"/>
  <c r="FK84" i="5"/>
  <c r="FL84" i="5"/>
  <c r="FM84" i="5"/>
  <c r="FN84" i="5"/>
  <c r="FO84" i="5"/>
  <c r="FP84" i="5"/>
  <c r="FQ84" i="5"/>
  <c r="FR84" i="5"/>
  <c r="FS84" i="5"/>
  <c r="FT84" i="5"/>
  <c r="FU84" i="5"/>
  <c r="FV84" i="5"/>
  <c r="FW84" i="5"/>
  <c r="FX84" i="5"/>
  <c r="FY84" i="5"/>
  <c r="FZ84" i="5"/>
  <c r="GA84" i="5"/>
  <c r="GB84" i="5"/>
  <c r="GC84" i="5"/>
  <c r="GD84" i="5"/>
  <c r="GE84" i="5"/>
  <c r="DA85" i="5"/>
  <c r="DB85" i="5"/>
  <c r="DC85" i="5"/>
  <c r="DD85" i="5"/>
  <c r="DE85" i="5"/>
  <c r="DF85" i="5"/>
  <c r="DG85" i="5"/>
  <c r="DH85" i="5"/>
  <c r="DI85" i="5"/>
  <c r="DJ85" i="5"/>
  <c r="DK85" i="5"/>
  <c r="DL85" i="5"/>
  <c r="DM85" i="5"/>
  <c r="DN85" i="5"/>
  <c r="DO85" i="5"/>
  <c r="DP85" i="5"/>
  <c r="DQ85" i="5"/>
  <c r="DR85" i="5"/>
  <c r="DS85" i="5"/>
  <c r="DT85" i="5"/>
  <c r="DU85" i="5"/>
  <c r="DV85" i="5"/>
  <c r="DW85" i="5"/>
  <c r="DX85" i="5"/>
  <c r="DY85" i="5"/>
  <c r="DZ85" i="5"/>
  <c r="EA85" i="5"/>
  <c r="EB85" i="5"/>
  <c r="EC85" i="5"/>
  <c r="ED85" i="5"/>
  <c r="EE85" i="5"/>
  <c r="EF85" i="5"/>
  <c r="EG85" i="5"/>
  <c r="EH85" i="5"/>
  <c r="EI85" i="5"/>
  <c r="EJ85" i="5"/>
  <c r="EK85" i="5"/>
  <c r="EL85" i="5"/>
  <c r="EM85" i="5"/>
  <c r="EN85" i="5"/>
  <c r="EO85" i="5"/>
  <c r="EP85" i="5"/>
  <c r="EQ85" i="5"/>
  <c r="ER85" i="5"/>
  <c r="ES85" i="5"/>
  <c r="ET85" i="5"/>
  <c r="EU85" i="5"/>
  <c r="EV85" i="5"/>
  <c r="EW85" i="5"/>
  <c r="EX85" i="5"/>
  <c r="EY85" i="5"/>
  <c r="EZ85" i="5"/>
  <c r="FA85" i="5"/>
  <c r="FB85" i="5"/>
  <c r="FC85" i="5"/>
  <c r="FD85" i="5"/>
  <c r="FE85" i="5"/>
  <c r="FF85" i="5"/>
  <c r="FG85" i="5"/>
  <c r="FH85" i="5"/>
  <c r="FI85" i="5"/>
  <c r="FJ85" i="5"/>
  <c r="FK85" i="5"/>
  <c r="FL85" i="5"/>
  <c r="FM85" i="5"/>
  <c r="FN85" i="5"/>
  <c r="FO85" i="5"/>
  <c r="FP85" i="5"/>
  <c r="FQ85" i="5"/>
  <c r="FR85" i="5"/>
  <c r="FS85" i="5"/>
  <c r="FT85" i="5"/>
  <c r="FU85" i="5"/>
  <c r="FV85" i="5"/>
  <c r="FW85" i="5"/>
  <c r="FX85" i="5"/>
  <c r="FY85" i="5"/>
  <c r="FZ85" i="5"/>
  <c r="GA85" i="5"/>
  <c r="GB85" i="5"/>
  <c r="GC85" i="5"/>
  <c r="GD85" i="5"/>
  <c r="GE85" i="5"/>
  <c r="DA86" i="5"/>
  <c r="DB86" i="5"/>
  <c r="DC86" i="5"/>
  <c r="DD86" i="5"/>
  <c r="DE86" i="5"/>
  <c r="DF86" i="5"/>
  <c r="DG86" i="5"/>
  <c r="DH86" i="5"/>
  <c r="DI86" i="5"/>
  <c r="DJ86" i="5"/>
  <c r="DK86" i="5"/>
  <c r="DL86" i="5"/>
  <c r="DM86" i="5"/>
  <c r="DN86" i="5"/>
  <c r="DO86" i="5"/>
  <c r="DP86" i="5"/>
  <c r="DQ86" i="5"/>
  <c r="DR86" i="5"/>
  <c r="DS86" i="5"/>
  <c r="DT86" i="5"/>
  <c r="DU86" i="5"/>
  <c r="DV86" i="5"/>
  <c r="DW86" i="5"/>
  <c r="DX86" i="5"/>
  <c r="DY86" i="5"/>
  <c r="DZ86" i="5"/>
  <c r="EA86" i="5"/>
  <c r="EB86" i="5"/>
  <c r="EC86" i="5"/>
  <c r="ED86" i="5"/>
  <c r="EE86" i="5"/>
  <c r="EF86" i="5"/>
  <c r="EG86" i="5"/>
  <c r="EH86" i="5"/>
  <c r="EI86" i="5"/>
  <c r="EJ86" i="5"/>
  <c r="EK86" i="5"/>
  <c r="EL86" i="5"/>
  <c r="EM86" i="5"/>
  <c r="EN86" i="5"/>
  <c r="EO86" i="5"/>
  <c r="EP86" i="5"/>
  <c r="EQ86" i="5"/>
  <c r="ER86" i="5"/>
  <c r="ES86" i="5"/>
  <c r="ET86" i="5"/>
  <c r="EU86" i="5"/>
  <c r="EV86" i="5"/>
  <c r="EW86" i="5"/>
  <c r="EX86" i="5"/>
  <c r="EY86" i="5"/>
  <c r="EZ86" i="5"/>
  <c r="FA86" i="5"/>
  <c r="FB86" i="5"/>
  <c r="FC86" i="5"/>
  <c r="FD86" i="5"/>
  <c r="FE86" i="5"/>
  <c r="FF86" i="5"/>
  <c r="FG86" i="5"/>
  <c r="FH86" i="5"/>
  <c r="FI86" i="5"/>
  <c r="FJ86" i="5"/>
  <c r="FK86" i="5"/>
  <c r="FL86" i="5"/>
  <c r="FM86" i="5"/>
  <c r="FN86" i="5"/>
  <c r="FO86" i="5"/>
  <c r="FP86" i="5"/>
  <c r="FQ86" i="5"/>
  <c r="FR86" i="5"/>
  <c r="FS86" i="5"/>
  <c r="FT86" i="5"/>
  <c r="FU86" i="5"/>
  <c r="FV86" i="5"/>
  <c r="FW86" i="5"/>
  <c r="FX86" i="5"/>
  <c r="FY86" i="5"/>
  <c r="FZ86" i="5"/>
  <c r="GA86" i="5"/>
  <c r="GB86" i="5"/>
  <c r="GC86" i="5"/>
  <c r="GD86" i="5"/>
  <c r="GE86" i="5"/>
  <c r="DA87" i="5"/>
  <c r="DB87" i="5"/>
  <c r="DC87" i="5"/>
  <c r="DD87" i="5"/>
  <c r="DE87" i="5"/>
  <c r="DF87" i="5"/>
  <c r="DG87" i="5"/>
  <c r="DH87" i="5"/>
  <c r="DI87" i="5"/>
  <c r="DJ87" i="5"/>
  <c r="DK87" i="5"/>
  <c r="DL87" i="5"/>
  <c r="DM87" i="5"/>
  <c r="DN87" i="5"/>
  <c r="DO87" i="5"/>
  <c r="DP87" i="5"/>
  <c r="DQ87" i="5"/>
  <c r="DR87" i="5"/>
  <c r="DS87" i="5"/>
  <c r="DT87" i="5"/>
  <c r="DU87" i="5"/>
  <c r="DV87" i="5"/>
  <c r="DW87" i="5"/>
  <c r="DX87" i="5"/>
  <c r="DY87" i="5"/>
  <c r="DZ87" i="5"/>
  <c r="EA87" i="5"/>
  <c r="EB87" i="5"/>
  <c r="EC87" i="5"/>
  <c r="ED87" i="5"/>
  <c r="EE87" i="5"/>
  <c r="EF87" i="5"/>
  <c r="EG87" i="5"/>
  <c r="EH87" i="5"/>
  <c r="EI87" i="5"/>
  <c r="EJ87" i="5"/>
  <c r="EK87" i="5"/>
  <c r="EL87" i="5"/>
  <c r="EM87" i="5"/>
  <c r="EN87" i="5"/>
  <c r="EO87" i="5"/>
  <c r="EP87" i="5"/>
  <c r="EQ87" i="5"/>
  <c r="ER87" i="5"/>
  <c r="ES87" i="5"/>
  <c r="ET87" i="5"/>
  <c r="EU87" i="5"/>
  <c r="EV87" i="5"/>
  <c r="EW87" i="5"/>
  <c r="EX87" i="5"/>
  <c r="EY87" i="5"/>
  <c r="EZ87" i="5"/>
  <c r="FA87" i="5"/>
  <c r="FB87" i="5"/>
  <c r="FC87" i="5"/>
  <c r="FD87" i="5"/>
  <c r="FE87" i="5"/>
  <c r="FF87" i="5"/>
  <c r="FG87" i="5"/>
  <c r="FH87" i="5"/>
  <c r="FI87" i="5"/>
  <c r="FJ87" i="5"/>
  <c r="FK87" i="5"/>
  <c r="FL87" i="5"/>
  <c r="FM87" i="5"/>
  <c r="FN87" i="5"/>
  <c r="FO87" i="5"/>
  <c r="FP87" i="5"/>
  <c r="FQ87" i="5"/>
  <c r="FR87" i="5"/>
  <c r="FS87" i="5"/>
  <c r="FT87" i="5"/>
  <c r="FU87" i="5"/>
  <c r="FV87" i="5"/>
  <c r="FW87" i="5"/>
  <c r="FX87" i="5"/>
  <c r="FY87" i="5"/>
  <c r="FZ87" i="5"/>
  <c r="GA87" i="5"/>
  <c r="GB87" i="5"/>
  <c r="GC87" i="5"/>
  <c r="GD87" i="5"/>
  <c r="GE87" i="5"/>
  <c r="DA88" i="5"/>
  <c r="DB88" i="5"/>
  <c r="DC88" i="5"/>
  <c r="DD88" i="5"/>
  <c r="DE88" i="5"/>
  <c r="DF88" i="5"/>
  <c r="DG88" i="5"/>
  <c r="DH88" i="5"/>
  <c r="DI88" i="5"/>
  <c r="DJ88" i="5"/>
  <c r="DK88" i="5"/>
  <c r="DL88" i="5"/>
  <c r="DM88" i="5"/>
  <c r="DN88" i="5"/>
  <c r="DO88" i="5"/>
  <c r="DP88" i="5"/>
  <c r="DQ88" i="5"/>
  <c r="DR88" i="5"/>
  <c r="DS88" i="5"/>
  <c r="DT88" i="5"/>
  <c r="DU88" i="5"/>
  <c r="DV88" i="5"/>
  <c r="DW88" i="5"/>
  <c r="DX88" i="5"/>
  <c r="DY88" i="5"/>
  <c r="DZ88" i="5"/>
  <c r="EA88" i="5"/>
  <c r="EB88" i="5"/>
  <c r="EC88" i="5"/>
  <c r="ED88" i="5"/>
  <c r="EE88" i="5"/>
  <c r="EF88" i="5"/>
  <c r="EG88" i="5"/>
  <c r="EH88" i="5"/>
  <c r="EI88" i="5"/>
  <c r="EJ88" i="5"/>
  <c r="EK88" i="5"/>
  <c r="EL88" i="5"/>
  <c r="EM88" i="5"/>
  <c r="EN88" i="5"/>
  <c r="EO88" i="5"/>
  <c r="EP88" i="5"/>
  <c r="EQ88" i="5"/>
  <c r="ER88" i="5"/>
  <c r="ES88" i="5"/>
  <c r="ET88" i="5"/>
  <c r="EU88" i="5"/>
  <c r="EV88" i="5"/>
  <c r="EW88" i="5"/>
  <c r="EX88" i="5"/>
  <c r="EY88" i="5"/>
  <c r="EZ88" i="5"/>
  <c r="FA88" i="5"/>
  <c r="FB88" i="5"/>
  <c r="FC88" i="5"/>
  <c r="FD88" i="5"/>
  <c r="FE88" i="5"/>
  <c r="FF88" i="5"/>
  <c r="FG88" i="5"/>
  <c r="FH88" i="5"/>
  <c r="FI88" i="5"/>
  <c r="FJ88" i="5"/>
  <c r="FK88" i="5"/>
  <c r="FL88" i="5"/>
  <c r="FM88" i="5"/>
  <c r="FN88" i="5"/>
  <c r="FO88" i="5"/>
  <c r="FP88" i="5"/>
  <c r="FQ88" i="5"/>
  <c r="FR88" i="5"/>
  <c r="FS88" i="5"/>
  <c r="FT88" i="5"/>
  <c r="FU88" i="5"/>
  <c r="FV88" i="5"/>
  <c r="FW88" i="5"/>
  <c r="FX88" i="5"/>
  <c r="FY88" i="5"/>
  <c r="FZ88" i="5"/>
  <c r="GA88" i="5"/>
  <c r="GB88" i="5"/>
  <c r="GC88" i="5"/>
  <c r="GD88" i="5"/>
  <c r="GE88" i="5"/>
  <c r="DA89" i="5"/>
  <c r="DB89" i="5"/>
  <c r="DC89" i="5"/>
  <c r="DD89" i="5"/>
  <c r="DE89" i="5"/>
  <c r="DF89" i="5"/>
  <c r="DG89" i="5"/>
  <c r="DH89" i="5"/>
  <c r="DI89" i="5"/>
  <c r="DJ89" i="5"/>
  <c r="DK89" i="5"/>
  <c r="DL89" i="5"/>
  <c r="DM89" i="5"/>
  <c r="DN89" i="5"/>
  <c r="DO89" i="5"/>
  <c r="DP89" i="5"/>
  <c r="DQ89" i="5"/>
  <c r="DR89" i="5"/>
  <c r="DS89" i="5"/>
  <c r="DT89" i="5"/>
  <c r="DU89" i="5"/>
  <c r="DV89" i="5"/>
  <c r="DW89" i="5"/>
  <c r="DX89" i="5"/>
  <c r="DY89" i="5"/>
  <c r="DZ89" i="5"/>
  <c r="EA89" i="5"/>
  <c r="EB89" i="5"/>
  <c r="EC89" i="5"/>
  <c r="ED89" i="5"/>
  <c r="EE89" i="5"/>
  <c r="EF89" i="5"/>
  <c r="EG89" i="5"/>
  <c r="EH89" i="5"/>
  <c r="EI89" i="5"/>
  <c r="EJ89" i="5"/>
  <c r="EK89" i="5"/>
  <c r="EL89" i="5"/>
  <c r="EM89" i="5"/>
  <c r="EN89" i="5"/>
  <c r="EO89" i="5"/>
  <c r="EP89" i="5"/>
  <c r="EQ89" i="5"/>
  <c r="ER89" i="5"/>
  <c r="ES89" i="5"/>
  <c r="ET89" i="5"/>
  <c r="EU89" i="5"/>
  <c r="EV89" i="5"/>
  <c r="EW89" i="5"/>
  <c r="EX89" i="5"/>
  <c r="EY89" i="5"/>
  <c r="EZ89" i="5"/>
  <c r="FA89" i="5"/>
  <c r="FB89" i="5"/>
  <c r="FC89" i="5"/>
  <c r="FD89" i="5"/>
  <c r="FE89" i="5"/>
  <c r="FF89" i="5"/>
  <c r="FG89" i="5"/>
  <c r="FH89" i="5"/>
  <c r="FI89" i="5"/>
  <c r="FJ89" i="5"/>
  <c r="FK89" i="5"/>
  <c r="FL89" i="5"/>
  <c r="FM89" i="5"/>
  <c r="FN89" i="5"/>
  <c r="FO89" i="5"/>
  <c r="FP89" i="5"/>
  <c r="FQ89" i="5"/>
  <c r="FR89" i="5"/>
  <c r="FS89" i="5"/>
  <c r="FT89" i="5"/>
  <c r="FU89" i="5"/>
  <c r="FV89" i="5"/>
  <c r="FW89" i="5"/>
  <c r="FX89" i="5"/>
  <c r="FY89" i="5"/>
  <c r="FZ89" i="5"/>
  <c r="GA89" i="5"/>
  <c r="GB89" i="5"/>
  <c r="GC89" i="5"/>
  <c r="GD89" i="5"/>
  <c r="GE89" i="5"/>
  <c r="DA90" i="5"/>
  <c r="DB90" i="5"/>
  <c r="DC90" i="5"/>
  <c r="DD90" i="5"/>
  <c r="DE90" i="5"/>
  <c r="DF90" i="5"/>
  <c r="DG90" i="5"/>
  <c r="DH90" i="5"/>
  <c r="DI90" i="5"/>
  <c r="DJ90" i="5"/>
  <c r="DK90" i="5"/>
  <c r="DL90" i="5"/>
  <c r="DM90" i="5"/>
  <c r="DN90" i="5"/>
  <c r="DO90" i="5"/>
  <c r="DP90" i="5"/>
  <c r="DQ90" i="5"/>
  <c r="DR90" i="5"/>
  <c r="DS90" i="5"/>
  <c r="DT90" i="5"/>
  <c r="DU90" i="5"/>
  <c r="DV90" i="5"/>
  <c r="DW90" i="5"/>
  <c r="DX90" i="5"/>
  <c r="DY90" i="5"/>
  <c r="DZ90" i="5"/>
  <c r="EA90" i="5"/>
  <c r="EB90" i="5"/>
  <c r="EC90" i="5"/>
  <c r="ED90" i="5"/>
  <c r="EE90" i="5"/>
  <c r="EF90" i="5"/>
  <c r="EG90" i="5"/>
  <c r="EH90" i="5"/>
  <c r="EI90" i="5"/>
  <c r="EJ90" i="5"/>
  <c r="EK90" i="5"/>
  <c r="EL90" i="5"/>
  <c r="EM90" i="5"/>
  <c r="EN90" i="5"/>
  <c r="EO90" i="5"/>
  <c r="EP90" i="5"/>
  <c r="EQ90" i="5"/>
  <c r="ER90" i="5"/>
  <c r="ES90" i="5"/>
  <c r="ET90" i="5"/>
  <c r="EU90" i="5"/>
  <c r="EV90" i="5"/>
  <c r="EW90" i="5"/>
  <c r="EX90" i="5"/>
  <c r="EY90" i="5"/>
  <c r="EZ90" i="5"/>
  <c r="FA90" i="5"/>
  <c r="FB90" i="5"/>
  <c r="FC90" i="5"/>
  <c r="FD90" i="5"/>
  <c r="FE90" i="5"/>
  <c r="FF90" i="5"/>
  <c r="FG90" i="5"/>
  <c r="FH90" i="5"/>
  <c r="FI90" i="5"/>
  <c r="FJ90" i="5"/>
  <c r="FK90" i="5"/>
  <c r="FL90" i="5"/>
  <c r="FM90" i="5"/>
  <c r="FN90" i="5"/>
  <c r="FO90" i="5"/>
  <c r="FP90" i="5"/>
  <c r="FQ90" i="5"/>
  <c r="FR90" i="5"/>
  <c r="FS90" i="5"/>
  <c r="FT90" i="5"/>
  <c r="FU90" i="5"/>
  <c r="FV90" i="5"/>
  <c r="FW90" i="5"/>
  <c r="FX90" i="5"/>
  <c r="FY90" i="5"/>
  <c r="FZ90" i="5"/>
  <c r="GA90" i="5"/>
  <c r="GB90" i="5"/>
  <c r="GC90" i="5"/>
  <c r="GD90" i="5"/>
  <c r="GE90" i="5"/>
  <c r="DA91" i="5"/>
  <c r="DB91" i="5"/>
  <c r="DC91" i="5"/>
  <c r="DD91" i="5"/>
  <c r="DE91" i="5"/>
  <c r="DF91" i="5"/>
  <c r="DG91" i="5"/>
  <c r="DH91" i="5"/>
  <c r="DI91" i="5"/>
  <c r="DJ91" i="5"/>
  <c r="DK91" i="5"/>
  <c r="DL91" i="5"/>
  <c r="DM91" i="5"/>
  <c r="DN91" i="5"/>
  <c r="DO91" i="5"/>
  <c r="DP91" i="5"/>
  <c r="DQ91" i="5"/>
  <c r="DR91" i="5"/>
  <c r="DS91" i="5"/>
  <c r="DT91" i="5"/>
  <c r="DU91" i="5"/>
  <c r="DV91" i="5"/>
  <c r="DW91" i="5"/>
  <c r="DX91" i="5"/>
  <c r="DY91" i="5"/>
  <c r="DZ91" i="5"/>
  <c r="EA91" i="5"/>
  <c r="EB91" i="5"/>
  <c r="EC91" i="5"/>
  <c r="ED91" i="5"/>
  <c r="EE91" i="5"/>
  <c r="EF91" i="5"/>
  <c r="EG91" i="5"/>
  <c r="EH91" i="5"/>
  <c r="EI91" i="5"/>
  <c r="EJ91" i="5"/>
  <c r="EK91" i="5"/>
  <c r="EL91" i="5"/>
  <c r="EM91" i="5"/>
  <c r="EN91" i="5"/>
  <c r="EO91" i="5"/>
  <c r="EP91" i="5"/>
  <c r="EQ91" i="5"/>
  <c r="ER91" i="5"/>
  <c r="ES91" i="5"/>
  <c r="ET91" i="5"/>
  <c r="EU91" i="5"/>
  <c r="EV91" i="5"/>
  <c r="EW91" i="5"/>
  <c r="EX91" i="5"/>
  <c r="EY91" i="5"/>
  <c r="EZ91" i="5"/>
  <c r="FA91" i="5"/>
  <c r="FB91" i="5"/>
  <c r="FC91" i="5"/>
  <c r="FD91" i="5"/>
  <c r="FE91" i="5"/>
  <c r="FF91" i="5"/>
  <c r="FG91" i="5"/>
  <c r="FH91" i="5"/>
  <c r="FI91" i="5"/>
  <c r="FJ91" i="5"/>
  <c r="FK91" i="5"/>
  <c r="FL91" i="5"/>
  <c r="FM91" i="5"/>
  <c r="FN91" i="5"/>
  <c r="FO91" i="5"/>
  <c r="FP91" i="5"/>
  <c r="FQ91" i="5"/>
  <c r="FR91" i="5"/>
  <c r="FS91" i="5"/>
  <c r="FT91" i="5"/>
  <c r="FU91" i="5"/>
  <c r="FV91" i="5"/>
  <c r="FW91" i="5"/>
  <c r="FX91" i="5"/>
  <c r="FY91" i="5"/>
  <c r="FZ91" i="5"/>
  <c r="GA91" i="5"/>
  <c r="GB91" i="5"/>
  <c r="GC91" i="5"/>
  <c r="GD91" i="5"/>
  <c r="GE91" i="5"/>
  <c r="DA92" i="5"/>
  <c r="DB92" i="5"/>
  <c r="DC92" i="5"/>
  <c r="DD92" i="5"/>
  <c r="DE92" i="5"/>
  <c r="DF92" i="5"/>
  <c r="DG92" i="5"/>
  <c r="DH92" i="5"/>
  <c r="DI92" i="5"/>
  <c r="DJ92" i="5"/>
  <c r="DK92" i="5"/>
  <c r="DL92" i="5"/>
  <c r="DM92" i="5"/>
  <c r="DN92" i="5"/>
  <c r="DO92" i="5"/>
  <c r="DP92" i="5"/>
  <c r="DQ92" i="5"/>
  <c r="DR92" i="5"/>
  <c r="DS92" i="5"/>
  <c r="DT92" i="5"/>
  <c r="DU92" i="5"/>
  <c r="DV92" i="5"/>
  <c r="DW92" i="5"/>
  <c r="DX92" i="5"/>
  <c r="DY92" i="5"/>
  <c r="DZ92" i="5"/>
  <c r="EA92" i="5"/>
  <c r="EB92" i="5"/>
  <c r="EC92" i="5"/>
  <c r="ED92" i="5"/>
  <c r="EE92" i="5"/>
  <c r="EF92" i="5"/>
  <c r="EG92" i="5"/>
  <c r="EH92" i="5"/>
  <c r="EI92" i="5"/>
  <c r="EJ92" i="5"/>
  <c r="EK92" i="5"/>
  <c r="EL92" i="5"/>
  <c r="EM92" i="5"/>
  <c r="EN92" i="5"/>
  <c r="EO92" i="5"/>
  <c r="EP92" i="5"/>
  <c r="EQ92" i="5"/>
  <c r="ER92" i="5"/>
  <c r="ES92" i="5"/>
  <c r="ET92" i="5"/>
  <c r="EU92" i="5"/>
  <c r="EV92" i="5"/>
  <c r="EW92" i="5"/>
  <c r="EX92" i="5"/>
  <c r="EY92" i="5"/>
  <c r="EZ92" i="5"/>
  <c r="FA92" i="5"/>
  <c r="FB92" i="5"/>
  <c r="FC92" i="5"/>
  <c r="FD92" i="5"/>
  <c r="FE92" i="5"/>
  <c r="FF92" i="5"/>
  <c r="FG92" i="5"/>
  <c r="FH92" i="5"/>
  <c r="FI92" i="5"/>
  <c r="FJ92" i="5"/>
  <c r="FK92" i="5"/>
  <c r="FL92" i="5"/>
  <c r="FM92" i="5"/>
  <c r="FN92" i="5"/>
  <c r="FO92" i="5"/>
  <c r="FP92" i="5"/>
  <c r="FQ92" i="5"/>
  <c r="FR92" i="5"/>
  <c r="FS92" i="5"/>
  <c r="FT92" i="5"/>
  <c r="FU92" i="5"/>
  <c r="FV92" i="5"/>
  <c r="FW92" i="5"/>
  <c r="FX92" i="5"/>
  <c r="FY92" i="5"/>
  <c r="FZ92" i="5"/>
  <c r="GA92" i="5"/>
  <c r="GB92" i="5"/>
  <c r="GC92" i="5"/>
  <c r="GD92" i="5"/>
  <c r="GE92" i="5"/>
  <c r="DA93" i="5"/>
  <c r="DB93" i="5"/>
  <c r="DC93" i="5"/>
  <c r="DD93" i="5"/>
  <c r="DE93" i="5"/>
  <c r="DF93" i="5"/>
  <c r="DG93" i="5"/>
  <c r="DH93" i="5"/>
  <c r="DI93" i="5"/>
  <c r="DJ93" i="5"/>
  <c r="DK93" i="5"/>
  <c r="DL93" i="5"/>
  <c r="DM93" i="5"/>
  <c r="DN93" i="5"/>
  <c r="DO93" i="5"/>
  <c r="DP93" i="5"/>
  <c r="DQ93" i="5"/>
  <c r="DR93" i="5"/>
  <c r="DS93" i="5"/>
  <c r="DT93" i="5"/>
  <c r="DU93" i="5"/>
  <c r="DV93" i="5"/>
  <c r="DW93" i="5"/>
  <c r="DX93" i="5"/>
  <c r="DY93" i="5"/>
  <c r="DZ93" i="5"/>
  <c r="EA93" i="5"/>
  <c r="EB93" i="5"/>
  <c r="EC93" i="5"/>
  <c r="ED93" i="5"/>
  <c r="EE93" i="5"/>
  <c r="EF93" i="5"/>
  <c r="EG93" i="5"/>
  <c r="EH93" i="5"/>
  <c r="EI93" i="5"/>
  <c r="EJ93" i="5"/>
  <c r="EK93" i="5"/>
  <c r="EL93" i="5"/>
  <c r="EM93" i="5"/>
  <c r="EN93" i="5"/>
  <c r="EO93" i="5"/>
  <c r="EP93" i="5"/>
  <c r="EQ93" i="5"/>
  <c r="ER93" i="5"/>
  <c r="ES93" i="5"/>
  <c r="ET93" i="5"/>
  <c r="EU93" i="5"/>
  <c r="EV93" i="5"/>
  <c r="EW93" i="5"/>
  <c r="EX93" i="5"/>
  <c r="EY93" i="5"/>
  <c r="EZ93" i="5"/>
  <c r="FA93" i="5"/>
  <c r="FB93" i="5"/>
  <c r="FC93" i="5"/>
  <c r="FD93" i="5"/>
  <c r="FE93" i="5"/>
  <c r="FF93" i="5"/>
  <c r="FG93" i="5"/>
  <c r="FH93" i="5"/>
  <c r="FI93" i="5"/>
  <c r="FJ93" i="5"/>
  <c r="FK93" i="5"/>
  <c r="FL93" i="5"/>
  <c r="FM93" i="5"/>
  <c r="FN93" i="5"/>
  <c r="FO93" i="5"/>
  <c r="FP93" i="5"/>
  <c r="FQ93" i="5"/>
  <c r="FR93" i="5"/>
  <c r="FS93" i="5"/>
  <c r="FT93" i="5"/>
  <c r="FU93" i="5"/>
  <c r="FV93" i="5"/>
  <c r="FW93" i="5"/>
  <c r="FX93" i="5"/>
  <c r="FY93" i="5"/>
  <c r="FZ93" i="5"/>
  <c r="GA93" i="5"/>
  <c r="GB93" i="5"/>
  <c r="GC93" i="5"/>
  <c r="GD93" i="5"/>
  <c r="GE93" i="5"/>
  <c r="DA94" i="5"/>
  <c r="DB94" i="5"/>
  <c r="DC94" i="5"/>
  <c r="DD94" i="5"/>
  <c r="DE94" i="5"/>
  <c r="DF94" i="5"/>
  <c r="DG94" i="5"/>
  <c r="DH94" i="5"/>
  <c r="DI94" i="5"/>
  <c r="DJ94" i="5"/>
  <c r="DK94" i="5"/>
  <c r="DL94" i="5"/>
  <c r="DM94" i="5"/>
  <c r="DN94" i="5"/>
  <c r="DO94" i="5"/>
  <c r="DP94" i="5"/>
  <c r="DQ94" i="5"/>
  <c r="DR94" i="5"/>
  <c r="DS94" i="5"/>
  <c r="DT94" i="5"/>
  <c r="DU94" i="5"/>
  <c r="DV94" i="5"/>
  <c r="DW94" i="5"/>
  <c r="DX94" i="5"/>
  <c r="DY94" i="5"/>
  <c r="DZ94" i="5"/>
  <c r="EA94" i="5"/>
  <c r="EB94" i="5"/>
  <c r="EC94" i="5"/>
  <c r="ED94" i="5"/>
  <c r="EE94" i="5"/>
  <c r="EF94" i="5"/>
  <c r="EG94" i="5"/>
  <c r="EH94" i="5"/>
  <c r="EI94" i="5"/>
  <c r="EJ94" i="5"/>
  <c r="EK94" i="5"/>
  <c r="EL94" i="5"/>
  <c r="EM94" i="5"/>
  <c r="EN94" i="5"/>
  <c r="EO94" i="5"/>
  <c r="EP94" i="5"/>
  <c r="EQ94" i="5"/>
  <c r="ER94" i="5"/>
  <c r="ES94" i="5"/>
  <c r="ET94" i="5"/>
  <c r="EU94" i="5"/>
  <c r="EV94" i="5"/>
  <c r="EW94" i="5"/>
  <c r="EX94" i="5"/>
  <c r="EY94" i="5"/>
  <c r="EZ94" i="5"/>
  <c r="FA94" i="5"/>
  <c r="FB94" i="5"/>
  <c r="FC94" i="5"/>
  <c r="FD94" i="5"/>
  <c r="FE94" i="5"/>
  <c r="FF94" i="5"/>
  <c r="FG94" i="5"/>
  <c r="FH94" i="5"/>
  <c r="FI94" i="5"/>
  <c r="FJ94" i="5"/>
  <c r="FK94" i="5"/>
  <c r="FL94" i="5"/>
  <c r="FM94" i="5"/>
  <c r="FN94" i="5"/>
  <c r="FO94" i="5"/>
  <c r="FP94" i="5"/>
  <c r="FQ94" i="5"/>
  <c r="FR94" i="5"/>
  <c r="FS94" i="5"/>
  <c r="FT94" i="5"/>
  <c r="FU94" i="5"/>
  <c r="FV94" i="5"/>
  <c r="FW94" i="5"/>
  <c r="FX94" i="5"/>
  <c r="FY94" i="5"/>
  <c r="FZ94" i="5"/>
  <c r="GA94" i="5"/>
  <c r="GB94" i="5"/>
  <c r="GC94" i="5"/>
  <c r="GD94" i="5"/>
  <c r="GE94" i="5"/>
  <c r="DA95" i="5"/>
  <c r="DB95" i="5"/>
  <c r="DC95" i="5"/>
  <c r="DD95" i="5"/>
  <c r="DE95" i="5"/>
  <c r="DF95" i="5"/>
  <c r="DG95" i="5"/>
  <c r="DH95" i="5"/>
  <c r="DI95" i="5"/>
  <c r="DJ95" i="5"/>
  <c r="DK95" i="5"/>
  <c r="DL95" i="5"/>
  <c r="DM95" i="5"/>
  <c r="DN95" i="5"/>
  <c r="DO95" i="5"/>
  <c r="DP95" i="5"/>
  <c r="DQ95" i="5"/>
  <c r="DR95" i="5"/>
  <c r="DS95" i="5"/>
  <c r="DT95" i="5"/>
  <c r="DU95" i="5"/>
  <c r="DV95" i="5"/>
  <c r="DW95" i="5"/>
  <c r="DX95" i="5"/>
  <c r="DY95" i="5"/>
  <c r="DZ95" i="5"/>
  <c r="EA95" i="5"/>
  <c r="EB95" i="5"/>
  <c r="EC95" i="5"/>
  <c r="ED95" i="5"/>
  <c r="EE95" i="5"/>
  <c r="EF95" i="5"/>
  <c r="EG95" i="5"/>
  <c r="EH95" i="5"/>
  <c r="EI95" i="5"/>
  <c r="EJ95" i="5"/>
  <c r="EK95" i="5"/>
  <c r="EL95" i="5"/>
  <c r="EM95" i="5"/>
  <c r="EN95" i="5"/>
  <c r="EO95" i="5"/>
  <c r="EP95" i="5"/>
  <c r="EQ95" i="5"/>
  <c r="ER95" i="5"/>
  <c r="ES95" i="5"/>
  <c r="ET95" i="5"/>
  <c r="EU95" i="5"/>
  <c r="EV95" i="5"/>
  <c r="EW95" i="5"/>
  <c r="EX95" i="5"/>
  <c r="EY95" i="5"/>
  <c r="EZ95" i="5"/>
  <c r="FA95" i="5"/>
  <c r="FB95" i="5"/>
  <c r="FC95" i="5"/>
  <c r="FD95" i="5"/>
  <c r="FE95" i="5"/>
  <c r="FF95" i="5"/>
  <c r="FG95" i="5"/>
  <c r="FH95" i="5"/>
  <c r="FI95" i="5"/>
  <c r="FJ95" i="5"/>
  <c r="FK95" i="5"/>
  <c r="FL95" i="5"/>
  <c r="FM95" i="5"/>
  <c r="FN95" i="5"/>
  <c r="FO95" i="5"/>
  <c r="FP95" i="5"/>
  <c r="FQ95" i="5"/>
  <c r="FR95" i="5"/>
  <c r="FS95" i="5"/>
  <c r="FT95" i="5"/>
  <c r="FU95" i="5"/>
  <c r="FV95" i="5"/>
  <c r="FW95" i="5"/>
  <c r="FX95" i="5"/>
  <c r="FY95" i="5"/>
  <c r="FZ95" i="5"/>
  <c r="GA95" i="5"/>
  <c r="GB95" i="5"/>
  <c r="GC95" i="5"/>
  <c r="GD95" i="5"/>
  <c r="GE95" i="5"/>
  <c r="DA96" i="5"/>
  <c r="DB96" i="5"/>
  <c r="DC96" i="5"/>
  <c r="DD96" i="5"/>
  <c r="DE96" i="5"/>
  <c r="DF96" i="5"/>
  <c r="DG96" i="5"/>
  <c r="DH96" i="5"/>
  <c r="DI96" i="5"/>
  <c r="DJ96" i="5"/>
  <c r="DK96" i="5"/>
  <c r="DL96" i="5"/>
  <c r="DM96" i="5"/>
  <c r="DN96" i="5"/>
  <c r="DO96" i="5"/>
  <c r="DP96" i="5"/>
  <c r="DQ96" i="5"/>
  <c r="DR96" i="5"/>
  <c r="DS96" i="5"/>
  <c r="DT96" i="5"/>
  <c r="DU96" i="5"/>
  <c r="DV96" i="5"/>
  <c r="DW96" i="5"/>
  <c r="DX96" i="5"/>
  <c r="DY96" i="5"/>
  <c r="DZ96" i="5"/>
  <c r="EA96" i="5"/>
  <c r="EB96" i="5"/>
  <c r="EC96" i="5"/>
  <c r="ED96" i="5"/>
  <c r="EE96" i="5"/>
  <c r="EF96" i="5"/>
  <c r="EG96" i="5"/>
  <c r="EH96" i="5"/>
  <c r="EI96" i="5"/>
  <c r="EJ96" i="5"/>
  <c r="EK96" i="5"/>
  <c r="EL96" i="5"/>
  <c r="EM96" i="5"/>
  <c r="EN96" i="5"/>
  <c r="EO96" i="5"/>
  <c r="EP96" i="5"/>
  <c r="EQ96" i="5"/>
  <c r="ER96" i="5"/>
  <c r="ES96" i="5"/>
  <c r="ET96" i="5"/>
  <c r="EU96" i="5"/>
  <c r="EV96" i="5"/>
  <c r="EW96" i="5"/>
  <c r="EX96" i="5"/>
  <c r="EY96" i="5"/>
  <c r="EZ96" i="5"/>
  <c r="FA96" i="5"/>
  <c r="FB96" i="5"/>
  <c r="FC96" i="5"/>
  <c r="FD96" i="5"/>
  <c r="FE96" i="5"/>
  <c r="FF96" i="5"/>
  <c r="FG96" i="5"/>
  <c r="FH96" i="5"/>
  <c r="FI96" i="5"/>
  <c r="FJ96" i="5"/>
  <c r="FK96" i="5"/>
  <c r="FL96" i="5"/>
  <c r="FM96" i="5"/>
  <c r="FN96" i="5"/>
  <c r="FO96" i="5"/>
  <c r="FP96" i="5"/>
  <c r="FQ96" i="5"/>
  <c r="FR96" i="5"/>
  <c r="FS96" i="5"/>
  <c r="FT96" i="5"/>
  <c r="FU96" i="5"/>
  <c r="FV96" i="5"/>
  <c r="FW96" i="5"/>
  <c r="FX96" i="5"/>
  <c r="FY96" i="5"/>
  <c r="FZ96" i="5"/>
  <c r="GA96" i="5"/>
  <c r="GB96" i="5"/>
  <c r="GC96" i="5"/>
  <c r="GD96" i="5"/>
  <c r="GE96" i="5"/>
  <c r="DA97" i="5"/>
  <c r="DB97" i="5"/>
  <c r="DC97" i="5"/>
  <c r="DD97" i="5"/>
  <c r="DE97" i="5"/>
  <c r="DF97" i="5"/>
  <c r="DG97" i="5"/>
  <c r="DH97" i="5"/>
  <c r="DI97" i="5"/>
  <c r="DJ97" i="5"/>
  <c r="DK97" i="5"/>
  <c r="DL97" i="5"/>
  <c r="DM97" i="5"/>
  <c r="DN97" i="5"/>
  <c r="DO97" i="5"/>
  <c r="DP97" i="5"/>
  <c r="DQ97" i="5"/>
  <c r="DR97" i="5"/>
  <c r="DS97" i="5"/>
  <c r="DT97" i="5"/>
  <c r="DU97" i="5"/>
  <c r="DV97" i="5"/>
  <c r="DW97" i="5"/>
  <c r="DX97" i="5"/>
  <c r="DY97" i="5"/>
  <c r="DZ97" i="5"/>
  <c r="EA97" i="5"/>
  <c r="EB97" i="5"/>
  <c r="EC97" i="5"/>
  <c r="ED97" i="5"/>
  <c r="EE97" i="5"/>
  <c r="EF97" i="5"/>
  <c r="EG97" i="5"/>
  <c r="EH97" i="5"/>
  <c r="EI97" i="5"/>
  <c r="EJ97" i="5"/>
  <c r="EK97" i="5"/>
  <c r="EL97" i="5"/>
  <c r="EM97" i="5"/>
  <c r="EN97" i="5"/>
  <c r="EO97" i="5"/>
  <c r="EP97" i="5"/>
  <c r="EQ97" i="5"/>
  <c r="ER97" i="5"/>
  <c r="ES97" i="5"/>
  <c r="ET97" i="5"/>
  <c r="EU97" i="5"/>
  <c r="EV97" i="5"/>
  <c r="EW97" i="5"/>
  <c r="EX97" i="5"/>
  <c r="EY97" i="5"/>
  <c r="EZ97" i="5"/>
  <c r="FA97" i="5"/>
  <c r="FB97" i="5"/>
  <c r="FC97" i="5"/>
  <c r="FD97" i="5"/>
  <c r="FE97" i="5"/>
  <c r="FF97" i="5"/>
  <c r="FG97" i="5"/>
  <c r="FH97" i="5"/>
  <c r="FI97" i="5"/>
  <c r="FJ97" i="5"/>
  <c r="FK97" i="5"/>
  <c r="FL97" i="5"/>
  <c r="FM97" i="5"/>
  <c r="FN97" i="5"/>
  <c r="FO97" i="5"/>
  <c r="FP97" i="5"/>
  <c r="FQ97" i="5"/>
  <c r="FR97" i="5"/>
  <c r="FS97" i="5"/>
  <c r="FT97" i="5"/>
  <c r="FU97" i="5"/>
  <c r="FV97" i="5"/>
  <c r="FW97" i="5"/>
  <c r="FX97" i="5"/>
  <c r="FY97" i="5"/>
  <c r="FZ97" i="5"/>
  <c r="GA97" i="5"/>
  <c r="GB97" i="5"/>
  <c r="GC97" i="5"/>
  <c r="GD97" i="5"/>
  <c r="GE97" i="5"/>
  <c r="DA98" i="5"/>
  <c r="DB98" i="5"/>
  <c r="DC98" i="5"/>
  <c r="DD98" i="5"/>
  <c r="DE98" i="5"/>
  <c r="DF98" i="5"/>
  <c r="DG98" i="5"/>
  <c r="DH98" i="5"/>
  <c r="DI98" i="5"/>
  <c r="DJ98" i="5"/>
  <c r="DK98" i="5"/>
  <c r="DL98" i="5"/>
  <c r="DM98" i="5"/>
  <c r="DN98" i="5"/>
  <c r="DO98" i="5"/>
  <c r="DP98" i="5"/>
  <c r="DQ98" i="5"/>
  <c r="DR98" i="5"/>
  <c r="DS98" i="5"/>
  <c r="DT98" i="5"/>
  <c r="DU98" i="5"/>
  <c r="DV98" i="5"/>
  <c r="DW98" i="5"/>
  <c r="DX98" i="5"/>
  <c r="DY98" i="5"/>
  <c r="DZ98" i="5"/>
  <c r="EA98" i="5"/>
  <c r="EB98" i="5"/>
  <c r="EC98" i="5"/>
  <c r="ED98" i="5"/>
  <c r="EE98" i="5"/>
  <c r="EF98" i="5"/>
  <c r="EG98" i="5"/>
  <c r="EH98" i="5"/>
  <c r="EI98" i="5"/>
  <c r="EJ98" i="5"/>
  <c r="EK98" i="5"/>
  <c r="EL98" i="5"/>
  <c r="EM98" i="5"/>
  <c r="EN98" i="5"/>
  <c r="EO98" i="5"/>
  <c r="EP98" i="5"/>
  <c r="EQ98" i="5"/>
  <c r="ER98" i="5"/>
  <c r="ES98" i="5"/>
  <c r="ET98" i="5"/>
  <c r="EU98" i="5"/>
  <c r="EV98" i="5"/>
  <c r="EW98" i="5"/>
  <c r="EX98" i="5"/>
  <c r="EY98" i="5"/>
  <c r="EZ98" i="5"/>
  <c r="FA98" i="5"/>
  <c r="FB98" i="5"/>
  <c r="FC98" i="5"/>
  <c r="FD98" i="5"/>
  <c r="FE98" i="5"/>
  <c r="FF98" i="5"/>
  <c r="FG98" i="5"/>
  <c r="FH98" i="5"/>
  <c r="FI98" i="5"/>
  <c r="FJ98" i="5"/>
  <c r="FK98" i="5"/>
  <c r="FL98" i="5"/>
  <c r="FM98" i="5"/>
  <c r="FN98" i="5"/>
  <c r="FO98" i="5"/>
  <c r="FP98" i="5"/>
  <c r="FQ98" i="5"/>
  <c r="FR98" i="5"/>
  <c r="FS98" i="5"/>
  <c r="FT98" i="5"/>
  <c r="FU98" i="5"/>
  <c r="FV98" i="5"/>
  <c r="FW98" i="5"/>
  <c r="FX98" i="5"/>
  <c r="FY98" i="5"/>
  <c r="FZ98" i="5"/>
  <c r="GA98" i="5"/>
  <c r="GB98" i="5"/>
  <c r="GC98" i="5"/>
  <c r="GD98" i="5"/>
  <c r="GE98" i="5"/>
  <c r="DA99" i="5"/>
  <c r="DB99" i="5"/>
  <c r="DC99" i="5"/>
  <c r="DD99" i="5"/>
  <c r="DE99" i="5"/>
  <c r="DF99" i="5"/>
  <c r="DG99" i="5"/>
  <c r="DH99" i="5"/>
  <c r="DI99" i="5"/>
  <c r="DJ99" i="5"/>
  <c r="DK99" i="5"/>
  <c r="DL99" i="5"/>
  <c r="DM99" i="5"/>
  <c r="DN99" i="5"/>
  <c r="DO99" i="5"/>
  <c r="DP99" i="5"/>
  <c r="DQ99" i="5"/>
  <c r="DR99" i="5"/>
  <c r="DS99" i="5"/>
  <c r="DT99" i="5"/>
  <c r="DU99" i="5"/>
  <c r="DV99" i="5"/>
  <c r="DW99" i="5"/>
  <c r="DX99" i="5"/>
  <c r="DY99" i="5"/>
  <c r="DZ99" i="5"/>
  <c r="EA99" i="5"/>
  <c r="EB99" i="5"/>
  <c r="EC99" i="5"/>
  <c r="ED99" i="5"/>
  <c r="EE99" i="5"/>
  <c r="EF99" i="5"/>
  <c r="EG99" i="5"/>
  <c r="EH99" i="5"/>
  <c r="EI99" i="5"/>
  <c r="EJ99" i="5"/>
  <c r="EK99" i="5"/>
  <c r="EL99" i="5"/>
  <c r="EM99" i="5"/>
  <c r="EN99" i="5"/>
  <c r="EO99" i="5"/>
  <c r="EP99" i="5"/>
  <c r="EQ99" i="5"/>
  <c r="ER99" i="5"/>
  <c r="ES99" i="5"/>
  <c r="ET99" i="5"/>
  <c r="EU99" i="5"/>
  <c r="EV99" i="5"/>
  <c r="EW99" i="5"/>
  <c r="EX99" i="5"/>
  <c r="EY99" i="5"/>
  <c r="EZ99" i="5"/>
  <c r="FA99" i="5"/>
  <c r="FB99" i="5"/>
  <c r="FC99" i="5"/>
  <c r="FD99" i="5"/>
  <c r="FE99" i="5"/>
  <c r="FF99" i="5"/>
  <c r="FG99" i="5"/>
  <c r="FH99" i="5"/>
  <c r="FI99" i="5"/>
  <c r="FJ99" i="5"/>
  <c r="FK99" i="5"/>
  <c r="FL99" i="5"/>
  <c r="FM99" i="5"/>
  <c r="FN99" i="5"/>
  <c r="FO99" i="5"/>
  <c r="FP99" i="5"/>
  <c r="FQ99" i="5"/>
  <c r="FR99" i="5"/>
  <c r="FS99" i="5"/>
  <c r="FT99" i="5"/>
  <c r="FU99" i="5"/>
  <c r="FV99" i="5"/>
  <c r="FW99" i="5"/>
  <c r="FX99" i="5"/>
  <c r="FY99" i="5"/>
  <c r="FZ99" i="5"/>
  <c r="GA99" i="5"/>
  <c r="GB99" i="5"/>
  <c r="GC99" i="5"/>
  <c r="GD99" i="5"/>
  <c r="GE99" i="5"/>
  <c r="DA100" i="5"/>
  <c r="DB100" i="5"/>
  <c r="DC100" i="5"/>
  <c r="DD100" i="5"/>
  <c r="DE100" i="5"/>
  <c r="DF100" i="5"/>
  <c r="DG100" i="5"/>
  <c r="DH100" i="5"/>
  <c r="DI100" i="5"/>
  <c r="DJ100" i="5"/>
  <c r="DK100" i="5"/>
  <c r="DL100" i="5"/>
  <c r="DM100" i="5"/>
  <c r="DN100" i="5"/>
  <c r="DO100" i="5"/>
  <c r="DP100" i="5"/>
  <c r="DQ100" i="5"/>
  <c r="DR100" i="5"/>
  <c r="DS100" i="5"/>
  <c r="DT100" i="5"/>
  <c r="DU100" i="5"/>
  <c r="DV100" i="5"/>
  <c r="DW100" i="5"/>
  <c r="DX100" i="5"/>
  <c r="DY100" i="5"/>
  <c r="DZ100" i="5"/>
  <c r="EA100" i="5"/>
  <c r="EB100" i="5"/>
  <c r="EC100" i="5"/>
  <c r="ED100" i="5"/>
  <c r="EE100" i="5"/>
  <c r="EF100" i="5"/>
  <c r="EG100" i="5"/>
  <c r="EH100" i="5"/>
  <c r="EI100" i="5"/>
  <c r="EJ100" i="5"/>
  <c r="EK100" i="5"/>
  <c r="EL100" i="5"/>
  <c r="EM100" i="5"/>
  <c r="EN100" i="5"/>
  <c r="EO100" i="5"/>
  <c r="EP100" i="5"/>
  <c r="EQ100" i="5"/>
  <c r="ER100" i="5"/>
  <c r="ES100" i="5"/>
  <c r="ET100" i="5"/>
  <c r="EU100" i="5"/>
  <c r="EV100" i="5"/>
  <c r="EW100" i="5"/>
  <c r="EX100" i="5"/>
  <c r="EY100" i="5"/>
  <c r="EZ100" i="5"/>
  <c r="FA100" i="5"/>
  <c r="FB100" i="5"/>
  <c r="FC100" i="5"/>
  <c r="FD100" i="5"/>
  <c r="FE100" i="5"/>
  <c r="FF100" i="5"/>
  <c r="FG100" i="5"/>
  <c r="FH100" i="5"/>
  <c r="FI100" i="5"/>
  <c r="FJ100" i="5"/>
  <c r="FK100" i="5"/>
  <c r="FL100" i="5"/>
  <c r="FM100" i="5"/>
  <c r="FN100" i="5"/>
  <c r="FO100" i="5"/>
  <c r="FP100" i="5"/>
  <c r="FQ100" i="5"/>
  <c r="FR100" i="5"/>
  <c r="FS100" i="5"/>
  <c r="FT100" i="5"/>
  <c r="FU100" i="5"/>
  <c r="FV100" i="5"/>
  <c r="FW100" i="5"/>
  <c r="FX100" i="5"/>
  <c r="FY100" i="5"/>
  <c r="FZ100" i="5"/>
  <c r="GA100" i="5"/>
  <c r="GB100" i="5"/>
  <c r="GC100" i="5"/>
  <c r="GD100" i="5"/>
  <c r="GE100" i="5"/>
  <c r="DA101" i="5"/>
  <c r="DB101" i="5"/>
  <c r="DC101" i="5"/>
  <c r="DD101" i="5"/>
  <c r="DE101" i="5"/>
  <c r="DF101" i="5"/>
  <c r="DG101" i="5"/>
  <c r="DH101" i="5"/>
  <c r="DI101" i="5"/>
  <c r="DJ101" i="5"/>
  <c r="DK101" i="5"/>
  <c r="DL101" i="5"/>
  <c r="DM101" i="5"/>
  <c r="DN101" i="5"/>
  <c r="DO101" i="5"/>
  <c r="DP101" i="5"/>
  <c r="DQ101" i="5"/>
  <c r="DR101" i="5"/>
  <c r="DS101" i="5"/>
  <c r="DT101" i="5"/>
  <c r="DU101" i="5"/>
  <c r="DV101" i="5"/>
  <c r="DW101" i="5"/>
  <c r="DX101" i="5"/>
  <c r="DY101" i="5"/>
  <c r="DZ101" i="5"/>
  <c r="EA101" i="5"/>
  <c r="EB101" i="5"/>
  <c r="EC101" i="5"/>
  <c r="ED101" i="5"/>
  <c r="EE101" i="5"/>
  <c r="EF101" i="5"/>
  <c r="EG101" i="5"/>
  <c r="EH101" i="5"/>
  <c r="EI101" i="5"/>
  <c r="EJ101" i="5"/>
  <c r="EK101" i="5"/>
  <c r="EL101" i="5"/>
  <c r="EM101" i="5"/>
  <c r="EN101" i="5"/>
  <c r="EO101" i="5"/>
  <c r="EP101" i="5"/>
  <c r="EQ101" i="5"/>
  <c r="ER101" i="5"/>
  <c r="ES101" i="5"/>
  <c r="ET101" i="5"/>
  <c r="EU101" i="5"/>
  <c r="EV101" i="5"/>
  <c r="EW101" i="5"/>
  <c r="EX101" i="5"/>
  <c r="EY101" i="5"/>
  <c r="EZ101" i="5"/>
  <c r="FA101" i="5"/>
  <c r="FB101" i="5"/>
  <c r="FC101" i="5"/>
  <c r="FD101" i="5"/>
  <c r="FE101" i="5"/>
  <c r="FF101" i="5"/>
  <c r="FG101" i="5"/>
  <c r="FH101" i="5"/>
  <c r="FI101" i="5"/>
  <c r="FJ101" i="5"/>
  <c r="FK101" i="5"/>
  <c r="FL101" i="5"/>
  <c r="FM101" i="5"/>
  <c r="FN101" i="5"/>
  <c r="FO101" i="5"/>
  <c r="FP101" i="5"/>
  <c r="FQ101" i="5"/>
  <c r="FR101" i="5"/>
  <c r="FS101" i="5"/>
  <c r="FT101" i="5"/>
  <c r="FU101" i="5"/>
  <c r="FV101" i="5"/>
  <c r="FW101" i="5"/>
  <c r="FX101" i="5"/>
  <c r="FY101" i="5"/>
  <c r="FZ101" i="5"/>
  <c r="GA101" i="5"/>
  <c r="GB101" i="5"/>
  <c r="GC101" i="5"/>
  <c r="GD101" i="5"/>
  <c r="GE101" i="5"/>
  <c r="DA102" i="5"/>
  <c r="DB102" i="5"/>
  <c r="DC102" i="5"/>
  <c r="DD102" i="5"/>
  <c r="DE102" i="5"/>
  <c r="DF102" i="5"/>
  <c r="DG102" i="5"/>
  <c r="DH102" i="5"/>
  <c r="DI102" i="5"/>
  <c r="DJ102" i="5"/>
  <c r="DK102" i="5"/>
  <c r="DL102" i="5"/>
  <c r="DM102" i="5"/>
  <c r="DN102" i="5"/>
  <c r="DO102" i="5"/>
  <c r="DP102" i="5"/>
  <c r="DQ102" i="5"/>
  <c r="DR102" i="5"/>
  <c r="DS102" i="5"/>
  <c r="DT102" i="5"/>
  <c r="DU102" i="5"/>
  <c r="DV102" i="5"/>
  <c r="DW102" i="5"/>
  <c r="DX102" i="5"/>
  <c r="DY102" i="5"/>
  <c r="DZ102" i="5"/>
  <c r="EA102" i="5"/>
  <c r="EB102" i="5"/>
  <c r="EC102" i="5"/>
  <c r="ED102" i="5"/>
  <c r="EE102" i="5"/>
  <c r="EF102" i="5"/>
  <c r="EG102" i="5"/>
  <c r="EH102" i="5"/>
  <c r="EI102" i="5"/>
  <c r="EJ102" i="5"/>
  <c r="EK102" i="5"/>
  <c r="EL102" i="5"/>
  <c r="EM102" i="5"/>
  <c r="EN102" i="5"/>
  <c r="EO102" i="5"/>
  <c r="EP102" i="5"/>
  <c r="EQ102" i="5"/>
  <c r="ER102" i="5"/>
  <c r="ES102" i="5"/>
  <c r="ET102" i="5"/>
  <c r="EU102" i="5"/>
  <c r="EV102" i="5"/>
  <c r="EW102" i="5"/>
  <c r="EX102" i="5"/>
  <c r="EY102" i="5"/>
  <c r="EZ102" i="5"/>
  <c r="FA102" i="5"/>
  <c r="FB102" i="5"/>
  <c r="FC102" i="5"/>
  <c r="FD102" i="5"/>
  <c r="FE102" i="5"/>
  <c r="FF102" i="5"/>
  <c r="FG102" i="5"/>
  <c r="FH102" i="5"/>
  <c r="FI102" i="5"/>
  <c r="FJ102" i="5"/>
  <c r="FK102" i="5"/>
  <c r="FL102" i="5"/>
  <c r="FM102" i="5"/>
  <c r="FN102" i="5"/>
  <c r="FO102" i="5"/>
  <c r="FP102" i="5"/>
  <c r="FQ102" i="5"/>
  <c r="FR102" i="5"/>
  <c r="FS102" i="5"/>
  <c r="FT102" i="5"/>
  <c r="FU102" i="5"/>
  <c r="FV102" i="5"/>
  <c r="FW102" i="5"/>
  <c r="FX102" i="5"/>
  <c r="FY102" i="5"/>
  <c r="FZ102" i="5"/>
  <c r="GA102" i="5"/>
  <c r="GB102" i="5"/>
  <c r="GC102" i="5"/>
  <c r="GD102" i="5"/>
  <c r="GE102" i="5"/>
  <c r="DA103" i="5"/>
  <c r="DB103" i="5"/>
  <c r="DC103" i="5"/>
  <c r="DD103" i="5"/>
  <c r="DE103" i="5"/>
  <c r="DF103" i="5"/>
  <c r="DG103" i="5"/>
  <c r="DH103" i="5"/>
  <c r="DI103" i="5"/>
  <c r="DJ103" i="5"/>
  <c r="DK103" i="5"/>
  <c r="DL103" i="5"/>
  <c r="DM103" i="5"/>
  <c r="DN103" i="5"/>
  <c r="DO103" i="5"/>
  <c r="DP103" i="5"/>
  <c r="DQ103" i="5"/>
  <c r="DR103" i="5"/>
  <c r="DS103" i="5"/>
  <c r="DT103" i="5"/>
  <c r="DU103" i="5"/>
  <c r="DV103" i="5"/>
  <c r="DW103" i="5"/>
  <c r="DX103" i="5"/>
  <c r="DY103" i="5"/>
  <c r="DZ103" i="5"/>
  <c r="EA103" i="5"/>
  <c r="EB103" i="5"/>
  <c r="EC103" i="5"/>
  <c r="ED103" i="5"/>
  <c r="EE103" i="5"/>
  <c r="EF103" i="5"/>
  <c r="EG103" i="5"/>
  <c r="EH103" i="5"/>
  <c r="EI103" i="5"/>
  <c r="EJ103" i="5"/>
  <c r="EK103" i="5"/>
  <c r="EL103" i="5"/>
  <c r="EM103" i="5"/>
  <c r="EN103" i="5"/>
  <c r="EO103" i="5"/>
  <c r="EP103" i="5"/>
  <c r="EQ103" i="5"/>
  <c r="ER103" i="5"/>
  <c r="ES103" i="5"/>
  <c r="ET103" i="5"/>
  <c r="EU103" i="5"/>
  <c r="EV103" i="5"/>
  <c r="EW103" i="5"/>
  <c r="EX103" i="5"/>
  <c r="EY103" i="5"/>
  <c r="EZ103" i="5"/>
  <c r="FA103" i="5"/>
  <c r="FB103" i="5"/>
  <c r="FC103" i="5"/>
  <c r="FD103" i="5"/>
  <c r="FE103" i="5"/>
  <c r="FF103" i="5"/>
  <c r="FG103" i="5"/>
  <c r="FH103" i="5"/>
  <c r="FI103" i="5"/>
  <c r="FJ103" i="5"/>
  <c r="FK103" i="5"/>
  <c r="FL103" i="5"/>
  <c r="FM103" i="5"/>
  <c r="FN103" i="5"/>
  <c r="FO103" i="5"/>
  <c r="FP103" i="5"/>
  <c r="FQ103" i="5"/>
  <c r="FR103" i="5"/>
  <c r="FS103" i="5"/>
  <c r="FT103" i="5"/>
  <c r="FU103" i="5"/>
  <c r="FV103" i="5"/>
  <c r="FW103" i="5"/>
  <c r="FX103" i="5"/>
  <c r="FY103" i="5"/>
  <c r="FZ103" i="5"/>
  <c r="GA103" i="5"/>
  <c r="GB103" i="5"/>
  <c r="GC103" i="5"/>
  <c r="GD103" i="5"/>
  <c r="GE103" i="5"/>
  <c r="DA104" i="5"/>
  <c r="DB104" i="5"/>
  <c r="DC104" i="5"/>
  <c r="DD104" i="5"/>
  <c r="DE104" i="5"/>
  <c r="DF104" i="5"/>
  <c r="DG104" i="5"/>
  <c r="DH104" i="5"/>
  <c r="DI104" i="5"/>
  <c r="DJ104" i="5"/>
  <c r="DK104" i="5"/>
  <c r="DL104" i="5"/>
  <c r="DM104" i="5"/>
  <c r="DN104" i="5"/>
  <c r="DO104" i="5"/>
  <c r="DP104" i="5"/>
  <c r="DQ104" i="5"/>
  <c r="DR104" i="5"/>
  <c r="DS104" i="5"/>
  <c r="DT104" i="5"/>
  <c r="DU104" i="5"/>
  <c r="DV104" i="5"/>
  <c r="DW104" i="5"/>
  <c r="DX104" i="5"/>
  <c r="DY104" i="5"/>
  <c r="DZ104" i="5"/>
  <c r="EA104" i="5"/>
  <c r="EB104" i="5"/>
  <c r="EC104" i="5"/>
  <c r="ED104" i="5"/>
  <c r="EE104" i="5"/>
  <c r="EF104" i="5"/>
  <c r="EG104" i="5"/>
  <c r="EH104" i="5"/>
  <c r="EI104" i="5"/>
  <c r="EJ104" i="5"/>
  <c r="EK104" i="5"/>
  <c r="EL104" i="5"/>
  <c r="EM104" i="5"/>
  <c r="EN104" i="5"/>
  <c r="EO104" i="5"/>
  <c r="EP104" i="5"/>
  <c r="EQ104" i="5"/>
  <c r="ER104" i="5"/>
  <c r="ES104" i="5"/>
  <c r="ET104" i="5"/>
  <c r="EU104" i="5"/>
  <c r="EV104" i="5"/>
  <c r="EW104" i="5"/>
  <c r="EX104" i="5"/>
  <c r="EY104" i="5"/>
  <c r="EZ104" i="5"/>
  <c r="FA104" i="5"/>
  <c r="FB104" i="5"/>
  <c r="FC104" i="5"/>
  <c r="FD104" i="5"/>
  <c r="FE104" i="5"/>
  <c r="FF104" i="5"/>
  <c r="FG104" i="5"/>
  <c r="FH104" i="5"/>
  <c r="FI104" i="5"/>
  <c r="FJ104" i="5"/>
  <c r="FK104" i="5"/>
  <c r="FL104" i="5"/>
  <c r="FM104" i="5"/>
  <c r="FN104" i="5"/>
  <c r="FO104" i="5"/>
  <c r="FP104" i="5"/>
  <c r="FQ104" i="5"/>
  <c r="FR104" i="5"/>
  <c r="FS104" i="5"/>
  <c r="FT104" i="5"/>
  <c r="FU104" i="5"/>
  <c r="FV104" i="5"/>
  <c r="FW104" i="5"/>
  <c r="FX104" i="5"/>
  <c r="FY104" i="5"/>
  <c r="FZ104" i="5"/>
  <c r="GA104" i="5"/>
  <c r="GB104" i="5"/>
  <c r="GC104" i="5"/>
  <c r="GD104" i="5"/>
  <c r="GE104" i="5"/>
  <c r="DA105" i="5"/>
  <c r="DB105" i="5"/>
  <c r="DC105" i="5"/>
  <c r="DD105" i="5"/>
  <c r="DE105" i="5"/>
  <c r="DF105" i="5"/>
  <c r="DG105" i="5"/>
  <c r="DH105" i="5"/>
  <c r="DI105" i="5"/>
  <c r="DJ105" i="5"/>
  <c r="DK105" i="5"/>
  <c r="DL105" i="5"/>
  <c r="DM105" i="5"/>
  <c r="DN105" i="5"/>
  <c r="DO105" i="5"/>
  <c r="DP105" i="5"/>
  <c r="DQ105" i="5"/>
  <c r="DR105" i="5"/>
  <c r="DS105" i="5"/>
  <c r="DT105" i="5"/>
  <c r="DU105" i="5"/>
  <c r="DV105" i="5"/>
  <c r="DW105" i="5"/>
  <c r="DX105" i="5"/>
  <c r="DY105" i="5"/>
  <c r="DZ105" i="5"/>
  <c r="EA105" i="5"/>
  <c r="EB105" i="5"/>
  <c r="EC105" i="5"/>
  <c r="ED105" i="5"/>
  <c r="EE105" i="5"/>
  <c r="EF105" i="5"/>
  <c r="EG105" i="5"/>
  <c r="EH105" i="5"/>
  <c r="EI105" i="5"/>
  <c r="EJ105" i="5"/>
  <c r="EK105" i="5"/>
  <c r="EL105" i="5"/>
  <c r="EM105" i="5"/>
  <c r="EN105" i="5"/>
  <c r="EO105" i="5"/>
  <c r="EP105" i="5"/>
  <c r="EQ105" i="5"/>
  <c r="ER105" i="5"/>
  <c r="ES105" i="5"/>
  <c r="ET105" i="5"/>
  <c r="EU105" i="5"/>
  <c r="EV105" i="5"/>
  <c r="EW105" i="5"/>
  <c r="EX105" i="5"/>
  <c r="EY105" i="5"/>
  <c r="EZ105" i="5"/>
  <c r="FA105" i="5"/>
  <c r="FB105" i="5"/>
  <c r="FC105" i="5"/>
  <c r="FD105" i="5"/>
  <c r="FE105" i="5"/>
  <c r="FF105" i="5"/>
  <c r="FG105" i="5"/>
  <c r="FH105" i="5"/>
  <c r="FI105" i="5"/>
  <c r="FJ105" i="5"/>
  <c r="FK105" i="5"/>
  <c r="FL105" i="5"/>
  <c r="FM105" i="5"/>
  <c r="FN105" i="5"/>
  <c r="FO105" i="5"/>
  <c r="FP105" i="5"/>
  <c r="FQ105" i="5"/>
  <c r="FR105" i="5"/>
  <c r="FS105" i="5"/>
  <c r="FT105" i="5"/>
  <c r="FU105" i="5"/>
  <c r="FV105" i="5"/>
  <c r="FW105" i="5"/>
  <c r="FX105" i="5"/>
  <c r="FY105" i="5"/>
  <c r="FZ105" i="5"/>
  <c r="GA105" i="5"/>
  <c r="GB105" i="5"/>
  <c r="GC105" i="5"/>
  <c r="GD105" i="5"/>
  <c r="GE105" i="5"/>
  <c r="DA106" i="5"/>
  <c r="DB106" i="5"/>
  <c r="DC106" i="5"/>
  <c r="DD106" i="5"/>
  <c r="DE106" i="5"/>
  <c r="DF106" i="5"/>
  <c r="DG106" i="5"/>
  <c r="DH106" i="5"/>
  <c r="DI106" i="5"/>
  <c r="DJ106" i="5"/>
  <c r="DK106" i="5"/>
  <c r="DL106" i="5"/>
  <c r="DM106" i="5"/>
  <c r="DN106" i="5"/>
  <c r="DO106" i="5"/>
  <c r="DP106" i="5"/>
  <c r="DQ106" i="5"/>
  <c r="DR106" i="5"/>
  <c r="DS106" i="5"/>
  <c r="DT106" i="5"/>
  <c r="DU106" i="5"/>
  <c r="DV106" i="5"/>
  <c r="DW106" i="5"/>
  <c r="DX106" i="5"/>
  <c r="DY106" i="5"/>
  <c r="DZ106" i="5"/>
  <c r="EA106" i="5"/>
  <c r="EB106" i="5"/>
  <c r="EC106" i="5"/>
  <c r="ED106" i="5"/>
  <c r="EE106" i="5"/>
  <c r="EF106" i="5"/>
  <c r="EG106" i="5"/>
  <c r="EH106" i="5"/>
  <c r="EI106" i="5"/>
  <c r="EJ106" i="5"/>
  <c r="EK106" i="5"/>
  <c r="EL106" i="5"/>
  <c r="EM106" i="5"/>
  <c r="EN106" i="5"/>
  <c r="EO106" i="5"/>
  <c r="EP106" i="5"/>
  <c r="EQ106" i="5"/>
  <c r="ER106" i="5"/>
  <c r="ES106" i="5"/>
  <c r="ET106" i="5"/>
  <c r="EU106" i="5"/>
  <c r="EV106" i="5"/>
  <c r="EW106" i="5"/>
  <c r="EX106" i="5"/>
  <c r="EY106" i="5"/>
  <c r="EZ106" i="5"/>
  <c r="FA106" i="5"/>
  <c r="FB106" i="5"/>
  <c r="FC106" i="5"/>
  <c r="FD106" i="5"/>
  <c r="FE106" i="5"/>
  <c r="FF106" i="5"/>
  <c r="FG106" i="5"/>
  <c r="FH106" i="5"/>
  <c r="FI106" i="5"/>
  <c r="FJ106" i="5"/>
  <c r="FK106" i="5"/>
  <c r="FL106" i="5"/>
  <c r="FM106" i="5"/>
  <c r="FN106" i="5"/>
  <c r="FO106" i="5"/>
  <c r="FP106" i="5"/>
  <c r="FQ106" i="5"/>
  <c r="FR106" i="5"/>
  <c r="FS106" i="5"/>
  <c r="FT106" i="5"/>
  <c r="FU106" i="5"/>
  <c r="FV106" i="5"/>
  <c r="FW106" i="5"/>
  <c r="FX106" i="5"/>
  <c r="FY106" i="5"/>
  <c r="FZ106" i="5"/>
  <c r="GA106" i="5"/>
  <c r="GB106" i="5"/>
  <c r="GC106" i="5"/>
  <c r="GD106" i="5"/>
  <c r="GE106" i="5"/>
  <c r="DA107" i="5"/>
  <c r="DB107" i="5"/>
  <c r="DC107" i="5"/>
  <c r="DD107" i="5"/>
  <c r="DE107" i="5"/>
  <c r="DF107" i="5"/>
  <c r="DG107" i="5"/>
  <c r="DH107" i="5"/>
  <c r="DI107" i="5"/>
  <c r="DJ107" i="5"/>
  <c r="DK107" i="5"/>
  <c r="DL107" i="5"/>
  <c r="DM107" i="5"/>
  <c r="DN107" i="5"/>
  <c r="DO107" i="5"/>
  <c r="DP107" i="5"/>
  <c r="DQ107" i="5"/>
  <c r="DR107" i="5"/>
  <c r="DS107" i="5"/>
  <c r="DT107" i="5"/>
  <c r="DU107" i="5"/>
  <c r="DV107" i="5"/>
  <c r="DW107" i="5"/>
  <c r="DX107" i="5"/>
  <c r="DY107" i="5"/>
  <c r="DZ107" i="5"/>
  <c r="EA107" i="5"/>
  <c r="EB107" i="5"/>
  <c r="EC107" i="5"/>
  <c r="ED107" i="5"/>
  <c r="EE107" i="5"/>
  <c r="EF107" i="5"/>
  <c r="EG107" i="5"/>
  <c r="EH107" i="5"/>
  <c r="EI107" i="5"/>
  <c r="EJ107" i="5"/>
  <c r="EK107" i="5"/>
  <c r="EL107" i="5"/>
  <c r="EM107" i="5"/>
  <c r="EN107" i="5"/>
  <c r="EO107" i="5"/>
  <c r="EP107" i="5"/>
  <c r="EQ107" i="5"/>
  <c r="ER107" i="5"/>
  <c r="ES107" i="5"/>
  <c r="ET107" i="5"/>
  <c r="EU107" i="5"/>
  <c r="EV107" i="5"/>
  <c r="EW107" i="5"/>
  <c r="EX107" i="5"/>
  <c r="EY107" i="5"/>
  <c r="EZ107" i="5"/>
  <c r="FA107" i="5"/>
  <c r="FB107" i="5"/>
  <c r="FC107" i="5"/>
  <c r="FD107" i="5"/>
  <c r="FE107" i="5"/>
  <c r="FF107" i="5"/>
  <c r="FG107" i="5"/>
  <c r="FH107" i="5"/>
  <c r="FI107" i="5"/>
  <c r="FJ107" i="5"/>
  <c r="FK107" i="5"/>
  <c r="FL107" i="5"/>
  <c r="FM107" i="5"/>
  <c r="FN107" i="5"/>
  <c r="FO107" i="5"/>
  <c r="FP107" i="5"/>
  <c r="FQ107" i="5"/>
  <c r="FR107" i="5"/>
  <c r="FS107" i="5"/>
  <c r="FT107" i="5"/>
  <c r="FU107" i="5"/>
  <c r="FV107" i="5"/>
  <c r="FW107" i="5"/>
  <c r="FX107" i="5"/>
  <c r="FY107" i="5"/>
  <c r="FZ107" i="5"/>
  <c r="GA107" i="5"/>
  <c r="GB107" i="5"/>
  <c r="GC107" i="5"/>
  <c r="GD107" i="5"/>
  <c r="GE107" i="5"/>
  <c r="DA108" i="5"/>
  <c r="DB108" i="5"/>
  <c r="DC108" i="5"/>
  <c r="DD108" i="5"/>
  <c r="DE108" i="5"/>
  <c r="DF108" i="5"/>
  <c r="DG108" i="5"/>
  <c r="DH108" i="5"/>
  <c r="DI108" i="5"/>
  <c r="DJ108" i="5"/>
  <c r="DK108" i="5"/>
  <c r="DL108" i="5"/>
  <c r="DM108" i="5"/>
  <c r="DN108" i="5"/>
  <c r="DO108" i="5"/>
  <c r="DP108" i="5"/>
  <c r="DQ108" i="5"/>
  <c r="DR108" i="5"/>
  <c r="DS108" i="5"/>
  <c r="DT108" i="5"/>
  <c r="DU108" i="5"/>
  <c r="DV108" i="5"/>
  <c r="DW108" i="5"/>
  <c r="DX108" i="5"/>
  <c r="DY108" i="5"/>
  <c r="DZ108" i="5"/>
  <c r="EA108" i="5"/>
  <c r="EB108" i="5"/>
  <c r="EC108" i="5"/>
  <c r="ED108" i="5"/>
  <c r="EE108" i="5"/>
  <c r="EF108" i="5"/>
  <c r="EG108" i="5"/>
  <c r="EH108" i="5"/>
  <c r="EI108" i="5"/>
  <c r="EJ108" i="5"/>
  <c r="EK108" i="5"/>
  <c r="EL108" i="5"/>
  <c r="EM108" i="5"/>
  <c r="EN108" i="5"/>
  <c r="EO108" i="5"/>
  <c r="EP108" i="5"/>
  <c r="EQ108" i="5"/>
  <c r="ER108" i="5"/>
  <c r="ES108" i="5"/>
  <c r="ET108" i="5"/>
  <c r="EU108" i="5"/>
  <c r="EV108" i="5"/>
  <c r="EW108" i="5"/>
  <c r="EX108" i="5"/>
  <c r="EY108" i="5"/>
  <c r="EZ108" i="5"/>
  <c r="FA108" i="5"/>
  <c r="FB108" i="5"/>
  <c r="FC108" i="5"/>
  <c r="FD108" i="5"/>
  <c r="FE108" i="5"/>
  <c r="FF108" i="5"/>
  <c r="FG108" i="5"/>
  <c r="FH108" i="5"/>
  <c r="FI108" i="5"/>
  <c r="FJ108" i="5"/>
  <c r="FK108" i="5"/>
  <c r="FL108" i="5"/>
  <c r="FM108" i="5"/>
  <c r="FN108" i="5"/>
  <c r="FO108" i="5"/>
  <c r="FP108" i="5"/>
  <c r="FQ108" i="5"/>
  <c r="FR108" i="5"/>
  <c r="FS108" i="5"/>
  <c r="FT108" i="5"/>
  <c r="FU108" i="5"/>
  <c r="FV108" i="5"/>
  <c r="FW108" i="5"/>
  <c r="FX108" i="5"/>
  <c r="FY108" i="5"/>
  <c r="FZ108" i="5"/>
  <c r="GA108" i="5"/>
  <c r="GB108" i="5"/>
  <c r="GC108" i="5"/>
  <c r="GD108" i="5"/>
  <c r="GE108" i="5"/>
  <c r="DA109" i="5"/>
  <c r="DB109" i="5"/>
  <c r="DC109" i="5"/>
  <c r="DD109" i="5"/>
  <c r="DE109" i="5"/>
  <c r="DF109" i="5"/>
  <c r="DG109" i="5"/>
  <c r="DH109" i="5"/>
  <c r="DI109" i="5"/>
  <c r="DJ109" i="5"/>
  <c r="DK109" i="5"/>
  <c r="DL109" i="5"/>
  <c r="DM109" i="5"/>
  <c r="DN109" i="5"/>
  <c r="DO109" i="5"/>
  <c r="DP109" i="5"/>
  <c r="DQ109" i="5"/>
  <c r="DR109" i="5"/>
  <c r="DS109" i="5"/>
  <c r="DT109" i="5"/>
  <c r="DU109" i="5"/>
  <c r="DV109" i="5"/>
  <c r="DW109" i="5"/>
  <c r="DX109" i="5"/>
  <c r="DY109" i="5"/>
  <c r="DZ109" i="5"/>
  <c r="EA109" i="5"/>
  <c r="EB109" i="5"/>
  <c r="EC109" i="5"/>
  <c r="ED109" i="5"/>
  <c r="EE109" i="5"/>
  <c r="EF109" i="5"/>
  <c r="EG109" i="5"/>
  <c r="EH109" i="5"/>
  <c r="EI109" i="5"/>
  <c r="EJ109" i="5"/>
  <c r="EK109" i="5"/>
  <c r="EL109" i="5"/>
  <c r="EM109" i="5"/>
  <c r="EN109" i="5"/>
  <c r="EO109" i="5"/>
  <c r="EP109" i="5"/>
  <c r="EQ109" i="5"/>
  <c r="ER109" i="5"/>
  <c r="ES109" i="5"/>
  <c r="ET109" i="5"/>
  <c r="EU109" i="5"/>
  <c r="EV109" i="5"/>
  <c r="EW109" i="5"/>
  <c r="EX109" i="5"/>
  <c r="EY109" i="5"/>
  <c r="EZ109" i="5"/>
  <c r="FA109" i="5"/>
  <c r="FB109" i="5"/>
  <c r="FC109" i="5"/>
  <c r="FD109" i="5"/>
  <c r="FE109" i="5"/>
  <c r="FF109" i="5"/>
  <c r="FG109" i="5"/>
  <c r="FH109" i="5"/>
  <c r="FI109" i="5"/>
  <c r="FJ109" i="5"/>
  <c r="FK109" i="5"/>
  <c r="FL109" i="5"/>
  <c r="FM109" i="5"/>
  <c r="FN109" i="5"/>
  <c r="FO109" i="5"/>
  <c r="FP109" i="5"/>
  <c r="FQ109" i="5"/>
  <c r="FR109" i="5"/>
  <c r="FS109" i="5"/>
  <c r="FT109" i="5"/>
  <c r="FU109" i="5"/>
  <c r="FV109" i="5"/>
  <c r="FW109" i="5"/>
  <c r="FX109" i="5"/>
  <c r="FY109" i="5"/>
  <c r="FZ109" i="5"/>
  <c r="GA109" i="5"/>
  <c r="GB109" i="5"/>
  <c r="GC109" i="5"/>
  <c r="GD109" i="5"/>
  <c r="GE109" i="5"/>
  <c r="DA110" i="5"/>
  <c r="DB110" i="5"/>
  <c r="DC110" i="5"/>
  <c r="DD110" i="5"/>
  <c r="DE110" i="5"/>
  <c r="DF110" i="5"/>
  <c r="DG110" i="5"/>
  <c r="DH110" i="5"/>
  <c r="DI110" i="5"/>
  <c r="DJ110" i="5"/>
  <c r="DK110" i="5"/>
  <c r="DL110" i="5"/>
  <c r="DM110" i="5"/>
  <c r="DN110" i="5"/>
  <c r="DO110" i="5"/>
  <c r="DP110" i="5"/>
  <c r="DQ110" i="5"/>
  <c r="DR110" i="5"/>
  <c r="DS110" i="5"/>
  <c r="DT110" i="5"/>
  <c r="DU110" i="5"/>
  <c r="DV110" i="5"/>
  <c r="DW110" i="5"/>
  <c r="DX110" i="5"/>
  <c r="DY110" i="5"/>
  <c r="DZ110" i="5"/>
  <c r="EA110" i="5"/>
  <c r="EB110" i="5"/>
  <c r="EC110" i="5"/>
  <c r="ED110" i="5"/>
  <c r="EE110" i="5"/>
  <c r="EF110" i="5"/>
  <c r="EG110" i="5"/>
  <c r="EH110" i="5"/>
  <c r="EI110" i="5"/>
  <c r="EJ110" i="5"/>
  <c r="EK110" i="5"/>
  <c r="EL110" i="5"/>
  <c r="EM110" i="5"/>
  <c r="EN110" i="5"/>
  <c r="EO110" i="5"/>
  <c r="EP110" i="5"/>
  <c r="EQ110" i="5"/>
  <c r="ER110" i="5"/>
  <c r="ES110" i="5"/>
  <c r="ET110" i="5"/>
  <c r="EU110" i="5"/>
  <c r="EV110" i="5"/>
  <c r="EW110" i="5"/>
  <c r="EX110" i="5"/>
  <c r="EY110" i="5"/>
  <c r="EZ110" i="5"/>
  <c r="FA110" i="5"/>
  <c r="FB110" i="5"/>
  <c r="FC110" i="5"/>
  <c r="FD110" i="5"/>
  <c r="FE110" i="5"/>
  <c r="FF110" i="5"/>
  <c r="FG110" i="5"/>
  <c r="FH110" i="5"/>
  <c r="FI110" i="5"/>
  <c r="FJ110" i="5"/>
  <c r="FK110" i="5"/>
  <c r="FL110" i="5"/>
  <c r="FM110" i="5"/>
  <c r="FN110" i="5"/>
  <c r="FO110" i="5"/>
  <c r="FP110" i="5"/>
  <c r="FQ110" i="5"/>
  <c r="FR110" i="5"/>
  <c r="FS110" i="5"/>
  <c r="FT110" i="5"/>
  <c r="FU110" i="5"/>
  <c r="FV110" i="5"/>
  <c r="FW110" i="5"/>
  <c r="FX110" i="5"/>
  <c r="FY110" i="5"/>
  <c r="FZ110" i="5"/>
  <c r="GA110" i="5"/>
  <c r="GB110" i="5"/>
  <c r="GC110" i="5"/>
  <c r="GD110" i="5"/>
  <c r="GE110" i="5"/>
  <c r="DA111" i="5"/>
  <c r="DB111" i="5"/>
  <c r="DC111" i="5"/>
  <c r="DD111" i="5"/>
  <c r="DE111" i="5"/>
  <c r="DF111" i="5"/>
  <c r="DG111" i="5"/>
  <c r="DH111" i="5"/>
  <c r="DI111" i="5"/>
  <c r="DJ111" i="5"/>
  <c r="DK111" i="5"/>
  <c r="DL111" i="5"/>
  <c r="DM111" i="5"/>
  <c r="DN111" i="5"/>
  <c r="DO111" i="5"/>
  <c r="DP111" i="5"/>
  <c r="DQ111" i="5"/>
  <c r="DR111" i="5"/>
  <c r="DS111" i="5"/>
  <c r="DT111" i="5"/>
  <c r="DU111" i="5"/>
  <c r="DV111" i="5"/>
  <c r="DW111" i="5"/>
  <c r="DX111" i="5"/>
  <c r="DY111" i="5"/>
  <c r="DZ111" i="5"/>
  <c r="EA111" i="5"/>
  <c r="EB111" i="5"/>
  <c r="EC111" i="5"/>
  <c r="ED111" i="5"/>
  <c r="EE111" i="5"/>
  <c r="EF111" i="5"/>
  <c r="EG111" i="5"/>
  <c r="EH111" i="5"/>
  <c r="EI111" i="5"/>
  <c r="EJ111" i="5"/>
  <c r="EK111" i="5"/>
  <c r="EL111" i="5"/>
  <c r="EM111" i="5"/>
  <c r="EN111" i="5"/>
  <c r="EO111" i="5"/>
  <c r="EP111" i="5"/>
  <c r="EQ111" i="5"/>
  <c r="ER111" i="5"/>
  <c r="ES111" i="5"/>
  <c r="ET111" i="5"/>
  <c r="EU111" i="5"/>
  <c r="EV111" i="5"/>
  <c r="EW111" i="5"/>
  <c r="EX111" i="5"/>
  <c r="EY111" i="5"/>
  <c r="EZ111" i="5"/>
  <c r="FA111" i="5"/>
  <c r="FB111" i="5"/>
  <c r="FC111" i="5"/>
  <c r="FD111" i="5"/>
  <c r="FE111" i="5"/>
  <c r="FF111" i="5"/>
  <c r="FG111" i="5"/>
  <c r="FH111" i="5"/>
  <c r="FI111" i="5"/>
  <c r="FJ111" i="5"/>
  <c r="FK111" i="5"/>
  <c r="FL111" i="5"/>
  <c r="FM111" i="5"/>
  <c r="FN111" i="5"/>
  <c r="FO111" i="5"/>
  <c r="FP111" i="5"/>
  <c r="FQ111" i="5"/>
  <c r="FR111" i="5"/>
  <c r="FS111" i="5"/>
  <c r="FT111" i="5"/>
  <c r="FU111" i="5"/>
  <c r="FV111" i="5"/>
  <c r="FW111" i="5"/>
  <c r="FX111" i="5"/>
  <c r="FY111" i="5"/>
  <c r="FZ111" i="5"/>
  <c r="GA111" i="5"/>
  <c r="GB111" i="5"/>
  <c r="GC111" i="5"/>
  <c r="GD111" i="5"/>
  <c r="GE111" i="5"/>
  <c r="DA112" i="5"/>
  <c r="DB112" i="5"/>
  <c r="DC112" i="5"/>
  <c r="DD112" i="5"/>
  <c r="DE112" i="5"/>
  <c r="DF112" i="5"/>
  <c r="DG112" i="5"/>
  <c r="DH112" i="5"/>
  <c r="DI112" i="5"/>
  <c r="DJ112" i="5"/>
  <c r="DK112" i="5"/>
  <c r="DL112" i="5"/>
  <c r="DM112" i="5"/>
  <c r="DN112" i="5"/>
  <c r="DO112" i="5"/>
  <c r="DP112" i="5"/>
  <c r="DQ112" i="5"/>
  <c r="DR112" i="5"/>
  <c r="DS112" i="5"/>
  <c r="DT112" i="5"/>
  <c r="DU112" i="5"/>
  <c r="DV112" i="5"/>
  <c r="DW112" i="5"/>
  <c r="DX112" i="5"/>
  <c r="DY112" i="5"/>
  <c r="DZ112" i="5"/>
  <c r="EA112" i="5"/>
  <c r="EB112" i="5"/>
  <c r="EC112" i="5"/>
  <c r="ED112" i="5"/>
  <c r="EE112" i="5"/>
  <c r="EF112" i="5"/>
  <c r="EG112" i="5"/>
  <c r="EH112" i="5"/>
  <c r="EI112" i="5"/>
  <c r="EJ112" i="5"/>
  <c r="EK112" i="5"/>
  <c r="EL112" i="5"/>
  <c r="EM112" i="5"/>
  <c r="EN112" i="5"/>
  <c r="EO112" i="5"/>
  <c r="EP112" i="5"/>
  <c r="EQ112" i="5"/>
  <c r="ER112" i="5"/>
  <c r="ES112" i="5"/>
  <c r="ET112" i="5"/>
  <c r="EU112" i="5"/>
  <c r="EV112" i="5"/>
  <c r="EW112" i="5"/>
  <c r="EX112" i="5"/>
  <c r="EY112" i="5"/>
  <c r="EZ112" i="5"/>
  <c r="FA112" i="5"/>
  <c r="FB112" i="5"/>
  <c r="FC112" i="5"/>
  <c r="FD112" i="5"/>
  <c r="FE112" i="5"/>
  <c r="FF112" i="5"/>
  <c r="FG112" i="5"/>
  <c r="FH112" i="5"/>
  <c r="FI112" i="5"/>
  <c r="FJ112" i="5"/>
  <c r="FK112" i="5"/>
  <c r="FL112" i="5"/>
  <c r="FM112" i="5"/>
  <c r="FN112" i="5"/>
  <c r="FO112" i="5"/>
  <c r="FP112" i="5"/>
  <c r="FQ112" i="5"/>
  <c r="FR112" i="5"/>
  <c r="FS112" i="5"/>
  <c r="FT112" i="5"/>
  <c r="FU112" i="5"/>
  <c r="FV112" i="5"/>
  <c r="FW112" i="5"/>
  <c r="FX112" i="5"/>
  <c r="FY112" i="5"/>
  <c r="FZ112" i="5"/>
  <c r="GA112" i="5"/>
  <c r="GB112" i="5"/>
  <c r="GC112" i="5"/>
  <c r="GD112" i="5"/>
  <c r="GE112" i="5"/>
  <c r="DA113" i="5"/>
  <c r="DB113" i="5"/>
  <c r="DC113" i="5"/>
  <c r="DD113" i="5"/>
  <c r="DE113" i="5"/>
  <c r="DF113" i="5"/>
  <c r="DG113" i="5"/>
  <c r="DH113" i="5"/>
  <c r="DI113" i="5"/>
  <c r="DJ113" i="5"/>
  <c r="DK113" i="5"/>
  <c r="DL113" i="5"/>
  <c r="DM113" i="5"/>
  <c r="DN113" i="5"/>
  <c r="DO113" i="5"/>
  <c r="DP113" i="5"/>
  <c r="DQ113" i="5"/>
  <c r="DR113" i="5"/>
  <c r="DS113" i="5"/>
  <c r="DT113" i="5"/>
  <c r="DU113" i="5"/>
  <c r="DV113" i="5"/>
  <c r="DW113" i="5"/>
  <c r="DX113" i="5"/>
  <c r="DY113" i="5"/>
  <c r="DZ113" i="5"/>
  <c r="EA113" i="5"/>
  <c r="EB113" i="5"/>
  <c r="EC113" i="5"/>
  <c r="ED113" i="5"/>
  <c r="EE113" i="5"/>
  <c r="EF113" i="5"/>
  <c r="EG113" i="5"/>
  <c r="EH113" i="5"/>
  <c r="EI113" i="5"/>
  <c r="EJ113" i="5"/>
  <c r="EK113" i="5"/>
  <c r="EL113" i="5"/>
  <c r="EM113" i="5"/>
  <c r="EN113" i="5"/>
  <c r="EO113" i="5"/>
  <c r="EP113" i="5"/>
  <c r="EQ113" i="5"/>
  <c r="ER113" i="5"/>
  <c r="ES113" i="5"/>
  <c r="ET113" i="5"/>
  <c r="EU113" i="5"/>
  <c r="EV113" i="5"/>
  <c r="EW113" i="5"/>
  <c r="EX113" i="5"/>
  <c r="EY113" i="5"/>
  <c r="EZ113" i="5"/>
  <c r="FA113" i="5"/>
  <c r="FB113" i="5"/>
  <c r="FC113" i="5"/>
  <c r="FD113" i="5"/>
  <c r="FE113" i="5"/>
  <c r="FF113" i="5"/>
  <c r="FG113" i="5"/>
  <c r="FH113" i="5"/>
  <c r="FI113" i="5"/>
  <c r="FJ113" i="5"/>
  <c r="FK113" i="5"/>
  <c r="FL113" i="5"/>
  <c r="FM113" i="5"/>
  <c r="FN113" i="5"/>
  <c r="FO113" i="5"/>
  <c r="FP113" i="5"/>
  <c r="FQ113" i="5"/>
  <c r="FR113" i="5"/>
  <c r="FS113" i="5"/>
  <c r="FT113" i="5"/>
  <c r="FU113" i="5"/>
  <c r="FV113" i="5"/>
  <c r="FW113" i="5"/>
  <c r="FX113" i="5"/>
  <c r="FY113" i="5"/>
  <c r="FZ113" i="5"/>
  <c r="GA113" i="5"/>
  <c r="GB113" i="5"/>
  <c r="GC113" i="5"/>
  <c r="GD113" i="5"/>
  <c r="GE113" i="5"/>
  <c r="DA114" i="5"/>
  <c r="DB114" i="5"/>
  <c r="DC114" i="5"/>
  <c r="DD114" i="5"/>
  <c r="DE114" i="5"/>
  <c r="DF114" i="5"/>
  <c r="DG114" i="5"/>
  <c r="DH114" i="5"/>
  <c r="DI114" i="5"/>
  <c r="DJ114" i="5"/>
  <c r="DK114" i="5"/>
  <c r="DL114" i="5"/>
  <c r="DM114" i="5"/>
  <c r="DN114" i="5"/>
  <c r="DO114" i="5"/>
  <c r="DP114" i="5"/>
  <c r="DQ114" i="5"/>
  <c r="DR114" i="5"/>
  <c r="DS114" i="5"/>
  <c r="DT114" i="5"/>
  <c r="DU114" i="5"/>
  <c r="DV114" i="5"/>
  <c r="DW114" i="5"/>
  <c r="DX114" i="5"/>
  <c r="DY114" i="5"/>
  <c r="DZ114" i="5"/>
  <c r="EA114" i="5"/>
  <c r="EB114" i="5"/>
  <c r="EC114" i="5"/>
  <c r="ED114" i="5"/>
  <c r="EE114" i="5"/>
  <c r="EF114" i="5"/>
  <c r="EG114" i="5"/>
  <c r="EH114" i="5"/>
  <c r="EI114" i="5"/>
  <c r="EJ114" i="5"/>
  <c r="EK114" i="5"/>
  <c r="EL114" i="5"/>
  <c r="EM114" i="5"/>
  <c r="EN114" i="5"/>
  <c r="EO114" i="5"/>
  <c r="EP114" i="5"/>
  <c r="EQ114" i="5"/>
  <c r="ER114" i="5"/>
  <c r="ES114" i="5"/>
  <c r="ET114" i="5"/>
  <c r="EU114" i="5"/>
  <c r="EV114" i="5"/>
  <c r="EW114" i="5"/>
  <c r="EX114" i="5"/>
  <c r="EY114" i="5"/>
  <c r="EZ114" i="5"/>
  <c r="FA114" i="5"/>
  <c r="FB114" i="5"/>
  <c r="FC114" i="5"/>
  <c r="FD114" i="5"/>
  <c r="FE114" i="5"/>
  <c r="FF114" i="5"/>
  <c r="FG114" i="5"/>
  <c r="FH114" i="5"/>
  <c r="FI114" i="5"/>
  <c r="FJ114" i="5"/>
  <c r="FK114" i="5"/>
  <c r="FL114" i="5"/>
  <c r="FM114" i="5"/>
  <c r="FN114" i="5"/>
  <c r="FO114" i="5"/>
  <c r="FP114" i="5"/>
  <c r="FQ114" i="5"/>
  <c r="FR114" i="5"/>
  <c r="FS114" i="5"/>
  <c r="FT114" i="5"/>
  <c r="FU114" i="5"/>
  <c r="FV114" i="5"/>
  <c r="FW114" i="5"/>
  <c r="FX114" i="5"/>
  <c r="FY114" i="5"/>
  <c r="FZ114" i="5"/>
  <c r="GA114" i="5"/>
  <c r="GB114" i="5"/>
  <c r="GC114" i="5"/>
  <c r="GD114" i="5"/>
  <c r="GE114" i="5"/>
  <c r="DA115" i="5"/>
  <c r="DB115" i="5"/>
  <c r="DC115" i="5"/>
  <c r="DD115" i="5"/>
  <c r="DE115" i="5"/>
  <c r="DF115" i="5"/>
  <c r="DG115" i="5"/>
  <c r="DH115" i="5"/>
  <c r="DI115" i="5"/>
  <c r="DJ115" i="5"/>
  <c r="DK115" i="5"/>
  <c r="DL115" i="5"/>
  <c r="DM115" i="5"/>
  <c r="DN115" i="5"/>
  <c r="DO115" i="5"/>
  <c r="DP115" i="5"/>
  <c r="DQ115" i="5"/>
  <c r="DR115" i="5"/>
  <c r="DS115" i="5"/>
  <c r="DT115" i="5"/>
  <c r="DU115" i="5"/>
  <c r="DV115" i="5"/>
  <c r="DW115" i="5"/>
  <c r="DX115" i="5"/>
  <c r="DY115" i="5"/>
  <c r="DZ115" i="5"/>
  <c r="EA115" i="5"/>
  <c r="EB115" i="5"/>
  <c r="EC115" i="5"/>
  <c r="ED115" i="5"/>
  <c r="EE115" i="5"/>
  <c r="EF115" i="5"/>
  <c r="EG115" i="5"/>
  <c r="EH115" i="5"/>
  <c r="EI115" i="5"/>
  <c r="EJ115" i="5"/>
  <c r="EK115" i="5"/>
  <c r="EL115" i="5"/>
  <c r="EM115" i="5"/>
  <c r="EN115" i="5"/>
  <c r="EO115" i="5"/>
  <c r="EP115" i="5"/>
  <c r="EQ115" i="5"/>
  <c r="ER115" i="5"/>
  <c r="ES115" i="5"/>
  <c r="ET115" i="5"/>
  <c r="EU115" i="5"/>
  <c r="EV115" i="5"/>
  <c r="EW115" i="5"/>
  <c r="EX115" i="5"/>
  <c r="EY115" i="5"/>
  <c r="EZ115" i="5"/>
  <c r="FA115" i="5"/>
  <c r="FB115" i="5"/>
  <c r="FC115" i="5"/>
  <c r="FD115" i="5"/>
  <c r="FE115" i="5"/>
  <c r="FF115" i="5"/>
  <c r="FG115" i="5"/>
  <c r="FH115" i="5"/>
  <c r="FI115" i="5"/>
  <c r="FJ115" i="5"/>
  <c r="FK115" i="5"/>
  <c r="FL115" i="5"/>
  <c r="FM115" i="5"/>
  <c r="FN115" i="5"/>
  <c r="FO115" i="5"/>
  <c r="FP115" i="5"/>
  <c r="FQ115" i="5"/>
  <c r="FR115" i="5"/>
  <c r="FS115" i="5"/>
  <c r="FT115" i="5"/>
  <c r="FU115" i="5"/>
  <c r="FV115" i="5"/>
  <c r="FW115" i="5"/>
  <c r="FX115" i="5"/>
  <c r="FY115" i="5"/>
  <c r="FZ115" i="5"/>
  <c r="GA115" i="5"/>
  <c r="GB115" i="5"/>
  <c r="GC115" i="5"/>
  <c r="GD115" i="5"/>
  <c r="GE115" i="5"/>
  <c r="DA116" i="5"/>
  <c r="DB116" i="5"/>
  <c r="DC116" i="5"/>
  <c r="DD116" i="5"/>
  <c r="DE116" i="5"/>
  <c r="DF116" i="5"/>
  <c r="DG116" i="5"/>
  <c r="DH116" i="5"/>
  <c r="DI116" i="5"/>
  <c r="DJ116" i="5"/>
  <c r="DK116" i="5"/>
  <c r="DL116" i="5"/>
  <c r="DM116" i="5"/>
  <c r="DN116" i="5"/>
  <c r="DO116" i="5"/>
  <c r="DP116" i="5"/>
  <c r="DQ116" i="5"/>
  <c r="DR116" i="5"/>
  <c r="DS116" i="5"/>
  <c r="DT116" i="5"/>
  <c r="DU116" i="5"/>
  <c r="DV116" i="5"/>
  <c r="DW116" i="5"/>
  <c r="DX116" i="5"/>
  <c r="DY116" i="5"/>
  <c r="DZ116" i="5"/>
  <c r="EA116" i="5"/>
  <c r="EB116" i="5"/>
  <c r="EC116" i="5"/>
  <c r="ED116" i="5"/>
  <c r="EE116" i="5"/>
  <c r="EF116" i="5"/>
  <c r="EG116" i="5"/>
  <c r="EH116" i="5"/>
  <c r="EI116" i="5"/>
  <c r="EJ116" i="5"/>
  <c r="EK116" i="5"/>
  <c r="EL116" i="5"/>
  <c r="EM116" i="5"/>
  <c r="EN116" i="5"/>
  <c r="EO116" i="5"/>
  <c r="EP116" i="5"/>
  <c r="EQ116" i="5"/>
  <c r="ER116" i="5"/>
  <c r="ES116" i="5"/>
  <c r="ET116" i="5"/>
  <c r="EU116" i="5"/>
  <c r="EV116" i="5"/>
  <c r="EW116" i="5"/>
  <c r="EX116" i="5"/>
  <c r="EY116" i="5"/>
  <c r="EZ116" i="5"/>
  <c r="FA116" i="5"/>
  <c r="FB116" i="5"/>
  <c r="FC116" i="5"/>
  <c r="FD116" i="5"/>
  <c r="FE116" i="5"/>
  <c r="FF116" i="5"/>
  <c r="FG116" i="5"/>
  <c r="FH116" i="5"/>
  <c r="FI116" i="5"/>
  <c r="FJ116" i="5"/>
  <c r="FK116" i="5"/>
  <c r="FL116" i="5"/>
  <c r="FM116" i="5"/>
  <c r="FN116" i="5"/>
  <c r="FO116" i="5"/>
  <c r="FP116" i="5"/>
  <c r="FQ116" i="5"/>
  <c r="FR116" i="5"/>
  <c r="FS116" i="5"/>
  <c r="FT116" i="5"/>
  <c r="FU116" i="5"/>
  <c r="FV116" i="5"/>
  <c r="FW116" i="5"/>
  <c r="FX116" i="5"/>
  <c r="FY116" i="5"/>
  <c r="FZ116" i="5"/>
  <c r="GA116" i="5"/>
  <c r="GB116" i="5"/>
  <c r="GC116" i="5"/>
  <c r="GD116" i="5"/>
  <c r="GE116" i="5"/>
  <c r="DA117" i="5"/>
  <c r="DB117" i="5"/>
  <c r="DC117" i="5"/>
  <c r="DD117" i="5"/>
  <c r="DE117" i="5"/>
  <c r="DF117" i="5"/>
  <c r="DG117" i="5"/>
  <c r="DH117" i="5"/>
  <c r="DI117" i="5"/>
  <c r="DJ117" i="5"/>
  <c r="DK117" i="5"/>
  <c r="DL117" i="5"/>
  <c r="DM117" i="5"/>
  <c r="DN117" i="5"/>
  <c r="DO117" i="5"/>
  <c r="DP117" i="5"/>
  <c r="DQ117" i="5"/>
  <c r="DR117" i="5"/>
  <c r="DS117" i="5"/>
  <c r="DT117" i="5"/>
  <c r="DU117" i="5"/>
  <c r="DV117" i="5"/>
  <c r="DW117" i="5"/>
  <c r="DX117" i="5"/>
  <c r="DY117" i="5"/>
  <c r="DZ117" i="5"/>
  <c r="EA117" i="5"/>
  <c r="EB117" i="5"/>
  <c r="EC117" i="5"/>
  <c r="ED117" i="5"/>
  <c r="EE117" i="5"/>
  <c r="EF117" i="5"/>
  <c r="EG117" i="5"/>
  <c r="EH117" i="5"/>
  <c r="EI117" i="5"/>
  <c r="EJ117" i="5"/>
  <c r="EK117" i="5"/>
  <c r="EL117" i="5"/>
  <c r="EM117" i="5"/>
  <c r="EN117" i="5"/>
  <c r="EO117" i="5"/>
  <c r="EP117" i="5"/>
  <c r="EQ117" i="5"/>
  <c r="ER117" i="5"/>
  <c r="ES117" i="5"/>
  <c r="ET117" i="5"/>
  <c r="EU117" i="5"/>
  <c r="EV117" i="5"/>
  <c r="EW117" i="5"/>
  <c r="EX117" i="5"/>
  <c r="EY117" i="5"/>
  <c r="EZ117" i="5"/>
  <c r="FA117" i="5"/>
  <c r="FB117" i="5"/>
  <c r="FC117" i="5"/>
  <c r="FD117" i="5"/>
  <c r="FE117" i="5"/>
  <c r="FF117" i="5"/>
  <c r="FG117" i="5"/>
  <c r="FH117" i="5"/>
  <c r="FI117" i="5"/>
  <c r="FJ117" i="5"/>
  <c r="FK117" i="5"/>
  <c r="FL117" i="5"/>
  <c r="FM117" i="5"/>
  <c r="FN117" i="5"/>
  <c r="FO117" i="5"/>
  <c r="FP117" i="5"/>
  <c r="FQ117" i="5"/>
  <c r="FR117" i="5"/>
  <c r="FS117" i="5"/>
  <c r="FT117" i="5"/>
  <c r="FU117" i="5"/>
  <c r="FV117" i="5"/>
  <c r="FW117" i="5"/>
  <c r="FX117" i="5"/>
  <c r="FY117" i="5"/>
  <c r="FZ117" i="5"/>
  <c r="GA117" i="5"/>
  <c r="GB117" i="5"/>
  <c r="GC117" i="5"/>
  <c r="GD117" i="5"/>
  <c r="GE117" i="5"/>
  <c r="DA118" i="5"/>
  <c r="DB118" i="5"/>
  <c r="DC118" i="5"/>
  <c r="DD118" i="5"/>
  <c r="DE118" i="5"/>
  <c r="DF118" i="5"/>
  <c r="DG118" i="5"/>
  <c r="DH118" i="5"/>
  <c r="DI118" i="5"/>
  <c r="DJ118" i="5"/>
  <c r="DK118" i="5"/>
  <c r="DL118" i="5"/>
  <c r="DM118" i="5"/>
  <c r="DN118" i="5"/>
  <c r="DO118" i="5"/>
  <c r="DP118" i="5"/>
  <c r="DQ118" i="5"/>
  <c r="DR118" i="5"/>
  <c r="DS118" i="5"/>
  <c r="DT118" i="5"/>
  <c r="DU118" i="5"/>
  <c r="DV118" i="5"/>
  <c r="DW118" i="5"/>
  <c r="DX118" i="5"/>
  <c r="DY118" i="5"/>
  <c r="DZ118" i="5"/>
  <c r="EA118" i="5"/>
  <c r="EB118" i="5"/>
  <c r="EC118" i="5"/>
  <c r="ED118" i="5"/>
  <c r="EE118" i="5"/>
  <c r="EF118" i="5"/>
  <c r="EG118" i="5"/>
  <c r="EH118" i="5"/>
  <c r="EI118" i="5"/>
  <c r="EJ118" i="5"/>
  <c r="EK118" i="5"/>
  <c r="EL118" i="5"/>
  <c r="EM118" i="5"/>
  <c r="EN118" i="5"/>
  <c r="EO118" i="5"/>
  <c r="EP118" i="5"/>
  <c r="EQ118" i="5"/>
  <c r="ER118" i="5"/>
  <c r="ES118" i="5"/>
  <c r="ET118" i="5"/>
  <c r="EU118" i="5"/>
  <c r="EV118" i="5"/>
  <c r="EW118" i="5"/>
  <c r="EX118" i="5"/>
  <c r="EY118" i="5"/>
  <c r="EZ118" i="5"/>
  <c r="FA118" i="5"/>
  <c r="FB118" i="5"/>
  <c r="FC118" i="5"/>
  <c r="FD118" i="5"/>
  <c r="FE118" i="5"/>
  <c r="FF118" i="5"/>
  <c r="FG118" i="5"/>
  <c r="FH118" i="5"/>
  <c r="FI118" i="5"/>
  <c r="FJ118" i="5"/>
  <c r="FK118" i="5"/>
  <c r="FL118" i="5"/>
  <c r="FM118" i="5"/>
  <c r="FN118" i="5"/>
  <c r="FO118" i="5"/>
  <c r="FP118" i="5"/>
  <c r="FQ118" i="5"/>
  <c r="FR118" i="5"/>
  <c r="FS118" i="5"/>
  <c r="FT118" i="5"/>
  <c r="FU118" i="5"/>
  <c r="FV118" i="5"/>
  <c r="FW118" i="5"/>
  <c r="FX118" i="5"/>
  <c r="FY118" i="5"/>
  <c r="FZ118" i="5"/>
  <c r="GA118" i="5"/>
  <c r="GB118" i="5"/>
  <c r="GC118" i="5"/>
  <c r="GD118" i="5"/>
  <c r="GE118" i="5"/>
  <c r="DA119" i="5"/>
  <c r="DB119" i="5"/>
  <c r="DC119" i="5"/>
  <c r="DD119" i="5"/>
  <c r="DE119" i="5"/>
  <c r="DF119" i="5"/>
  <c r="DG119" i="5"/>
  <c r="DH119" i="5"/>
  <c r="DI119" i="5"/>
  <c r="DJ119" i="5"/>
  <c r="DK119" i="5"/>
  <c r="DL119" i="5"/>
  <c r="DM119" i="5"/>
  <c r="DN119" i="5"/>
  <c r="DO119" i="5"/>
  <c r="DP119" i="5"/>
  <c r="DQ119" i="5"/>
  <c r="DR119" i="5"/>
  <c r="DS119" i="5"/>
  <c r="DT119" i="5"/>
  <c r="DU119" i="5"/>
  <c r="DV119" i="5"/>
  <c r="DW119" i="5"/>
  <c r="DX119" i="5"/>
  <c r="DY119" i="5"/>
  <c r="DZ119" i="5"/>
  <c r="EA119" i="5"/>
  <c r="EB119" i="5"/>
  <c r="EC119" i="5"/>
  <c r="ED119" i="5"/>
  <c r="EE119" i="5"/>
  <c r="EF119" i="5"/>
  <c r="EG119" i="5"/>
  <c r="EH119" i="5"/>
  <c r="EI119" i="5"/>
  <c r="EJ119" i="5"/>
  <c r="EK119" i="5"/>
  <c r="EL119" i="5"/>
  <c r="EM119" i="5"/>
  <c r="EN119" i="5"/>
  <c r="EO119" i="5"/>
  <c r="EP119" i="5"/>
  <c r="EQ119" i="5"/>
  <c r="ER119" i="5"/>
  <c r="ES119" i="5"/>
  <c r="ET119" i="5"/>
  <c r="EU119" i="5"/>
  <c r="EV119" i="5"/>
  <c r="EW119" i="5"/>
  <c r="EX119" i="5"/>
  <c r="EY119" i="5"/>
  <c r="EZ119" i="5"/>
  <c r="FA119" i="5"/>
  <c r="FB119" i="5"/>
  <c r="FC119" i="5"/>
  <c r="FD119" i="5"/>
  <c r="FE119" i="5"/>
  <c r="FF119" i="5"/>
  <c r="FG119" i="5"/>
  <c r="FH119" i="5"/>
  <c r="FI119" i="5"/>
  <c r="FJ119" i="5"/>
  <c r="FK119" i="5"/>
  <c r="FL119" i="5"/>
  <c r="FM119" i="5"/>
  <c r="FN119" i="5"/>
  <c r="FO119" i="5"/>
  <c r="FP119" i="5"/>
  <c r="FQ119" i="5"/>
  <c r="FR119" i="5"/>
  <c r="FS119" i="5"/>
  <c r="FT119" i="5"/>
  <c r="FU119" i="5"/>
  <c r="FV119" i="5"/>
  <c r="FW119" i="5"/>
  <c r="FX119" i="5"/>
  <c r="FY119" i="5"/>
  <c r="FZ119" i="5"/>
  <c r="GA119" i="5"/>
  <c r="GB119" i="5"/>
  <c r="GC119" i="5"/>
  <c r="GD119" i="5"/>
  <c r="GE119" i="5"/>
  <c r="DA120" i="5"/>
  <c r="DB120" i="5"/>
  <c r="DC120" i="5"/>
  <c r="DD120" i="5"/>
  <c r="DE120" i="5"/>
  <c r="DF120" i="5"/>
  <c r="DG120" i="5"/>
  <c r="DH120" i="5"/>
  <c r="DI120" i="5"/>
  <c r="DJ120" i="5"/>
  <c r="DK120" i="5"/>
  <c r="DL120" i="5"/>
  <c r="DM120" i="5"/>
  <c r="DN120" i="5"/>
  <c r="DO120" i="5"/>
  <c r="DP120" i="5"/>
  <c r="DQ120" i="5"/>
  <c r="DR120" i="5"/>
  <c r="DS120" i="5"/>
  <c r="DT120" i="5"/>
  <c r="DU120" i="5"/>
  <c r="DV120" i="5"/>
  <c r="DW120" i="5"/>
  <c r="DX120" i="5"/>
  <c r="DY120" i="5"/>
  <c r="DZ120" i="5"/>
  <c r="EA120" i="5"/>
  <c r="EB120" i="5"/>
  <c r="EC120" i="5"/>
  <c r="ED120" i="5"/>
  <c r="EE120" i="5"/>
  <c r="EF120" i="5"/>
  <c r="EG120" i="5"/>
  <c r="EH120" i="5"/>
  <c r="EI120" i="5"/>
  <c r="EJ120" i="5"/>
  <c r="EK120" i="5"/>
  <c r="EL120" i="5"/>
  <c r="EM120" i="5"/>
  <c r="EN120" i="5"/>
  <c r="EO120" i="5"/>
  <c r="EP120" i="5"/>
  <c r="EQ120" i="5"/>
  <c r="ER120" i="5"/>
  <c r="ES120" i="5"/>
  <c r="ET120" i="5"/>
  <c r="EU120" i="5"/>
  <c r="EV120" i="5"/>
  <c r="EW120" i="5"/>
  <c r="EX120" i="5"/>
  <c r="EY120" i="5"/>
  <c r="EZ120" i="5"/>
  <c r="FA120" i="5"/>
  <c r="FB120" i="5"/>
  <c r="FC120" i="5"/>
  <c r="FD120" i="5"/>
  <c r="FE120" i="5"/>
  <c r="FF120" i="5"/>
  <c r="FG120" i="5"/>
  <c r="FH120" i="5"/>
  <c r="FI120" i="5"/>
  <c r="FJ120" i="5"/>
  <c r="FK120" i="5"/>
  <c r="FL120" i="5"/>
  <c r="FM120" i="5"/>
  <c r="FN120" i="5"/>
  <c r="FO120" i="5"/>
  <c r="FP120" i="5"/>
  <c r="FQ120" i="5"/>
  <c r="FR120" i="5"/>
  <c r="FS120" i="5"/>
  <c r="FT120" i="5"/>
  <c r="FU120" i="5"/>
  <c r="FV120" i="5"/>
  <c r="FW120" i="5"/>
  <c r="FX120" i="5"/>
  <c r="FY120" i="5"/>
  <c r="FZ120" i="5"/>
  <c r="GA120" i="5"/>
  <c r="GB120" i="5"/>
  <c r="GC120" i="5"/>
  <c r="GD120" i="5"/>
  <c r="GE120" i="5"/>
  <c r="DA121" i="5"/>
  <c r="DB121" i="5"/>
  <c r="DC121" i="5"/>
  <c r="DD121" i="5"/>
  <c r="DE121" i="5"/>
  <c r="DF121" i="5"/>
  <c r="DG121" i="5"/>
  <c r="DH121" i="5"/>
  <c r="DI121" i="5"/>
  <c r="DJ121" i="5"/>
  <c r="DK121" i="5"/>
  <c r="DL121" i="5"/>
  <c r="DM121" i="5"/>
  <c r="DN121" i="5"/>
  <c r="DO121" i="5"/>
  <c r="DP121" i="5"/>
  <c r="DQ121" i="5"/>
  <c r="DR121" i="5"/>
  <c r="DS121" i="5"/>
  <c r="DT121" i="5"/>
  <c r="DU121" i="5"/>
  <c r="DV121" i="5"/>
  <c r="DW121" i="5"/>
  <c r="DX121" i="5"/>
  <c r="DY121" i="5"/>
  <c r="DZ121" i="5"/>
  <c r="EA121" i="5"/>
  <c r="EB121" i="5"/>
  <c r="EC121" i="5"/>
  <c r="ED121" i="5"/>
  <c r="EE121" i="5"/>
  <c r="EF121" i="5"/>
  <c r="EG121" i="5"/>
  <c r="EH121" i="5"/>
  <c r="EI121" i="5"/>
  <c r="EJ121" i="5"/>
  <c r="EK121" i="5"/>
  <c r="EL121" i="5"/>
  <c r="EM121" i="5"/>
  <c r="EN121" i="5"/>
  <c r="EO121" i="5"/>
  <c r="EP121" i="5"/>
  <c r="EQ121" i="5"/>
  <c r="ER121" i="5"/>
  <c r="ES121" i="5"/>
  <c r="ET121" i="5"/>
  <c r="EU121" i="5"/>
  <c r="EV121" i="5"/>
  <c r="EW121" i="5"/>
  <c r="EX121" i="5"/>
  <c r="EY121" i="5"/>
  <c r="EZ121" i="5"/>
  <c r="FA121" i="5"/>
  <c r="FB121" i="5"/>
  <c r="FC121" i="5"/>
  <c r="FD121" i="5"/>
  <c r="FE121" i="5"/>
  <c r="FF121" i="5"/>
  <c r="FG121" i="5"/>
  <c r="FH121" i="5"/>
  <c r="FI121" i="5"/>
  <c r="FJ121" i="5"/>
  <c r="FK121" i="5"/>
  <c r="FL121" i="5"/>
  <c r="FM121" i="5"/>
  <c r="FN121" i="5"/>
  <c r="FO121" i="5"/>
  <c r="FP121" i="5"/>
  <c r="FQ121" i="5"/>
  <c r="FR121" i="5"/>
  <c r="FS121" i="5"/>
  <c r="FT121" i="5"/>
  <c r="FU121" i="5"/>
  <c r="FV121" i="5"/>
  <c r="FW121" i="5"/>
  <c r="FX121" i="5"/>
  <c r="FY121" i="5"/>
  <c r="FZ121" i="5"/>
  <c r="GA121" i="5"/>
  <c r="GB121" i="5"/>
  <c r="GC121" i="5"/>
  <c r="GD121" i="5"/>
  <c r="GE121" i="5"/>
  <c r="DA122" i="5"/>
  <c r="DB122" i="5"/>
  <c r="DC122" i="5"/>
  <c r="DD122" i="5"/>
  <c r="DE122" i="5"/>
  <c r="DF122" i="5"/>
  <c r="DG122" i="5"/>
  <c r="DH122" i="5"/>
  <c r="DI122" i="5"/>
  <c r="DJ122" i="5"/>
  <c r="DK122" i="5"/>
  <c r="DL122" i="5"/>
  <c r="DM122" i="5"/>
  <c r="DN122" i="5"/>
  <c r="DO122" i="5"/>
  <c r="DP122" i="5"/>
  <c r="DQ122" i="5"/>
  <c r="DR122" i="5"/>
  <c r="DS122" i="5"/>
  <c r="DT122" i="5"/>
  <c r="DU122" i="5"/>
  <c r="DV122" i="5"/>
  <c r="DW122" i="5"/>
  <c r="DX122" i="5"/>
  <c r="DY122" i="5"/>
  <c r="DZ122" i="5"/>
  <c r="EA122" i="5"/>
  <c r="EB122" i="5"/>
  <c r="EC122" i="5"/>
  <c r="ED122" i="5"/>
  <c r="EE122" i="5"/>
  <c r="EF122" i="5"/>
  <c r="EG122" i="5"/>
  <c r="EH122" i="5"/>
  <c r="EI122" i="5"/>
  <c r="EJ122" i="5"/>
  <c r="EK122" i="5"/>
  <c r="EL122" i="5"/>
  <c r="EM122" i="5"/>
  <c r="EN122" i="5"/>
  <c r="EO122" i="5"/>
  <c r="EP122" i="5"/>
  <c r="EQ122" i="5"/>
  <c r="ER122" i="5"/>
  <c r="ES122" i="5"/>
  <c r="ET122" i="5"/>
  <c r="EU122" i="5"/>
  <c r="EV122" i="5"/>
  <c r="EW122" i="5"/>
  <c r="EX122" i="5"/>
  <c r="EY122" i="5"/>
  <c r="EZ122" i="5"/>
  <c r="FA122" i="5"/>
  <c r="FB122" i="5"/>
  <c r="FC122" i="5"/>
  <c r="FD122" i="5"/>
  <c r="FE122" i="5"/>
  <c r="FF122" i="5"/>
  <c r="FG122" i="5"/>
  <c r="FH122" i="5"/>
  <c r="FI122" i="5"/>
  <c r="FJ122" i="5"/>
  <c r="FK122" i="5"/>
  <c r="FL122" i="5"/>
  <c r="FM122" i="5"/>
  <c r="FN122" i="5"/>
  <c r="FO122" i="5"/>
  <c r="FP122" i="5"/>
  <c r="FQ122" i="5"/>
  <c r="FR122" i="5"/>
  <c r="FS122" i="5"/>
  <c r="FT122" i="5"/>
  <c r="FU122" i="5"/>
  <c r="FV122" i="5"/>
  <c r="FW122" i="5"/>
  <c r="FX122" i="5"/>
  <c r="FY122" i="5"/>
  <c r="FZ122" i="5"/>
  <c r="GA122" i="5"/>
  <c r="GB122" i="5"/>
  <c r="GC122" i="5"/>
  <c r="GD122" i="5"/>
  <c r="GE122" i="5"/>
  <c r="DA123" i="5"/>
  <c r="DB123" i="5"/>
  <c r="DC123" i="5"/>
  <c r="DD123" i="5"/>
  <c r="DE123" i="5"/>
  <c r="DF123" i="5"/>
  <c r="DG123" i="5"/>
  <c r="DH123" i="5"/>
  <c r="DI123" i="5"/>
  <c r="DJ123" i="5"/>
  <c r="DK123" i="5"/>
  <c r="DL123" i="5"/>
  <c r="DM123" i="5"/>
  <c r="DN123" i="5"/>
  <c r="DO123" i="5"/>
  <c r="DP123" i="5"/>
  <c r="DQ123" i="5"/>
  <c r="DR123" i="5"/>
  <c r="DS123" i="5"/>
  <c r="DT123" i="5"/>
  <c r="DU123" i="5"/>
  <c r="DV123" i="5"/>
  <c r="DW123" i="5"/>
  <c r="DX123" i="5"/>
  <c r="DY123" i="5"/>
  <c r="DZ123" i="5"/>
  <c r="EA123" i="5"/>
  <c r="EB123" i="5"/>
  <c r="EC123" i="5"/>
  <c r="ED123" i="5"/>
  <c r="EE123" i="5"/>
  <c r="EF123" i="5"/>
  <c r="EG123" i="5"/>
  <c r="EH123" i="5"/>
  <c r="EI123" i="5"/>
  <c r="EJ123" i="5"/>
  <c r="EK123" i="5"/>
  <c r="EL123" i="5"/>
  <c r="EM123" i="5"/>
  <c r="EN123" i="5"/>
  <c r="EO123" i="5"/>
  <c r="EP123" i="5"/>
  <c r="EQ123" i="5"/>
  <c r="ER123" i="5"/>
  <c r="ES123" i="5"/>
  <c r="ET123" i="5"/>
  <c r="EU123" i="5"/>
  <c r="EV123" i="5"/>
  <c r="EW123" i="5"/>
  <c r="EX123" i="5"/>
  <c r="EY123" i="5"/>
  <c r="EZ123" i="5"/>
  <c r="FA123" i="5"/>
  <c r="FB123" i="5"/>
  <c r="FC123" i="5"/>
  <c r="FD123" i="5"/>
  <c r="FE123" i="5"/>
  <c r="FF123" i="5"/>
  <c r="FG123" i="5"/>
  <c r="FH123" i="5"/>
  <c r="FI123" i="5"/>
  <c r="FJ123" i="5"/>
  <c r="FK123" i="5"/>
  <c r="FL123" i="5"/>
  <c r="FM123" i="5"/>
  <c r="FN123" i="5"/>
  <c r="FO123" i="5"/>
  <c r="FP123" i="5"/>
  <c r="FQ123" i="5"/>
  <c r="FR123" i="5"/>
  <c r="FS123" i="5"/>
  <c r="FT123" i="5"/>
  <c r="FU123" i="5"/>
  <c r="FV123" i="5"/>
  <c r="FW123" i="5"/>
  <c r="FX123" i="5"/>
  <c r="FY123" i="5"/>
  <c r="FZ123" i="5"/>
  <c r="GA123" i="5"/>
  <c r="GB123" i="5"/>
  <c r="GC123" i="5"/>
  <c r="GD123" i="5"/>
  <c r="GE123" i="5"/>
  <c r="DA124" i="5"/>
  <c r="DB124" i="5"/>
  <c r="DC124" i="5"/>
  <c r="DD124" i="5"/>
  <c r="DE124" i="5"/>
  <c r="DF124" i="5"/>
  <c r="DG124" i="5"/>
  <c r="DH124" i="5"/>
  <c r="DI124" i="5"/>
  <c r="DJ124" i="5"/>
  <c r="DK124" i="5"/>
  <c r="DL124" i="5"/>
  <c r="DM124" i="5"/>
  <c r="DN124" i="5"/>
  <c r="DO124" i="5"/>
  <c r="DP124" i="5"/>
  <c r="DQ124" i="5"/>
  <c r="DR124" i="5"/>
  <c r="DS124" i="5"/>
  <c r="DT124" i="5"/>
  <c r="DU124" i="5"/>
  <c r="DV124" i="5"/>
  <c r="DW124" i="5"/>
  <c r="DX124" i="5"/>
  <c r="DY124" i="5"/>
  <c r="DZ124" i="5"/>
  <c r="EA124" i="5"/>
  <c r="EB124" i="5"/>
  <c r="EC124" i="5"/>
  <c r="ED124" i="5"/>
  <c r="EE124" i="5"/>
  <c r="EF124" i="5"/>
  <c r="EG124" i="5"/>
  <c r="EH124" i="5"/>
  <c r="EI124" i="5"/>
  <c r="EJ124" i="5"/>
  <c r="EK124" i="5"/>
  <c r="EL124" i="5"/>
  <c r="EM124" i="5"/>
  <c r="EN124" i="5"/>
  <c r="EO124" i="5"/>
  <c r="EP124" i="5"/>
  <c r="EQ124" i="5"/>
  <c r="ER124" i="5"/>
  <c r="ES124" i="5"/>
  <c r="ET124" i="5"/>
  <c r="EU124" i="5"/>
  <c r="EV124" i="5"/>
  <c r="EW124" i="5"/>
  <c r="EX124" i="5"/>
  <c r="EY124" i="5"/>
  <c r="EZ124" i="5"/>
  <c r="FA124" i="5"/>
  <c r="FB124" i="5"/>
  <c r="FC124" i="5"/>
  <c r="FD124" i="5"/>
  <c r="FE124" i="5"/>
  <c r="FF124" i="5"/>
  <c r="FG124" i="5"/>
  <c r="FH124" i="5"/>
  <c r="FI124" i="5"/>
  <c r="FJ124" i="5"/>
  <c r="FK124" i="5"/>
  <c r="FL124" i="5"/>
  <c r="FM124" i="5"/>
  <c r="FN124" i="5"/>
  <c r="FO124" i="5"/>
  <c r="FP124" i="5"/>
  <c r="FQ124" i="5"/>
  <c r="FR124" i="5"/>
  <c r="FS124" i="5"/>
  <c r="FT124" i="5"/>
  <c r="FU124" i="5"/>
  <c r="FV124" i="5"/>
  <c r="FW124" i="5"/>
  <c r="FX124" i="5"/>
  <c r="FY124" i="5"/>
  <c r="FZ124" i="5"/>
  <c r="GA124" i="5"/>
  <c r="GB124" i="5"/>
  <c r="GC124" i="5"/>
  <c r="GD124" i="5"/>
  <c r="GE124" i="5"/>
  <c r="DA125" i="5"/>
  <c r="DB125" i="5"/>
  <c r="DC125" i="5"/>
  <c r="DD125" i="5"/>
  <c r="DE125" i="5"/>
  <c r="DF125" i="5"/>
  <c r="DG125" i="5"/>
  <c r="DH125" i="5"/>
  <c r="DI125" i="5"/>
  <c r="DJ125" i="5"/>
  <c r="DK125" i="5"/>
  <c r="DL125" i="5"/>
  <c r="DM125" i="5"/>
  <c r="DN125" i="5"/>
  <c r="DO125" i="5"/>
  <c r="DP125" i="5"/>
  <c r="DQ125" i="5"/>
  <c r="DR125" i="5"/>
  <c r="DS125" i="5"/>
  <c r="DT125" i="5"/>
  <c r="DU125" i="5"/>
  <c r="DV125" i="5"/>
  <c r="DW125" i="5"/>
  <c r="DX125" i="5"/>
  <c r="DY125" i="5"/>
  <c r="DZ125" i="5"/>
  <c r="EA125" i="5"/>
  <c r="EB125" i="5"/>
  <c r="EC125" i="5"/>
  <c r="ED125" i="5"/>
  <c r="EE125" i="5"/>
  <c r="EF125" i="5"/>
  <c r="EG125" i="5"/>
  <c r="EH125" i="5"/>
  <c r="EI125" i="5"/>
  <c r="EJ125" i="5"/>
  <c r="EK125" i="5"/>
  <c r="EL125" i="5"/>
  <c r="EM125" i="5"/>
  <c r="EN125" i="5"/>
  <c r="EO125" i="5"/>
  <c r="EP125" i="5"/>
  <c r="EQ125" i="5"/>
  <c r="ER125" i="5"/>
  <c r="ES125" i="5"/>
  <c r="ET125" i="5"/>
  <c r="EU125" i="5"/>
  <c r="EV125" i="5"/>
  <c r="EW125" i="5"/>
  <c r="EX125" i="5"/>
  <c r="EY125" i="5"/>
  <c r="EZ125" i="5"/>
  <c r="FA125" i="5"/>
  <c r="FB125" i="5"/>
  <c r="FC125" i="5"/>
  <c r="FD125" i="5"/>
  <c r="FE125" i="5"/>
  <c r="FF125" i="5"/>
  <c r="FG125" i="5"/>
  <c r="FH125" i="5"/>
  <c r="FI125" i="5"/>
  <c r="FJ125" i="5"/>
  <c r="FK125" i="5"/>
  <c r="FL125" i="5"/>
  <c r="FM125" i="5"/>
  <c r="FN125" i="5"/>
  <c r="FO125" i="5"/>
  <c r="FP125" i="5"/>
  <c r="FQ125" i="5"/>
  <c r="FR125" i="5"/>
  <c r="FS125" i="5"/>
  <c r="FT125" i="5"/>
  <c r="FU125" i="5"/>
  <c r="FV125" i="5"/>
  <c r="FW125" i="5"/>
  <c r="FX125" i="5"/>
  <c r="FY125" i="5"/>
  <c r="FZ125" i="5"/>
  <c r="GA125" i="5"/>
  <c r="GB125" i="5"/>
  <c r="GC125" i="5"/>
  <c r="GD125" i="5"/>
  <c r="GE125" i="5"/>
  <c r="DA126" i="5"/>
  <c r="DB126" i="5"/>
  <c r="DC126" i="5"/>
  <c r="DD126" i="5"/>
  <c r="DE126" i="5"/>
  <c r="DF126" i="5"/>
  <c r="DG126" i="5"/>
  <c r="DH126" i="5"/>
  <c r="DI126" i="5"/>
  <c r="DJ126" i="5"/>
  <c r="DK126" i="5"/>
  <c r="DL126" i="5"/>
  <c r="DM126" i="5"/>
  <c r="DN126" i="5"/>
  <c r="DO126" i="5"/>
  <c r="DP126" i="5"/>
  <c r="DQ126" i="5"/>
  <c r="DR126" i="5"/>
  <c r="DS126" i="5"/>
  <c r="DT126" i="5"/>
  <c r="DU126" i="5"/>
  <c r="DV126" i="5"/>
  <c r="DW126" i="5"/>
  <c r="DX126" i="5"/>
  <c r="DY126" i="5"/>
  <c r="DZ126" i="5"/>
  <c r="EA126" i="5"/>
  <c r="EB126" i="5"/>
  <c r="EC126" i="5"/>
  <c r="ED126" i="5"/>
  <c r="EE126" i="5"/>
  <c r="EF126" i="5"/>
  <c r="EG126" i="5"/>
  <c r="EH126" i="5"/>
  <c r="EI126" i="5"/>
  <c r="EJ126" i="5"/>
  <c r="EK126" i="5"/>
  <c r="EL126" i="5"/>
  <c r="EM126" i="5"/>
  <c r="EN126" i="5"/>
  <c r="EO126" i="5"/>
  <c r="EP126" i="5"/>
  <c r="EQ126" i="5"/>
  <c r="ER126" i="5"/>
  <c r="ES126" i="5"/>
  <c r="ET126" i="5"/>
  <c r="EU126" i="5"/>
  <c r="EV126" i="5"/>
  <c r="EW126" i="5"/>
  <c r="EX126" i="5"/>
  <c r="EY126" i="5"/>
  <c r="EZ126" i="5"/>
  <c r="FA126" i="5"/>
  <c r="FB126" i="5"/>
  <c r="FC126" i="5"/>
  <c r="FD126" i="5"/>
  <c r="FE126" i="5"/>
  <c r="FF126" i="5"/>
  <c r="FG126" i="5"/>
  <c r="FH126" i="5"/>
  <c r="FI126" i="5"/>
  <c r="FJ126" i="5"/>
  <c r="FK126" i="5"/>
  <c r="FL126" i="5"/>
  <c r="FM126" i="5"/>
  <c r="FN126" i="5"/>
  <c r="FO126" i="5"/>
  <c r="FP126" i="5"/>
  <c r="FQ126" i="5"/>
  <c r="FR126" i="5"/>
  <c r="FS126" i="5"/>
  <c r="FT126" i="5"/>
  <c r="FU126" i="5"/>
  <c r="FV126" i="5"/>
  <c r="FW126" i="5"/>
  <c r="FX126" i="5"/>
  <c r="FY126" i="5"/>
  <c r="FZ126" i="5"/>
  <c r="GA126" i="5"/>
  <c r="GB126" i="5"/>
  <c r="GC126" i="5"/>
  <c r="GD126" i="5"/>
  <c r="GE126" i="5"/>
  <c r="DA127" i="5"/>
  <c r="DB127" i="5"/>
  <c r="DC127" i="5"/>
  <c r="DD127" i="5"/>
  <c r="DE127" i="5"/>
  <c r="DF127" i="5"/>
  <c r="DG127" i="5"/>
  <c r="DH127" i="5"/>
  <c r="DI127" i="5"/>
  <c r="DJ127" i="5"/>
  <c r="DK127" i="5"/>
  <c r="DL127" i="5"/>
  <c r="DM127" i="5"/>
  <c r="DN127" i="5"/>
  <c r="DO127" i="5"/>
  <c r="DP127" i="5"/>
  <c r="DQ127" i="5"/>
  <c r="DR127" i="5"/>
  <c r="DS127" i="5"/>
  <c r="DT127" i="5"/>
  <c r="DU127" i="5"/>
  <c r="DV127" i="5"/>
  <c r="DW127" i="5"/>
  <c r="DX127" i="5"/>
  <c r="DY127" i="5"/>
  <c r="DZ127" i="5"/>
  <c r="EA127" i="5"/>
  <c r="EB127" i="5"/>
  <c r="EC127" i="5"/>
  <c r="ED127" i="5"/>
  <c r="EE127" i="5"/>
  <c r="EF127" i="5"/>
  <c r="EG127" i="5"/>
  <c r="EH127" i="5"/>
  <c r="EI127" i="5"/>
  <c r="EJ127" i="5"/>
  <c r="EK127" i="5"/>
  <c r="EL127" i="5"/>
  <c r="EM127" i="5"/>
  <c r="EN127" i="5"/>
  <c r="EO127" i="5"/>
  <c r="EP127" i="5"/>
  <c r="EQ127" i="5"/>
  <c r="ER127" i="5"/>
  <c r="ES127" i="5"/>
  <c r="ET127" i="5"/>
  <c r="EU127" i="5"/>
  <c r="EV127" i="5"/>
  <c r="EW127" i="5"/>
  <c r="EX127" i="5"/>
  <c r="EY127" i="5"/>
  <c r="EZ127" i="5"/>
  <c r="FA127" i="5"/>
  <c r="FB127" i="5"/>
  <c r="FC127" i="5"/>
  <c r="FD127" i="5"/>
  <c r="FE127" i="5"/>
  <c r="FF127" i="5"/>
  <c r="FG127" i="5"/>
  <c r="FH127" i="5"/>
  <c r="FI127" i="5"/>
  <c r="FJ127" i="5"/>
  <c r="FK127" i="5"/>
  <c r="FL127" i="5"/>
  <c r="FM127" i="5"/>
  <c r="FN127" i="5"/>
  <c r="FO127" i="5"/>
  <c r="FP127" i="5"/>
  <c r="FQ127" i="5"/>
  <c r="FR127" i="5"/>
  <c r="FS127" i="5"/>
  <c r="FT127" i="5"/>
  <c r="FU127" i="5"/>
  <c r="FV127" i="5"/>
  <c r="FW127" i="5"/>
  <c r="FX127" i="5"/>
  <c r="FY127" i="5"/>
  <c r="FZ127" i="5"/>
  <c r="GA127" i="5"/>
  <c r="GB127" i="5"/>
  <c r="GC127" i="5"/>
  <c r="GD127" i="5"/>
  <c r="GE127" i="5"/>
  <c r="DA128" i="5"/>
  <c r="DB128" i="5"/>
  <c r="DC128" i="5"/>
  <c r="DD128" i="5"/>
  <c r="DE128" i="5"/>
  <c r="DF128" i="5"/>
  <c r="DG128" i="5"/>
  <c r="DH128" i="5"/>
  <c r="DI128" i="5"/>
  <c r="DJ128" i="5"/>
  <c r="DK128" i="5"/>
  <c r="DL128" i="5"/>
  <c r="DM128" i="5"/>
  <c r="DN128" i="5"/>
  <c r="DO128" i="5"/>
  <c r="DP128" i="5"/>
  <c r="DQ128" i="5"/>
  <c r="DR128" i="5"/>
  <c r="DS128" i="5"/>
  <c r="DT128" i="5"/>
  <c r="DU128" i="5"/>
  <c r="DV128" i="5"/>
  <c r="DW128" i="5"/>
  <c r="DX128" i="5"/>
  <c r="DY128" i="5"/>
  <c r="DZ128" i="5"/>
  <c r="EA128" i="5"/>
  <c r="EB128" i="5"/>
  <c r="EC128" i="5"/>
  <c r="ED128" i="5"/>
  <c r="EE128" i="5"/>
  <c r="EF128" i="5"/>
  <c r="EG128" i="5"/>
  <c r="EH128" i="5"/>
  <c r="EI128" i="5"/>
  <c r="EJ128" i="5"/>
  <c r="EK128" i="5"/>
  <c r="EL128" i="5"/>
  <c r="EM128" i="5"/>
  <c r="EN128" i="5"/>
  <c r="EO128" i="5"/>
  <c r="EP128" i="5"/>
  <c r="EQ128" i="5"/>
  <c r="ER128" i="5"/>
  <c r="ES128" i="5"/>
  <c r="ET128" i="5"/>
  <c r="EU128" i="5"/>
  <c r="EV128" i="5"/>
  <c r="EW128" i="5"/>
  <c r="EX128" i="5"/>
  <c r="EY128" i="5"/>
  <c r="EZ128" i="5"/>
  <c r="FA128" i="5"/>
  <c r="FB128" i="5"/>
  <c r="FC128" i="5"/>
  <c r="FD128" i="5"/>
  <c r="FE128" i="5"/>
  <c r="FF128" i="5"/>
  <c r="FG128" i="5"/>
  <c r="FH128" i="5"/>
  <c r="FI128" i="5"/>
  <c r="FJ128" i="5"/>
  <c r="FK128" i="5"/>
  <c r="FL128" i="5"/>
  <c r="FM128" i="5"/>
  <c r="FN128" i="5"/>
  <c r="FO128" i="5"/>
  <c r="FP128" i="5"/>
  <c r="FQ128" i="5"/>
  <c r="FR128" i="5"/>
  <c r="FS128" i="5"/>
  <c r="FT128" i="5"/>
  <c r="FU128" i="5"/>
  <c r="FV128" i="5"/>
  <c r="FW128" i="5"/>
  <c r="FX128" i="5"/>
  <c r="FY128" i="5"/>
  <c r="FZ128" i="5"/>
  <c r="GA128" i="5"/>
  <c r="GB128" i="5"/>
  <c r="GC128" i="5"/>
  <c r="GD128" i="5"/>
  <c r="GE128" i="5"/>
  <c r="DA129" i="5"/>
  <c r="DB129" i="5"/>
  <c r="DC129" i="5"/>
  <c r="DD129" i="5"/>
  <c r="DE129" i="5"/>
  <c r="DF129" i="5"/>
  <c r="DG129" i="5"/>
  <c r="DH129" i="5"/>
  <c r="DI129" i="5"/>
  <c r="DJ129" i="5"/>
  <c r="DK129" i="5"/>
  <c r="DL129" i="5"/>
  <c r="DM129" i="5"/>
  <c r="DN129" i="5"/>
  <c r="DO129" i="5"/>
  <c r="DP129" i="5"/>
  <c r="DQ129" i="5"/>
  <c r="DR129" i="5"/>
  <c r="DS129" i="5"/>
  <c r="DT129" i="5"/>
  <c r="DU129" i="5"/>
  <c r="DV129" i="5"/>
  <c r="DW129" i="5"/>
  <c r="DX129" i="5"/>
  <c r="DY129" i="5"/>
  <c r="DZ129" i="5"/>
  <c r="EA129" i="5"/>
  <c r="EB129" i="5"/>
  <c r="EC129" i="5"/>
  <c r="ED129" i="5"/>
  <c r="EE129" i="5"/>
  <c r="EF129" i="5"/>
  <c r="EG129" i="5"/>
  <c r="EH129" i="5"/>
  <c r="EI129" i="5"/>
  <c r="EJ129" i="5"/>
  <c r="EK129" i="5"/>
  <c r="EL129" i="5"/>
  <c r="EM129" i="5"/>
  <c r="EN129" i="5"/>
  <c r="EO129" i="5"/>
  <c r="EP129" i="5"/>
  <c r="EQ129" i="5"/>
  <c r="ER129" i="5"/>
  <c r="ES129" i="5"/>
  <c r="ET129" i="5"/>
  <c r="EU129" i="5"/>
  <c r="EV129" i="5"/>
  <c r="EW129" i="5"/>
  <c r="EX129" i="5"/>
  <c r="EY129" i="5"/>
  <c r="EZ129" i="5"/>
  <c r="FA129" i="5"/>
  <c r="FB129" i="5"/>
  <c r="FC129" i="5"/>
  <c r="FD129" i="5"/>
  <c r="FE129" i="5"/>
  <c r="FF129" i="5"/>
  <c r="FG129" i="5"/>
  <c r="FH129" i="5"/>
  <c r="FI129" i="5"/>
  <c r="FJ129" i="5"/>
  <c r="FK129" i="5"/>
  <c r="FL129" i="5"/>
  <c r="FM129" i="5"/>
  <c r="FN129" i="5"/>
  <c r="FO129" i="5"/>
  <c r="FP129" i="5"/>
  <c r="FQ129" i="5"/>
  <c r="FR129" i="5"/>
  <c r="FS129" i="5"/>
  <c r="FT129" i="5"/>
  <c r="FU129" i="5"/>
  <c r="FV129" i="5"/>
  <c r="FW129" i="5"/>
  <c r="FX129" i="5"/>
  <c r="FY129" i="5"/>
  <c r="FZ129" i="5"/>
  <c r="GA129" i="5"/>
  <c r="GB129" i="5"/>
  <c r="GC129" i="5"/>
  <c r="GD129" i="5"/>
  <c r="GE129" i="5"/>
  <c r="DA130" i="5"/>
  <c r="DB130" i="5"/>
  <c r="DC130" i="5"/>
  <c r="DD130" i="5"/>
  <c r="DE130" i="5"/>
  <c r="DF130" i="5"/>
  <c r="DG130" i="5"/>
  <c r="DH130" i="5"/>
  <c r="DI130" i="5"/>
  <c r="DJ130" i="5"/>
  <c r="DK130" i="5"/>
  <c r="DL130" i="5"/>
  <c r="DM130" i="5"/>
  <c r="DN130" i="5"/>
  <c r="DO130" i="5"/>
  <c r="DP130" i="5"/>
  <c r="DQ130" i="5"/>
  <c r="DR130" i="5"/>
  <c r="DS130" i="5"/>
  <c r="DT130" i="5"/>
  <c r="DU130" i="5"/>
  <c r="DV130" i="5"/>
  <c r="DW130" i="5"/>
  <c r="DX130" i="5"/>
  <c r="DY130" i="5"/>
  <c r="DZ130" i="5"/>
  <c r="EA130" i="5"/>
  <c r="EB130" i="5"/>
  <c r="EC130" i="5"/>
  <c r="ED130" i="5"/>
  <c r="EE130" i="5"/>
  <c r="EF130" i="5"/>
  <c r="EG130" i="5"/>
  <c r="EH130" i="5"/>
  <c r="EI130" i="5"/>
  <c r="EJ130" i="5"/>
  <c r="EK130" i="5"/>
  <c r="EL130" i="5"/>
  <c r="EM130" i="5"/>
  <c r="EN130" i="5"/>
  <c r="EO130" i="5"/>
  <c r="EP130" i="5"/>
  <c r="EQ130" i="5"/>
  <c r="ER130" i="5"/>
  <c r="ES130" i="5"/>
  <c r="ET130" i="5"/>
  <c r="EU130" i="5"/>
  <c r="EV130" i="5"/>
  <c r="EW130" i="5"/>
  <c r="EX130" i="5"/>
  <c r="EY130" i="5"/>
  <c r="EZ130" i="5"/>
  <c r="FA130" i="5"/>
  <c r="FB130" i="5"/>
  <c r="FC130" i="5"/>
  <c r="FD130" i="5"/>
  <c r="FE130" i="5"/>
  <c r="FF130" i="5"/>
  <c r="FG130" i="5"/>
  <c r="FH130" i="5"/>
  <c r="FI130" i="5"/>
  <c r="FJ130" i="5"/>
  <c r="FK130" i="5"/>
  <c r="FL130" i="5"/>
  <c r="FM130" i="5"/>
  <c r="FN130" i="5"/>
  <c r="FO130" i="5"/>
  <c r="FP130" i="5"/>
  <c r="FQ130" i="5"/>
  <c r="FR130" i="5"/>
  <c r="FS130" i="5"/>
  <c r="FT130" i="5"/>
  <c r="FU130" i="5"/>
  <c r="FV130" i="5"/>
  <c r="FW130" i="5"/>
  <c r="FX130" i="5"/>
  <c r="FY130" i="5"/>
  <c r="FZ130" i="5"/>
  <c r="GA130" i="5"/>
  <c r="GB130" i="5"/>
  <c r="GC130" i="5"/>
  <c r="GD130" i="5"/>
  <c r="GE130" i="5"/>
  <c r="DA131" i="5"/>
  <c r="DB131" i="5"/>
  <c r="DC131" i="5"/>
  <c r="DD131" i="5"/>
  <c r="DE131" i="5"/>
  <c r="DF131" i="5"/>
  <c r="DG131" i="5"/>
  <c r="DH131" i="5"/>
  <c r="DI131" i="5"/>
  <c r="DJ131" i="5"/>
  <c r="DK131" i="5"/>
  <c r="DL131" i="5"/>
  <c r="DM131" i="5"/>
  <c r="DN131" i="5"/>
  <c r="DO131" i="5"/>
  <c r="DP131" i="5"/>
  <c r="DQ131" i="5"/>
  <c r="DR131" i="5"/>
  <c r="DS131" i="5"/>
  <c r="DT131" i="5"/>
  <c r="DU131" i="5"/>
  <c r="DV131" i="5"/>
  <c r="DW131" i="5"/>
  <c r="DX131" i="5"/>
  <c r="DY131" i="5"/>
  <c r="DZ131" i="5"/>
  <c r="EA131" i="5"/>
  <c r="EB131" i="5"/>
  <c r="EC131" i="5"/>
  <c r="ED131" i="5"/>
  <c r="EE131" i="5"/>
  <c r="EF131" i="5"/>
  <c r="EG131" i="5"/>
  <c r="EH131" i="5"/>
  <c r="EI131" i="5"/>
  <c r="EJ131" i="5"/>
  <c r="EK131" i="5"/>
  <c r="EL131" i="5"/>
  <c r="EM131" i="5"/>
  <c r="EN131" i="5"/>
  <c r="EO131" i="5"/>
  <c r="EP131" i="5"/>
  <c r="EQ131" i="5"/>
  <c r="ER131" i="5"/>
  <c r="ES131" i="5"/>
  <c r="ET131" i="5"/>
  <c r="EU131" i="5"/>
  <c r="EV131" i="5"/>
  <c r="EW131" i="5"/>
  <c r="EX131" i="5"/>
  <c r="EY131" i="5"/>
  <c r="EZ131" i="5"/>
  <c r="FA131" i="5"/>
  <c r="FB131" i="5"/>
  <c r="FC131" i="5"/>
  <c r="FD131" i="5"/>
  <c r="FE131" i="5"/>
  <c r="FF131" i="5"/>
  <c r="FG131" i="5"/>
  <c r="FH131" i="5"/>
  <c r="FI131" i="5"/>
  <c r="FJ131" i="5"/>
  <c r="FK131" i="5"/>
  <c r="FL131" i="5"/>
  <c r="FM131" i="5"/>
  <c r="FN131" i="5"/>
  <c r="FO131" i="5"/>
  <c r="FP131" i="5"/>
  <c r="FQ131" i="5"/>
  <c r="FR131" i="5"/>
  <c r="FS131" i="5"/>
  <c r="FT131" i="5"/>
  <c r="FU131" i="5"/>
  <c r="FV131" i="5"/>
  <c r="FW131" i="5"/>
  <c r="FX131" i="5"/>
  <c r="FY131" i="5"/>
  <c r="FZ131" i="5"/>
  <c r="GA131" i="5"/>
  <c r="GB131" i="5"/>
  <c r="GC131" i="5"/>
  <c r="GD131" i="5"/>
  <c r="GE131" i="5"/>
  <c r="DA132" i="5"/>
  <c r="DB132" i="5"/>
  <c r="DC132" i="5"/>
  <c r="DD132" i="5"/>
  <c r="DE132" i="5"/>
  <c r="DF132" i="5"/>
  <c r="DG132" i="5"/>
  <c r="DH132" i="5"/>
  <c r="DI132" i="5"/>
  <c r="DJ132" i="5"/>
  <c r="DK132" i="5"/>
  <c r="DL132" i="5"/>
  <c r="DM132" i="5"/>
  <c r="DN132" i="5"/>
  <c r="DO132" i="5"/>
  <c r="DP132" i="5"/>
  <c r="DQ132" i="5"/>
  <c r="DR132" i="5"/>
  <c r="DS132" i="5"/>
  <c r="DT132" i="5"/>
  <c r="DU132" i="5"/>
  <c r="DV132" i="5"/>
  <c r="DW132" i="5"/>
  <c r="DX132" i="5"/>
  <c r="DY132" i="5"/>
  <c r="DZ132" i="5"/>
  <c r="EA132" i="5"/>
  <c r="EB132" i="5"/>
  <c r="EC132" i="5"/>
  <c r="ED132" i="5"/>
  <c r="EE132" i="5"/>
  <c r="EF132" i="5"/>
  <c r="EG132" i="5"/>
  <c r="EH132" i="5"/>
  <c r="EI132" i="5"/>
  <c r="EJ132" i="5"/>
  <c r="EK132" i="5"/>
  <c r="EL132" i="5"/>
  <c r="EM132" i="5"/>
  <c r="EN132" i="5"/>
  <c r="EO132" i="5"/>
  <c r="EP132" i="5"/>
  <c r="EQ132" i="5"/>
  <c r="ER132" i="5"/>
  <c r="ES132" i="5"/>
  <c r="ET132" i="5"/>
  <c r="EU132" i="5"/>
  <c r="EV132" i="5"/>
  <c r="EW132" i="5"/>
  <c r="EX132" i="5"/>
  <c r="EY132" i="5"/>
  <c r="EZ132" i="5"/>
  <c r="FA132" i="5"/>
  <c r="FB132" i="5"/>
  <c r="FC132" i="5"/>
  <c r="FD132" i="5"/>
  <c r="FE132" i="5"/>
  <c r="FF132" i="5"/>
  <c r="FG132" i="5"/>
  <c r="FH132" i="5"/>
  <c r="FI132" i="5"/>
  <c r="FJ132" i="5"/>
  <c r="FK132" i="5"/>
  <c r="FL132" i="5"/>
  <c r="FM132" i="5"/>
  <c r="FN132" i="5"/>
  <c r="FO132" i="5"/>
  <c r="FP132" i="5"/>
  <c r="FQ132" i="5"/>
  <c r="FR132" i="5"/>
  <c r="FS132" i="5"/>
  <c r="FT132" i="5"/>
  <c r="FU132" i="5"/>
  <c r="FV132" i="5"/>
  <c r="FW132" i="5"/>
  <c r="FX132" i="5"/>
  <c r="FY132" i="5"/>
  <c r="FZ132" i="5"/>
  <c r="GA132" i="5"/>
  <c r="GB132" i="5"/>
  <c r="GC132" i="5"/>
  <c r="GD132" i="5"/>
  <c r="GE132" i="5"/>
  <c r="DA133" i="5"/>
  <c r="DB133" i="5"/>
  <c r="DC133" i="5"/>
  <c r="DD133" i="5"/>
  <c r="DE133" i="5"/>
  <c r="DF133" i="5"/>
  <c r="DG133" i="5"/>
  <c r="DH133" i="5"/>
  <c r="DI133" i="5"/>
  <c r="DJ133" i="5"/>
  <c r="DK133" i="5"/>
  <c r="DL133" i="5"/>
  <c r="DM133" i="5"/>
  <c r="DN133" i="5"/>
  <c r="DO133" i="5"/>
  <c r="DP133" i="5"/>
  <c r="DQ133" i="5"/>
  <c r="DR133" i="5"/>
  <c r="DS133" i="5"/>
  <c r="DT133" i="5"/>
  <c r="DU133" i="5"/>
  <c r="DV133" i="5"/>
  <c r="DW133" i="5"/>
  <c r="DX133" i="5"/>
  <c r="DY133" i="5"/>
  <c r="DZ133" i="5"/>
  <c r="EA133" i="5"/>
  <c r="EB133" i="5"/>
  <c r="EC133" i="5"/>
  <c r="ED133" i="5"/>
  <c r="EE133" i="5"/>
  <c r="EF133" i="5"/>
  <c r="EG133" i="5"/>
  <c r="EH133" i="5"/>
  <c r="EI133" i="5"/>
  <c r="EJ133" i="5"/>
  <c r="EK133" i="5"/>
  <c r="EL133" i="5"/>
  <c r="EM133" i="5"/>
  <c r="EN133" i="5"/>
  <c r="EO133" i="5"/>
  <c r="EP133" i="5"/>
  <c r="EQ133" i="5"/>
  <c r="ER133" i="5"/>
  <c r="ES133" i="5"/>
  <c r="ET133" i="5"/>
  <c r="EU133" i="5"/>
  <c r="EV133" i="5"/>
  <c r="EW133" i="5"/>
  <c r="EX133" i="5"/>
  <c r="EY133" i="5"/>
  <c r="EZ133" i="5"/>
  <c r="FA133" i="5"/>
  <c r="FB133" i="5"/>
  <c r="FC133" i="5"/>
  <c r="FD133" i="5"/>
  <c r="FE133" i="5"/>
  <c r="FF133" i="5"/>
  <c r="FG133" i="5"/>
  <c r="FH133" i="5"/>
  <c r="FI133" i="5"/>
  <c r="FJ133" i="5"/>
  <c r="FK133" i="5"/>
  <c r="FL133" i="5"/>
  <c r="FM133" i="5"/>
  <c r="FN133" i="5"/>
  <c r="FO133" i="5"/>
  <c r="FP133" i="5"/>
  <c r="FQ133" i="5"/>
  <c r="FR133" i="5"/>
  <c r="FS133" i="5"/>
  <c r="FT133" i="5"/>
  <c r="FU133" i="5"/>
  <c r="FV133" i="5"/>
  <c r="FW133" i="5"/>
  <c r="FX133" i="5"/>
  <c r="FY133" i="5"/>
  <c r="FZ133" i="5"/>
  <c r="GA133" i="5"/>
  <c r="GB133" i="5"/>
  <c r="GC133" i="5"/>
  <c r="GD133" i="5"/>
  <c r="GE133" i="5"/>
  <c r="DA134" i="5"/>
  <c r="DB134" i="5"/>
  <c r="DC134" i="5"/>
  <c r="DD134" i="5"/>
  <c r="DE134" i="5"/>
  <c r="DF134" i="5"/>
  <c r="DG134" i="5"/>
  <c r="DH134" i="5"/>
  <c r="DI134" i="5"/>
  <c r="DJ134" i="5"/>
  <c r="DK134" i="5"/>
  <c r="DL134" i="5"/>
  <c r="DM134" i="5"/>
  <c r="DN134" i="5"/>
  <c r="DO134" i="5"/>
  <c r="DP134" i="5"/>
  <c r="DQ134" i="5"/>
  <c r="DR134" i="5"/>
  <c r="DS134" i="5"/>
  <c r="DT134" i="5"/>
  <c r="DU134" i="5"/>
  <c r="DV134" i="5"/>
  <c r="DW134" i="5"/>
  <c r="DX134" i="5"/>
  <c r="DY134" i="5"/>
  <c r="DZ134" i="5"/>
  <c r="EA134" i="5"/>
  <c r="EB134" i="5"/>
  <c r="EC134" i="5"/>
  <c r="ED134" i="5"/>
  <c r="EE134" i="5"/>
  <c r="EF134" i="5"/>
  <c r="EG134" i="5"/>
  <c r="EH134" i="5"/>
  <c r="EI134" i="5"/>
  <c r="EJ134" i="5"/>
  <c r="EK134" i="5"/>
  <c r="EL134" i="5"/>
  <c r="EM134" i="5"/>
  <c r="EN134" i="5"/>
  <c r="EO134" i="5"/>
  <c r="EP134" i="5"/>
  <c r="EQ134" i="5"/>
  <c r="ER134" i="5"/>
  <c r="ES134" i="5"/>
  <c r="ET134" i="5"/>
  <c r="EU134" i="5"/>
  <c r="EV134" i="5"/>
  <c r="EW134" i="5"/>
  <c r="EX134" i="5"/>
  <c r="EY134" i="5"/>
  <c r="EZ134" i="5"/>
  <c r="FA134" i="5"/>
  <c r="FB134" i="5"/>
  <c r="FC134" i="5"/>
  <c r="FD134" i="5"/>
  <c r="FE134" i="5"/>
  <c r="FF134" i="5"/>
  <c r="FG134" i="5"/>
  <c r="FH134" i="5"/>
  <c r="FI134" i="5"/>
  <c r="FJ134" i="5"/>
  <c r="FK134" i="5"/>
  <c r="FL134" i="5"/>
  <c r="FM134" i="5"/>
  <c r="FN134" i="5"/>
  <c r="FO134" i="5"/>
  <c r="FP134" i="5"/>
  <c r="FQ134" i="5"/>
  <c r="FR134" i="5"/>
  <c r="FS134" i="5"/>
  <c r="FT134" i="5"/>
  <c r="FU134" i="5"/>
  <c r="FV134" i="5"/>
  <c r="FW134" i="5"/>
  <c r="FX134" i="5"/>
  <c r="FY134" i="5"/>
  <c r="FZ134" i="5"/>
  <c r="GA134" i="5"/>
  <c r="GB134" i="5"/>
  <c r="GC134" i="5"/>
  <c r="GD134" i="5"/>
  <c r="GE134" i="5"/>
  <c r="DA135" i="5"/>
  <c r="DB135" i="5"/>
  <c r="DC135" i="5"/>
  <c r="DD135" i="5"/>
  <c r="DE135" i="5"/>
  <c r="DF135" i="5"/>
  <c r="DG135" i="5"/>
  <c r="DH135" i="5"/>
  <c r="DI135" i="5"/>
  <c r="DJ135" i="5"/>
  <c r="DK135" i="5"/>
  <c r="DL135" i="5"/>
  <c r="DM135" i="5"/>
  <c r="DN135" i="5"/>
  <c r="DO135" i="5"/>
  <c r="DP135" i="5"/>
  <c r="DQ135" i="5"/>
  <c r="DR135" i="5"/>
  <c r="DS135" i="5"/>
  <c r="DT135" i="5"/>
  <c r="DU135" i="5"/>
  <c r="DV135" i="5"/>
  <c r="DW135" i="5"/>
  <c r="DX135" i="5"/>
  <c r="DY135" i="5"/>
  <c r="DZ135" i="5"/>
  <c r="EA135" i="5"/>
  <c r="EB135" i="5"/>
  <c r="EC135" i="5"/>
  <c r="ED135" i="5"/>
  <c r="EE135" i="5"/>
  <c r="EF135" i="5"/>
  <c r="EG135" i="5"/>
  <c r="EH135" i="5"/>
  <c r="EI135" i="5"/>
  <c r="EJ135" i="5"/>
  <c r="EK135" i="5"/>
  <c r="EL135" i="5"/>
  <c r="EM135" i="5"/>
  <c r="EN135" i="5"/>
  <c r="EO135" i="5"/>
  <c r="EP135" i="5"/>
  <c r="EQ135" i="5"/>
  <c r="ER135" i="5"/>
  <c r="ES135" i="5"/>
  <c r="ET135" i="5"/>
  <c r="EU135" i="5"/>
  <c r="EV135" i="5"/>
  <c r="EW135" i="5"/>
  <c r="EX135" i="5"/>
  <c r="EY135" i="5"/>
  <c r="EZ135" i="5"/>
  <c r="FA135" i="5"/>
  <c r="FB135" i="5"/>
  <c r="FC135" i="5"/>
  <c r="FD135" i="5"/>
  <c r="FE135" i="5"/>
  <c r="FF135" i="5"/>
  <c r="FG135" i="5"/>
  <c r="FH135" i="5"/>
  <c r="FI135" i="5"/>
  <c r="FJ135" i="5"/>
  <c r="FK135" i="5"/>
  <c r="FL135" i="5"/>
  <c r="FM135" i="5"/>
  <c r="FN135" i="5"/>
  <c r="FO135" i="5"/>
  <c r="FP135" i="5"/>
  <c r="FQ135" i="5"/>
  <c r="FR135" i="5"/>
  <c r="FS135" i="5"/>
  <c r="FT135" i="5"/>
  <c r="FU135" i="5"/>
  <c r="FV135" i="5"/>
  <c r="FW135" i="5"/>
  <c r="FX135" i="5"/>
  <c r="FY135" i="5"/>
  <c r="FZ135" i="5"/>
  <c r="GA135" i="5"/>
  <c r="GB135" i="5"/>
  <c r="GC135" i="5"/>
  <c r="GD135" i="5"/>
  <c r="GE135" i="5"/>
  <c r="DA136" i="5"/>
  <c r="DB136" i="5"/>
  <c r="DC136" i="5"/>
  <c r="DD136" i="5"/>
  <c r="DE136" i="5"/>
  <c r="DF136" i="5"/>
  <c r="DG136" i="5"/>
  <c r="DH136" i="5"/>
  <c r="DI136" i="5"/>
  <c r="DJ136" i="5"/>
  <c r="DK136" i="5"/>
  <c r="DL136" i="5"/>
  <c r="DM136" i="5"/>
  <c r="DN136" i="5"/>
  <c r="DO136" i="5"/>
  <c r="DP136" i="5"/>
  <c r="DQ136" i="5"/>
  <c r="DR136" i="5"/>
  <c r="DS136" i="5"/>
  <c r="DT136" i="5"/>
  <c r="DU136" i="5"/>
  <c r="DV136" i="5"/>
  <c r="DW136" i="5"/>
  <c r="DX136" i="5"/>
  <c r="DY136" i="5"/>
  <c r="DZ136" i="5"/>
  <c r="EA136" i="5"/>
  <c r="EB136" i="5"/>
  <c r="EC136" i="5"/>
  <c r="ED136" i="5"/>
  <c r="EE136" i="5"/>
  <c r="EF136" i="5"/>
  <c r="EG136" i="5"/>
  <c r="EH136" i="5"/>
  <c r="EI136" i="5"/>
  <c r="EJ136" i="5"/>
  <c r="EK136" i="5"/>
  <c r="EL136" i="5"/>
  <c r="EM136" i="5"/>
  <c r="EN136" i="5"/>
  <c r="EO136" i="5"/>
  <c r="EP136" i="5"/>
  <c r="EQ136" i="5"/>
  <c r="ER136" i="5"/>
  <c r="ES136" i="5"/>
  <c r="ET136" i="5"/>
  <c r="EU136" i="5"/>
  <c r="EV136" i="5"/>
  <c r="EW136" i="5"/>
  <c r="EX136" i="5"/>
  <c r="EY136" i="5"/>
  <c r="EZ136" i="5"/>
  <c r="FA136" i="5"/>
  <c r="FB136" i="5"/>
  <c r="FC136" i="5"/>
  <c r="FD136" i="5"/>
  <c r="FE136" i="5"/>
  <c r="FF136" i="5"/>
  <c r="FG136" i="5"/>
  <c r="FH136" i="5"/>
  <c r="FI136" i="5"/>
  <c r="FJ136" i="5"/>
  <c r="FK136" i="5"/>
  <c r="FL136" i="5"/>
  <c r="FM136" i="5"/>
  <c r="FN136" i="5"/>
  <c r="FO136" i="5"/>
  <c r="FP136" i="5"/>
  <c r="FQ136" i="5"/>
  <c r="FR136" i="5"/>
  <c r="FS136" i="5"/>
  <c r="FT136" i="5"/>
  <c r="FU136" i="5"/>
  <c r="FV136" i="5"/>
  <c r="FW136" i="5"/>
  <c r="FX136" i="5"/>
  <c r="FY136" i="5"/>
  <c r="FZ136" i="5"/>
  <c r="GA136" i="5"/>
  <c r="GB136" i="5"/>
  <c r="GC136" i="5"/>
  <c r="GD136" i="5"/>
  <c r="GE136" i="5"/>
  <c r="DA137" i="5"/>
  <c r="DB137" i="5"/>
  <c r="DC137" i="5"/>
  <c r="DD137" i="5"/>
  <c r="DE137" i="5"/>
  <c r="DF137" i="5"/>
  <c r="DG137" i="5"/>
  <c r="DH137" i="5"/>
  <c r="DI137" i="5"/>
  <c r="DJ137" i="5"/>
  <c r="DK137" i="5"/>
  <c r="DL137" i="5"/>
  <c r="DM137" i="5"/>
  <c r="DN137" i="5"/>
  <c r="DO137" i="5"/>
  <c r="DP137" i="5"/>
  <c r="DQ137" i="5"/>
  <c r="DR137" i="5"/>
  <c r="DS137" i="5"/>
  <c r="DT137" i="5"/>
  <c r="DU137" i="5"/>
  <c r="DV137" i="5"/>
  <c r="DW137" i="5"/>
  <c r="DX137" i="5"/>
  <c r="DY137" i="5"/>
  <c r="DZ137" i="5"/>
  <c r="EA137" i="5"/>
  <c r="EB137" i="5"/>
  <c r="EC137" i="5"/>
  <c r="ED137" i="5"/>
  <c r="EE137" i="5"/>
  <c r="EF137" i="5"/>
  <c r="EG137" i="5"/>
  <c r="EH137" i="5"/>
  <c r="EI137" i="5"/>
  <c r="EJ137" i="5"/>
  <c r="EK137" i="5"/>
  <c r="EL137" i="5"/>
  <c r="EM137" i="5"/>
  <c r="EN137" i="5"/>
  <c r="EO137" i="5"/>
  <c r="EP137" i="5"/>
  <c r="EQ137" i="5"/>
  <c r="ER137" i="5"/>
  <c r="ES137" i="5"/>
  <c r="ET137" i="5"/>
  <c r="EU137" i="5"/>
  <c r="EV137" i="5"/>
  <c r="EW137" i="5"/>
  <c r="EX137" i="5"/>
  <c r="EY137" i="5"/>
  <c r="EZ137" i="5"/>
  <c r="FA137" i="5"/>
  <c r="FB137" i="5"/>
  <c r="FC137" i="5"/>
  <c r="FD137" i="5"/>
  <c r="FE137" i="5"/>
  <c r="FF137" i="5"/>
  <c r="FG137" i="5"/>
  <c r="FH137" i="5"/>
  <c r="FI137" i="5"/>
  <c r="FJ137" i="5"/>
  <c r="FK137" i="5"/>
  <c r="FL137" i="5"/>
  <c r="FM137" i="5"/>
  <c r="FN137" i="5"/>
  <c r="FO137" i="5"/>
  <c r="FP137" i="5"/>
  <c r="FQ137" i="5"/>
  <c r="FR137" i="5"/>
  <c r="FS137" i="5"/>
  <c r="FT137" i="5"/>
  <c r="FU137" i="5"/>
  <c r="FV137" i="5"/>
  <c r="FW137" i="5"/>
  <c r="FX137" i="5"/>
  <c r="FY137" i="5"/>
  <c r="FZ137" i="5"/>
  <c r="GA137" i="5"/>
  <c r="GB137" i="5"/>
  <c r="GC137" i="5"/>
  <c r="GD137" i="5"/>
  <c r="GE137" i="5"/>
  <c r="DA138" i="5"/>
  <c r="DB138" i="5"/>
  <c r="DC138" i="5"/>
  <c r="DD138" i="5"/>
  <c r="DE138" i="5"/>
  <c r="DF138" i="5"/>
  <c r="DG138" i="5"/>
  <c r="DH138" i="5"/>
  <c r="DI138" i="5"/>
  <c r="DJ138" i="5"/>
  <c r="DK138" i="5"/>
  <c r="DL138" i="5"/>
  <c r="DM138" i="5"/>
  <c r="DN138" i="5"/>
  <c r="DO138" i="5"/>
  <c r="DP138" i="5"/>
  <c r="DQ138" i="5"/>
  <c r="DR138" i="5"/>
  <c r="DS138" i="5"/>
  <c r="DT138" i="5"/>
  <c r="DU138" i="5"/>
  <c r="DV138" i="5"/>
  <c r="DW138" i="5"/>
  <c r="DX138" i="5"/>
  <c r="DY138" i="5"/>
  <c r="DZ138" i="5"/>
  <c r="EA138" i="5"/>
  <c r="EB138" i="5"/>
  <c r="EC138" i="5"/>
  <c r="ED138" i="5"/>
  <c r="EE138" i="5"/>
  <c r="EF138" i="5"/>
  <c r="EG138" i="5"/>
  <c r="EH138" i="5"/>
  <c r="EI138" i="5"/>
  <c r="EJ138" i="5"/>
  <c r="EK138" i="5"/>
  <c r="EL138" i="5"/>
  <c r="EM138" i="5"/>
  <c r="EN138" i="5"/>
  <c r="EO138" i="5"/>
  <c r="EP138" i="5"/>
  <c r="EQ138" i="5"/>
  <c r="ER138" i="5"/>
  <c r="ES138" i="5"/>
  <c r="ET138" i="5"/>
  <c r="EU138" i="5"/>
  <c r="EV138" i="5"/>
  <c r="EW138" i="5"/>
  <c r="EX138" i="5"/>
  <c r="EY138" i="5"/>
  <c r="EZ138" i="5"/>
  <c r="FA138" i="5"/>
  <c r="FB138" i="5"/>
  <c r="FC138" i="5"/>
  <c r="FD138" i="5"/>
  <c r="FE138" i="5"/>
  <c r="FF138" i="5"/>
  <c r="FG138" i="5"/>
  <c r="FH138" i="5"/>
  <c r="FI138" i="5"/>
  <c r="FJ138" i="5"/>
  <c r="FK138" i="5"/>
  <c r="FL138" i="5"/>
  <c r="FM138" i="5"/>
  <c r="FN138" i="5"/>
  <c r="FO138" i="5"/>
  <c r="FP138" i="5"/>
  <c r="FQ138" i="5"/>
  <c r="FR138" i="5"/>
  <c r="FS138" i="5"/>
  <c r="FT138" i="5"/>
  <c r="FU138" i="5"/>
  <c r="FV138" i="5"/>
  <c r="FW138" i="5"/>
  <c r="FX138" i="5"/>
  <c r="FY138" i="5"/>
  <c r="FZ138" i="5"/>
  <c r="GA138" i="5"/>
  <c r="GB138" i="5"/>
  <c r="GC138" i="5"/>
  <c r="GD138" i="5"/>
  <c r="GE138" i="5"/>
  <c r="DA139" i="5"/>
  <c r="DB139" i="5"/>
  <c r="DC139" i="5"/>
  <c r="DD139" i="5"/>
  <c r="DE139" i="5"/>
  <c r="DF139" i="5"/>
  <c r="DG139" i="5"/>
  <c r="DH139" i="5"/>
  <c r="DI139" i="5"/>
  <c r="DJ139" i="5"/>
  <c r="DK139" i="5"/>
  <c r="DL139" i="5"/>
  <c r="DM139" i="5"/>
  <c r="DN139" i="5"/>
  <c r="DO139" i="5"/>
  <c r="DP139" i="5"/>
  <c r="DQ139" i="5"/>
  <c r="DR139" i="5"/>
  <c r="DS139" i="5"/>
  <c r="DT139" i="5"/>
  <c r="DU139" i="5"/>
  <c r="DV139" i="5"/>
  <c r="DW139" i="5"/>
  <c r="DX139" i="5"/>
  <c r="DY139" i="5"/>
  <c r="DZ139" i="5"/>
  <c r="EA139" i="5"/>
  <c r="EB139" i="5"/>
  <c r="EC139" i="5"/>
  <c r="ED139" i="5"/>
  <c r="EE139" i="5"/>
  <c r="EF139" i="5"/>
  <c r="EG139" i="5"/>
  <c r="EH139" i="5"/>
  <c r="EI139" i="5"/>
  <c r="EJ139" i="5"/>
  <c r="EK139" i="5"/>
  <c r="EL139" i="5"/>
  <c r="EM139" i="5"/>
  <c r="EN139" i="5"/>
  <c r="EO139" i="5"/>
  <c r="EP139" i="5"/>
  <c r="EQ139" i="5"/>
  <c r="ER139" i="5"/>
  <c r="ES139" i="5"/>
  <c r="ET139" i="5"/>
  <c r="EU139" i="5"/>
  <c r="EV139" i="5"/>
  <c r="EW139" i="5"/>
  <c r="EX139" i="5"/>
  <c r="EY139" i="5"/>
  <c r="EZ139" i="5"/>
  <c r="FA139" i="5"/>
  <c r="FB139" i="5"/>
  <c r="FC139" i="5"/>
  <c r="FD139" i="5"/>
  <c r="FE139" i="5"/>
  <c r="FF139" i="5"/>
  <c r="FG139" i="5"/>
  <c r="FH139" i="5"/>
  <c r="FI139" i="5"/>
  <c r="FJ139" i="5"/>
  <c r="FK139" i="5"/>
  <c r="FL139" i="5"/>
  <c r="FM139" i="5"/>
  <c r="FN139" i="5"/>
  <c r="FO139" i="5"/>
  <c r="FP139" i="5"/>
  <c r="FQ139" i="5"/>
  <c r="FR139" i="5"/>
  <c r="FS139" i="5"/>
  <c r="FT139" i="5"/>
  <c r="FU139" i="5"/>
  <c r="FV139" i="5"/>
  <c r="FW139" i="5"/>
  <c r="FX139" i="5"/>
  <c r="FY139" i="5"/>
  <c r="FZ139" i="5"/>
  <c r="GA139" i="5"/>
  <c r="GB139" i="5"/>
  <c r="GC139" i="5"/>
  <c r="GD139" i="5"/>
  <c r="GE139" i="5"/>
  <c r="DA140" i="5"/>
  <c r="DB140" i="5"/>
  <c r="DC140" i="5"/>
  <c r="DD140" i="5"/>
  <c r="DE140" i="5"/>
  <c r="DF140" i="5"/>
  <c r="DG140" i="5"/>
  <c r="DH140" i="5"/>
  <c r="DI140" i="5"/>
  <c r="DJ140" i="5"/>
  <c r="DK140" i="5"/>
  <c r="DL140" i="5"/>
  <c r="DM140" i="5"/>
  <c r="DN140" i="5"/>
  <c r="DO140" i="5"/>
  <c r="DP140" i="5"/>
  <c r="DQ140" i="5"/>
  <c r="DR140" i="5"/>
  <c r="DS140" i="5"/>
  <c r="DT140" i="5"/>
  <c r="DU140" i="5"/>
  <c r="DV140" i="5"/>
  <c r="DW140" i="5"/>
  <c r="DX140" i="5"/>
  <c r="DY140" i="5"/>
  <c r="DZ140" i="5"/>
  <c r="EA140" i="5"/>
  <c r="EB140" i="5"/>
  <c r="EC140" i="5"/>
  <c r="ED140" i="5"/>
  <c r="EE140" i="5"/>
  <c r="EF140" i="5"/>
  <c r="EG140" i="5"/>
  <c r="EH140" i="5"/>
  <c r="EI140" i="5"/>
  <c r="EJ140" i="5"/>
  <c r="EK140" i="5"/>
  <c r="EL140" i="5"/>
  <c r="EM140" i="5"/>
  <c r="EN140" i="5"/>
  <c r="EO140" i="5"/>
  <c r="EP140" i="5"/>
  <c r="EQ140" i="5"/>
  <c r="ER140" i="5"/>
  <c r="ES140" i="5"/>
  <c r="ET140" i="5"/>
  <c r="EU140" i="5"/>
  <c r="EV140" i="5"/>
  <c r="EW140" i="5"/>
  <c r="EX140" i="5"/>
  <c r="EY140" i="5"/>
  <c r="EZ140" i="5"/>
  <c r="FA140" i="5"/>
  <c r="FB140" i="5"/>
  <c r="FC140" i="5"/>
  <c r="FD140" i="5"/>
  <c r="FE140" i="5"/>
  <c r="FF140" i="5"/>
  <c r="FG140" i="5"/>
  <c r="FH140" i="5"/>
  <c r="FI140" i="5"/>
  <c r="FJ140" i="5"/>
  <c r="FK140" i="5"/>
  <c r="FL140" i="5"/>
  <c r="FM140" i="5"/>
  <c r="FN140" i="5"/>
  <c r="FO140" i="5"/>
  <c r="FP140" i="5"/>
  <c r="FQ140" i="5"/>
  <c r="FR140" i="5"/>
  <c r="FS140" i="5"/>
  <c r="FT140" i="5"/>
  <c r="FU140" i="5"/>
  <c r="FV140" i="5"/>
  <c r="FW140" i="5"/>
  <c r="FX140" i="5"/>
  <c r="FY140" i="5"/>
  <c r="FZ140" i="5"/>
  <c r="GA140" i="5"/>
  <c r="GB140" i="5"/>
  <c r="GC140" i="5"/>
  <c r="GD140" i="5"/>
  <c r="GE140" i="5"/>
  <c r="DA141" i="5"/>
  <c r="DB141" i="5"/>
  <c r="DC141" i="5"/>
  <c r="DD141" i="5"/>
  <c r="DE141" i="5"/>
  <c r="DF141" i="5"/>
  <c r="DG141" i="5"/>
  <c r="DH141" i="5"/>
  <c r="DI141" i="5"/>
  <c r="DJ141" i="5"/>
  <c r="DK141" i="5"/>
  <c r="DL141" i="5"/>
  <c r="DM141" i="5"/>
  <c r="DN141" i="5"/>
  <c r="DO141" i="5"/>
  <c r="DP141" i="5"/>
  <c r="DQ141" i="5"/>
  <c r="DR141" i="5"/>
  <c r="DS141" i="5"/>
  <c r="DT141" i="5"/>
  <c r="DU141" i="5"/>
  <c r="DV141" i="5"/>
  <c r="DW141" i="5"/>
  <c r="DX141" i="5"/>
  <c r="DY141" i="5"/>
  <c r="DZ141" i="5"/>
  <c r="EA141" i="5"/>
  <c r="EB141" i="5"/>
  <c r="EC141" i="5"/>
  <c r="ED141" i="5"/>
  <c r="EE141" i="5"/>
  <c r="EF141" i="5"/>
  <c r="EG141" i="5"/>
  <c r="EH141" i="5"/>
  <c r="EI141" i="5"/>
  <c r="EJ141" i="5"/>
  <c r="EK141" i="5"/>
  <c r="EL141" i="5"/>
  <c r="EM141" i="5"/>
  <c r="EN141" i="5"/>
  <c r="EO141" i="5"/>
  <c r="EP141" i="5"/>
  <c r="EQ141" i="5"/>
  <c r="ER141" i="5"/>
  <c r="ES141" i="5"/>
  <c r="ET141" i="5"/>
  <c r="EU141" i="5"/>
  <c r="EV141" i="5"/>
  <c r="EW141" i="5"/>
  <c r="EX141" i="5"/>
  <c r="EY141" i="5"/>
  <c r="EZ141" i="5"/>
  <c r="FA141" i="5"/>
  <c r="FB141" i="5"/>
  <c r="FC141" i="5"/>
  <c r="FD141" i="5"/>
  <c r="FE141" i="5"/>
  <c r="FF141" i="5"/>
  <c r="FG141" i="5"/>
  <c r="FH141" i="5"/>
  <c r="FI141" i="5"/>
  <c r="FJ141" i="5"/>
  <c r="FK141" i="5"/>
  <c r="FL141" i="5"/>
  <c r="FM141" i="5"/>
  <c r="FN141" i="5"/>
  <c r="FO141" i="5"/>
  <c r="FP141" i="5"/>
  <c r="FQ141" i="5"/>
  <c r="FR141" i="5"/>
  <c r="FS141" i="5"/>
  <c r="FT141" i="5"/>
  <c r="FU141" i="5"/>
  <c r="FV141" i="5"/>
  <c r="FW141" i="5"/>
  <c r="FX141" i="5"/>
  <c r="FY141" i="5"/>
  <c r="FZ141" i="5"/>
  <c r="GA141" i="5"/>
  <c r="GB141" i="5"/>
  <c r="GC141" i="5"/>
  <c r="GD141" i="5"/>
  <c r="GE141" i="5"/>
  <c r="DA142" i="5"/>
  <c r="DB142" i="5"/>
  <c r="DC142" i="5"/>
  <c r="DD142" i="5"/>
  <c r="DE142" i="5"/>
  <c r="DF142" i="5"/>
  <c r="DG142" i="5"/>
  <c r="DH142" i="5"/>
  <c r="DI142" i="5"/>
  <c r="DJ142" i="5"/>
  <c r="DK142" i="5"/>
  <c r="DL142" i="5"/>
  <c r="DM142" i="5"/>
  <c r="DN142" i="5"/>
  <c r="DO142" i="5"/>
  <c r="DP142" i="5"/>
  <c r="DQ142" i="5"/>
  <c r="DR142" i="5"/>
  <c r="DS142" i="5"/>
  <c r="DT142" i="5"/>
  <c r="DU142" i="5"/>
  <c r="DV142" i="5"/>
  <c r="DW142" i="5"/>
  <c r="DX142" i="5"/>
  <c r="DY142" i="5"/>
  <c r="DZ142" i="5"/>
  <c r="EA142" i="5"/>
  <c r="EB142" i="5"/>
  <c r="EC142" i="5"/>
  <c r="ED142" i="5"/>
  <c r="EE142" i="5"/>
  <c r="EF142" i="5"/>
  <c r="EG142" i="5"/>
  <c r="EH142" i="5"/>
  <c r="EI142" i="5"/>
  <c r="EJ142" i="5"/>
  <c r="EK142" i="5"/>
  <c r="EL142" i="5"/>
  <c r="EM142" i="5"/>
  <c r="EN142" i="5"/>
  <c r="EO142" i="5"/>
  <c r="EP142" i="5"/>
  <c r="EQ142" i="5"/>
  <c r="ER142" i="5"/>
  <c r="ES142" i="5"/>
  <c r="ET142" i="5"/>
  <c r="EU142" i="5"/>
  <c r="EV142" i="5"/>
  <c r="EW142" i="5"/>
  <c r="EX142" i="5"/>
  <c r="EY142" i="5"/>
  <c r="EZ142" i="5"/>
  <c r="FA142" i="5"/>
  <c r="FB142" i="5"/>
  <c r="FC142" i="5"/>
  <c r="FD142" i="5"/>
  <c r="FE142" i="5"/>
  <c r="FF142" i="5"/>
  <c r="FG142" i="5"/>
  <c r="FH142" i="5"/>
  <c r="FI142" i="5"/>
  <c r="FJ142" i="5"/>
  <c r="FK142" i="5"/>
  <c r="FL142" i="5"/>
  <c r="FM142" i="5"/>
  <c r="FN142" i="5"/>
  <c r="FO142" i="5"/>
  <c r="FP142" i="5"/>
  <c r="FQ142" i="5"/>
  <c r="FR142" i="5"/>
  <c r="FS142" i="5"/>
  <c r="FT142" i="5"/>
  <c r="FU142" i="5"/>
  <c r="FV142" i="5"/>
  <c r="FW142" i="5"/>
  <c r="FX142" i="5"/>
  <c r="FY142" i="5"/>
  <c r="FZ142" i="5"/>
  <c r="GA142" i="5"/>
  <c r="GB142" i="5"/>
  <c r="GC142" i="5"/>
  <c r="GD142" i="5"/>
  <c r="GE142" i="5"/>
  <c r="DA143" i="5"/>
  <c r="DB143" i="5"/>
  <c r="DC143" i="5"/>
  <c r="DD143" i="5"/>
  <c r="DE143" i="5"/>
  <c r="DF143" i="5"/>
  <c r="DG143" i="5"/>
  <c r="DH143" i="5"/>
  <c r="DI143" i="5"/>
  <c r="DJ143" i="5"/>
  <c r="DK143" i="5"/>
  <c r="DL143" i="5"/>
  <c r="DM143" i="5"/>
  <c r="DN143" i="5"/>
  <c r="DO143" i="5"/>
  <c r="DP143" i="5"/>
  <c r="DQ143" i="5"/>
  <c r="DR143" i="5"/>
  <c r="DS143" i="5"/>
  <c r="DT143" i="5"/>
  <c r="DU143" i="5"/>
  <c r="DV143" i="5"/>
  <c r="DW143" i="5"/>
  <c r="DX143" i="5"/>
  <c r="DY143" i="5"/>
  <c r="DZ143" i="5"/>
  <c r="EA143" i="5"/>
  <c r="EB143" i="5"/>
  <c r="EC143" i="5"/>
  <c r="ED143" i="5"/>
  <c r="EE143" i="5"/>
  <c r="EF143" i="5"/>
  <c r="EG143" i="5"/>
  <c r="EH143" i="5"/>
  <c r="EI143" i="5"/>
  <c r="EJ143" i="5"/>
  <c r="EK143" i="5"/>
  <c r="EL143" i="5"/>
  <c r="EM143" i="5"/>
  <c r="EN143" i="5"/>
  <c r="EO143" i="5"/>
  <c r="EP143" i="5"/>
  <c r="EQ143" i="5"/>
  <c r="ER143" i="5"/>
  <c r="ES143" i="5"/>
  <c r="ET143" i="5"/>
  <c r="EU143" i="5"/>
  <c r="EV143" i="5"/>
  <c r="EW143" i="5"/>
  <c r="EX143" i="5"/>
  <c r="EY143" i="5"/>
  <c r="EZ143" i="5"/>
  <c r="FA143" i="5"/>
  <c r="FB143" i="5"/>
  <c r="FC143" i="5"/>
  <c r="FD143" i="5"/>
  <c r="FE143" i="5"/>
  <c r="FF143" i="5"/>
  <c r="FG143" i="5"/>
  <c r="FH143" i="5"/>
  <c r="FI143" i="5"/>
  <c r="FJ143" i="5"/>
  <c r="FK143" i="5"/>
  <c r="FL143" i="5"/>
  <c r="FM143" i="5"/>
  <c r="FN143" i="5"/>
  <c r="FO143" i="5"/>
  <c r="FP143" i="5"/>
  <c r="FQ143" i="5"/>
  <c r="FR143" i="5"/>
  <c r="FS143" i="5"/>
  <c r="FT143" i="5"/>
  <c r="FU143" i="5"/>
  <c r="FV143" i="5"/>
  <c r="FW143" i="5"/>
  <c r="FX143" i="5"/>
  <c r="FY143" i="5"/>
  <c r="FZ143" i="5"/>
  <c r="GA143" i="5"/>
  <c r="GB143" i="5"/>
  <c r="GC143" i="5"/>
  <c r="GD143" i="5"/>
  <c r="GE143" i="5"/>
  <c r="DA144" i="5"/>
  <c r="DB144" i="5"/>
  <c r="DC144" i="5"/>
  <c r="DD144" i="5"/>
  <c r="DE144" i="5"/>
  <c r="DF144" i="5"/>
  <c r="DG144" i="5"/>
  <c r="DH144" i="5"/>
  <c r="DI144" i="5"/>
  <c r="DJ144" i="5"/>
  <c r="DK144" i="5"/>
  <c r="DL144" i="5"/>
  <c r="DM144" i="5"/>
  <c r="DN144" i="5"/>
  <c r="DO144" i="5"/>
  <c r="DP144" i="5"/>
  <c r="DQ144" i="5"/>
  <c r="DR144" i="5"/>
  <c r="DS144" i="5"/>
  <c r="DT144" i="5"/>
  <c r="DU144" i="5"/>
  <c r="DV144" i="5"/>
  <c r="DW144" i="5"/>
  <c r="DX144" i="5"/>
  <c r="DY144" i="5"/>
  <c r="DZ144" i="5"/>
  <c r="EA144" i="5"/>
  <c r="EB144" i="5"/>
  <c r="EC144" i="5"/>
  <c r="ED144" i="5"/>
  <c r="EE144" i="5"/>
  <c r="EF144" i="5"/>
  <c r="EG144" i="5"/>
  <c r="EH144" i="5"/>
  <c r="EI144" i="5"/>
  <c r="EJ144" i="5"/>
  <c r="EK144" i="5"/>
  <c r="EL144" i="5"/>
  <c r="EM144" i="5"/>
  <c r="EN144" i="5"/>
  <c r="EO144" i="5"/>
  <c r="EP144" i="5"/>
  <c r="EQ144" i="5"/>
  <c r="ER144" i="5"/>
  <c r="ES144" i="5"/>
  <c r="ET144" i="5"/>
  <c r="EU144" i="5"/>
  <c r="EV144" i="5"/>
  <c r="EW144" i="5"/>
  <c r="EX144" i="5"/>
  <c r="EY144" i="5"/>
  <c r="EZ144" i="5"/>
  <c r="FA144" i="5"/>
  <c r="FB144" i="5"/>
  <c r="FC144" i="5"/>
  <c r="FD144" i="5"/>
  <c r="FE144" i="5"/>
  <c r="FF144" i="5"/>
  <c r="FG144" i="5"/>
  <c r="FH144" i="5"/>
  <c r="FI144" i="5"/>
  <c r="FJ144" i="5"/>
  <c r="FK144" i="5"/>
  <c r="FL144" i="5"/>
  <c r="FM144" i="5"/>
  <c r="FN144" i="5"/>
  <c r="FO144" i="5"/>
  <c r="FP144" i="5"/>
  <c r="FQ144" i="5"/>
  <c r="FR144" i="5"/>
  <c r="FS144" i="5"/>
  <c r="FT144" i="5"/>
  <c r="FU144" i="5"/>
  <c r="FV144" i="5"/>
  <c r="FW144" i="5"/>
  <c r="FX144" i="5"/>
  <c r="FY144" i="5"/>
  <c r="FZ144" i="5"/>
  <c r="GA144" i="5"/>
  <c r="GB144" i="5"/>
  <c r="GC144" i="5"/>
  <c r="GD144" i="5"/>
  <c r="GE144" i="5"/>
  <c r="DA145" i="5"/>
  <c r="DB145" i="5"/>
  <c r="DC145" i="5"/>
  <c r="DD145" i="5"/>
  <c r="DE145" i="5"/>
  <c r="DF145" i="5"/>
  <c r="DG145" i="5"/>
  <c r="DH145" i="5"/>
  <c r="DI145" i="5"/>
  <c r="DJ145" i="5"/>
  <c r="DK145" i="5"/>
  <c r="DL145" i="5"/>
  <c r="DM145" i="5"/>
  <c r="DN145" i="5"/>
  <c r="DO145" i="5"/>
  <c r="DP145" i="5"/>
  <c r="DQ145" i="5"/>
  <c r="DR145" i="5"/>
  <c r="DS145" i="5"/>
  <c r="DT145" i="5"/>
  <c r="DU145" i="5"/>
  <c r="DV145" i="5"/>
  <c r="DW145" i="5"/>
  <c r="DX145" i="5"/>
  <c r="DY145" i="5"/>
  <c r="DZ145" i="5"/>
  <c r="EA145" i="5"/>
  <c r="EB145" i="5"/>
  <c r="EC145" i="5"/>
  <c r="ED145" i="5"/>
  <c r="EE145" i="5"/>
  <c r="EF145" i="5"/>
  <c r="EG145" i="5"/>
  <c r="EH145" i="5"/>
  <c r="EI145" i="5"/>
  <c r="EJ145" i="5"/>
  <c r="EK145" i="5"/>
  <c r="EL145" i="5"/>
  <c r="EM145" i="5"/>
  <c r="EN145" i="5"/>
  <c r="EO145" i="5"/>
  <c r="EP145" i="5"/>
  <c r="EQ145" i="5"/>
  <c r="ER145" i="5"/>
  <c r="ES145" i="5"/>
  <c r="ET145" i="5"/>
  <c r="EU145" i="5"/>
  <c r="EV145" i="5"/>
  <c r="EW145" i="5"/>
  <c r="EX145" i="5"/>
  <c r="EY145" i="5"/>
  <c r="EZ145" i="5"/>
  <c r="FA145" i="5"/>
  <c r="FB145" i="5"/>
  <c r="FC145" i="5"/>
  <c r="FD145" i="5"/>
  <c r="FE145" i="5"/>
  <c r="FF145" i="5"/>
  <c r="FG145" i="5"/>
  <c r="FH145" i="5"/>
  <c r="FI145" i="5"/>
  <c r="FJ145" i="5"/>
  <c r="FK145" i="5"/>
  <c r="FL145" i="5"/>
  <c r="FM145" i="5"/>
  <c r="FN145" i="5"/>
  <c r="FO145" i="5"/>
  <c r="FP145" i="5"/>
  <c r="FQ145" i="5"/>
  <c r="FR145" i="5"/>
  <c r="FS145" i="5"/>
  <c r="FT145" i="5"/>
  <c r="FU145" i="5"/>
  <c r="FV145" i="5"/>
  <c r="FW145" i="5"/>
  <c r="FX145" i="5"/>
  <c r="FY145" i="5"/>
  <c r="FZ145" i="5"/>
  <c r="GA145" i="5"/>
  <c r="GB145" i="5"/>
  <c r="GC145" i="5"/>
  <c r="GD145" i="5"/>
  <c r="GE145" i="5"/>
  <c r="DA146" i="5"/>
  <c r="DB146" i="5"/>
  <c r="DC146" i="5"/>
  <c r="DD146" i="5"/>
  <c r="DE146" i="5"/>
  <c r="DF146" i="5"/>
  <c r="DG146" i="5"/>
  <c r="DH146" i="5"/>
  <c r="DI146" i="5"/>
  <c r="DJ146" i="5"/>
  <c r="DK146" i="5"/>
  <c r="DL146" i="5"/>
  <c r="DM146" i="5"/>
  <c r="DN146" i="5"/>
  <c r="DO146" i="5"/>
  <c r="DP146" i="5"/>
  <c r="DQ146" i="5"/>
  <c r="DR146" i="5"/>
  <c r="DS146" i="5"/>
  <c r="DT146" i="5"/>
  <c r="DU146" i="5"/>
  <c r="DV146" i="5"/>
  <c r="DW146" i="5"/>
  <c r="DX146" i="5"/>
  <c r="DY146" i="5"/>
  <c r="DZ146" i="5"/>
  <c r="EA146" i="5"/>
  <c r="EB146" i="5"/>
  <c r="EC146" i="5"/>
  <c r="ED146" i="5"/>
  <c r="EE146" i="5"/>
  <c r="EF146" i="5"/>
  <c r="EG146" i="5"/>
  <c r="EH146" i="5"/>
  <c r="EI146" i="5"/>
  <c r="EJ146" i="5"/>
  <c r="EK146" i="5"/>
  <c r="EL146" i="5"/>
  <c r="EM146" i="5"/>
  <c r="EN146" i="5"/>
  <c r="EO146" i="5"/>
  <c r="EP146" i="5"/>
  <c r="EQ146" i="5"/>
  <c r="ER146" i="5"/>
  <c r="ES146" i="5"/>
  <c r="ET146" i="5"/>
  <c r="EU146" i="5"/>
  <c r="EV146" i="5"/>
  <c r="EW146" i="5"/>
  <c r="EX146" i="5"/>
  <c r="EY146" i="5"/>
  <c r="EZ146" i="5"/>
  <c r="FA146" i="5"/>
  <c r="FB146" i="5"/>
  <c r="FC146" i="5"/>
  <c r="FD146" i="5"/>
  <c r="FE146" i="5"/>
  <c r="FF146" i="5"/>
  <c r="FG146" i="5"/>
  <c r="FH146" i="5"/>
  <c r="FI146" i="5"/>
  <c r="FJ146" i="5"/>
  <c r="FK146" i="5"/>
  <c r="FL146" i="5"/>
  <c r="FM146" i="5"/>
  <c r="FN146" i="5"/>
  <c r="FO146" i="5"/>
  <c r="FP146" i="5"/>
  <c r="FQ146" i="5"/>
  <c r="FR146" i="5"/>
  <c r="FS146" i="5"/>
  <c r="FT146" i="5"/>
  <c r="FU146" i="5"/>
  <c r="FV146" i="5"/>
  <c r="FW146" i="5"/>
  <c r="FX146" i="5"/>
  <c r="FY146" i="5"/>
  <c r="FZ146" i="5"/>
  <c r="GA146" i="5"/>
  <c r="GB146" i="5"/>
  <c r="GC146" i="5"/>
  <c r="GD146" i="5"/>
  <c r="GE146" i="5"/>
  <c r="DA147" i="5"/>
  <c r="DB147" i="5"/>
  <c r="DC147" i="5"/>
  <c r="DD147" i="5"/>
  <c r="DE147" i="5"/>
  <c r="DF147" i="5"/>
  <c r="DG147" i="5"/>
  <c r="DH147" i="5"/>
  <c r="DI147" i="5"/>
  <c r="DJ147" i="5"/>
  <c r="DK147" i="5"/>
  <c r="DL147" i="5"/>
  <c r="DM147" i="5"/>
  <c r="DN147" i="5"/>
  <c r="DO147" i="5"/>
  <c r="DP147" i="5"/>
  <c r="DQ147" i="5"/>
  <c r="DR147" i="5"/>
  <c r="DS147" i="5"/>
  <c r="DT147" i="5"/>
  <c r="DU147" i="5"/>
  <c r="DV147" i="5"/>
  <c r="DW147" i="5"/>
  <c r="DX147" i="5"/>
  <c r="DY147" i="5"/>
  <c r="DZ147" i="5"/>
  <c r="EA147" i="5"/>
  <c r="EB147" i="5"/>
  <c r="EC147" i="5"/>
  <c r="ED147" i="5"/>
  <c r="EE147" i="5"/>
  <c r="EF147" i="5"/>
  <c r="EG147" i="5"/>
  <c r="EH147" i="5"/>
  <c r="EI147" i="5"/>
  <c r="EJ147" i="5"/>
  <c r="EK147" i="5"/>
  <c r="EL147" i="5"/>
  <c r="EM147" i="5"/>
  <c r="EN147" i="5"/>
  <c r="EO147" i="5"/>
  <c r="EP147" i="5"/>
  <c r="EQ147" i="5"/>
  <c r="ER147" i="5"/>
  <c r="ES147" i="5"/>
  <c r="ET147" i="5"/>
  <c r="EU147" i="5"/>
  <c r="EV147" i="5"/>
  <c r="EW147" i="5"/>
  <c r="EX147" i="5"/>
  <c r="EY147" i="5"/>
  <c r="EZ147" i="5"/>
  <c r="FA147" i="5"/>
  <c r="FB147" i="5"/>
  <c r="FC147" i="5"/>
  <c r="FD147" i="5"/>
  <c r="FE147" i="5"/>
  <c r="FF147" i="5"/>
  <c r="FG147" i="5"/>
  <c r="FH147" i="5"/>
  <c r="FI147" i="5"/>
  <c r="FJ147" i="5"/>
  <c r="FK147" i="5"/>
  <c r="FL147" i="5"/>
  <c r="FM147" i="5"/>
  <c r="FN147" i="5"/>
  <c r="FO147" i="5"/>
  <c r="FP147" i="5"/>
  <c r="FQ147" i="5"/>
  <c r="FR147" i="5"/>
  <c r="FS147" i="5"/>
  <c r="FT147" i="5"/>
  <c r="FU147" i="5"/>
  <c r="FV147" i="5"/>
  <c r="FW147" i="5"/>
  <c r="FX147" i="5"/>
  <c r="FY147" i="5"/>
  <c r="FZ147" i="5"/>
  <c r="GA147" i="5"/>
  <c r="GB147" i="5"/>
  <c r="GC147" i="5"/>
  <c r="GD147" i="5"/>
  <c r="GE147" i="5"/>
  <c r="DA148" i="5"/>
  <c r="DB148" i="5"/>
  <c r="DC148" i="5"/>
  <c r="DD148" i="5"/>
  <c r="DE148" i="5"/>
  <c r="DF148" i="5"/>
  <c r="DG148" i="5"/>
  <c r="DH148" i="5"/>
  <c r="DI148" i="5"/>
  <c r="DJ148" i="5"/>
  <c r="DK148" i="5"/>
  <c r="DL148" i="5"/>
  <c r="DM148" i="5"/>
  <c r="DN148" i="5"/>
  <c r="DO148" i="5"/>
  <c r="DP148" i="5"/>
  <c r="DQ148" i="5"/>
  <c r="DR148" i="5"/>
  <c r="DS148" i="5"/>
  <c r="DT148" i="5"/>
  <c r="DU148" i="5"/>
  <c r="DV148" i="5"/>
  <c r="DW148" i="5"/>
  <c r="DX148" i="5"/>
  <c r="DY148" i="5"/>
  <c r="DZ148" i="5"/>
  <c r="EA148" i="5"/>
  <c r="EB148" i="5"/>
  <c r="EC148" i="5"/>
  <c r="ED148" i="5"/>
  <c r="EE148" i="5"/>
  <c r="EF148" i="5"/>
  <c r="EG148" i="5"/>
  <c r="EH148" i="5"/>
  <c r="EI148" i="5"/>
  <c r="EJ148" i="5"/>
  <c r="EK148" i="5"/>
  <c r="EL148" i="5"/>
  <c r="EM148" i="5"/>
  <c r="EN148" i="5"/>
  <c r="EO148" i="5"/>
  <c r="EP148" i="5"/>
  <c r="EQ148" i="5"/>
  <c r="ER148" i="5"/>
  <c r="ES148" i="5"/>
  <c r="ET148" i="5"/>
  <c r="EU148" i="5"/>
  <c r="EV148" i="5"/>
  <c r="EW148" i="5"/>
  <c r="EX148" i="5"/>
  <c r="EY148" i="5"/>
  <c r="EZ148" i="5"/>
  <c r="FA148" i="5"/>
  <c r="FB148" i="5"/>
  <c r="FC148" i="5"/>
  <c r="FD148" i="5"/>
  <c r="FE148" i="5"/>
  <c r="FF148" i="5"/>
  <c r="FG148" i="5"/>
  <c r="FH148" i="5"/>
  <c r="FI148" i="5"/>
  <c r="FJ148" i="5"/>
  <c r="FK148" i="5"/>
  <c r="FL148" i="5"/>
  <c r="FM148" i="5"/>
  <c r="FN148" i="5"/>
  <c r="FO148" i="5"/>
  <c r="FP148" i="5"/>
  <c r="FQ148" i="5"/>
  <c r="FR148" i="5"/>
  <c r="FS148" i="5"/>
  <c r="FT148" i="5"/>
  <c r="FU148" i="5"/>
  <c r="FV148" i="5"/>
  <c r="FW148" i="5"/>
  <c r="FX148" i="5"/>
  <c r="FY148" i="5"/>
  <c r="FZ148" i="5"/>
  <c r="GA148" i="5"/>
  <c r="GB148" i="5"/>
  <c r="GC148" i="5"/>
  <c r="GD148" i="5"/>
  <c r="GE148" i="5"/>
  <c r="DA149" i="5"/>
  <c r="DB149" i="5"/>
  <c r="DC149" i="5"/>
  <c r="DD149" i="5"/>
  <c r="DE149" i="5"/>
  <c r="DF149" i="5"/>
  <c r="DG149" i="5"/>
  <c r="DH149" i="5"/>
  <c r="DI149" i="5"/>
  <c r="DJ149" i="5"/>
  <c r="DK149" i="5"/>
  <c r="DL149" i="5"/>
  <c r="DM149" i="5"/>
  <c r="DN149" i="5"/>
  <c r="DO149" i="5"/>
  <c r="DP149" i="5"/>
  <c r="DQ149" i="5"/>
  <c r="DR149" i="5"/>
  <c r="DS149" i="5"/>
  <c r="DT149" i="5"/>
  <c r="DU149" i="5"/>
  <c r="DV149" i="5"/>
  <c r="DW149" i="5"/>
  <c r="DX149" i="5"/>
  <c r="DY149" i="5"/>
  <c r="DZ149" i="5"/>
  <c r="EA149" i="5"/>
  <c r="EB149" i="5"/>
  <c r="EC149" i="5"/>
  <c r="ED149" i="5"/>
  <c r="EE149" i="5"/>
  <c r="EF149" i="5"/>
  <c r="EG149" i="5"/>
  <c r="EH149" i="5"/>
  <c r="EI149" i="5"/>
  <c r="EJ149" i="5"/>
  <c r="EK149" i="5"/>
  <c r="EL149" i="5"/>
  <c r="EM149" i="5"/>
  <c r="EN149" i="5"/>
  <c r="EO149" i="5"/>
  <c r="EP149" i="5"/>
  <c r="EQ149" i="5"/>
  <c r="ER149" i="5"/>
  <c r="ES149" i="5"/>
  <c r="ET149" i="5"/>
  <c r="EU149" i="5"/>
  <c r="EV149" i="5"/>
  <c r="EW149" i="5"/>
  <c r="EX149" i="5"/>
  <c r="EY149" i="5"/>
  <c r="EZ149" i="5"/>
  <c r="FA149" i="5"/>
  <c r="FB149" i="5"/>
  <c r="FC149" i="5"/>
  <c r="FD149" i="5"/>
  <c r="FE149" i="5"/>
  <c r="FF149" i="5"/>
  <c r="FG149" i="5"/>
  <c r="FH149" i="5"/>
  <c r="FI149" i="5"/>
  <c r="FJ149" i="5"/>
  <c r="FK149" i="5"/>
  <c r="FL149" i="5"/>
  <c r="FM149" i="5"/>
  <c r="FN149" i="5"/>
  <c r="FO149" i="5"/>
  <c r="FP149" i="5"/>
  <c r="FQ149" i="5"/>
  <c r="FR149" i="5"/>
  <c r="FS149" i="5"/>
  <c r="FT149" i="5"/>
  <c r="FU149" i="5"/>
  <c r="FV149" i="5"/>
  <c r="FW149" i="5"/>
  <c r="FX149" i="5"/>
  <c r="FY149" i="5"/>
  <c r="FZ149" i="5"/>
  <c r="GA149" i="5"/>
  <c r="GB149" i="5"/>
  <c r="GC149" i="5"/>
  <c r="GD149" i="5"/>
  <c r="GE149" i="5"/>
  <c r="DA150" i="5"/>
  <c r="DB150" i="5"/>
  <c r="DC150" i="5"/>
  <c r="DD150" i="5"/>
  <c r="DE150" i="5"/>
  <c r="DF150" i="5"/>
  <c r="DG150" i="5"/>
  <c r="DH150" i="5"/>
  <c r="DI150" i="5"/>
  <c r="DJ150" i="5"/>
  <c r="DK150" i="5"/>
  <c r="DL150" i="5"/>
  <c r="DM150" i="5"/>
  <c r="DN150" i="5"/>
  <c r="DO150" i="5"/>
  <c r="DP150" i="5"/>
  <c r="DQ150" i="5"/>
  <c r="DR150" i="5"/>
  <c r="DS150" i="5"/>
  <c r="DT150" i="5"/>
  <c r="DU150" i="5"/>
  <c r="DV150" i="5"/>
  <c r="DW150" i="5"/>
  <c r="DX150" i="5"/>
  <c r="DY150" i="5"/>
  <c r="DZ150" i="5"/>
  <c r="EA150" i="5"/>
  <c r="EB150" i="5"/>
  <c r="EC150" i="5"/>
  <c r="ED150" i="5"/>
  <c r="EE150" i="5"/>
  <c r="EF150" i="5"/>
  <c r="EG150" i="5"/>
  <c r="EH150" i="5"/>
  <c r="EI150" i="5"/>
  <c r="EJ150" i="5"/>
  <c r="EK150" i="5"/>
  <c r="EL150" i="5"/>
  <c r="EM150" i="5"/>
  <c r="EN150" i="5"/>
  <c r="EO150" i="5"/>
  <c r="EP150" i="5"/>
  <c r="EQ150" i="5"/>
  <c r="ER150" i="5"/>
  <c r="ES150" i="5"/>
  <c r="ET150" i="5"/>
  <c r="EU150" i="5"/>
  <c r="EV150" i="5"/>
  <c r="EW150" i="5"/>
  <c r="EX150" i="5"/>
  <c r="EY150" i="5"/>
  <c r="EZ150" i="5"/>
  <c r="FA150" i="5"/>
  <c r="FB150" i="5"/>
  <c r="FC150" i="5"/>
  <c r="FD150" i="5"/>
  <c r="FE150" i="5"/>
  <c r="FF150" i="5"/>
  <c r="FG150" i="5"/>
  <c r="FH150" i="5"/>
  <c r="FI150" i="5"/>
  <c r="FJ150" i="5"/>
  <c r="FK150" i="5"/>
  <c r="FL150" i="5"/>
  <c r="FM150" i="5"/>
  <c r="FN150" i="5"/>
  <c r="FO150" i="5"/>
  <c r="FP150" i="5"/>
  <c r="FQ150" i="5"/>
  <c r="FR150" i="5"/>
  <c r="FS150" i="5"/>
  <c r="FT150" i="5"/>
  <c r="FU150" i="5"/>
  <c r="FV150" i="5"/>
  <c r="FW150" i="5"/>
  <c r="FX150" i="5"/>
  <c r="FY150" i="5"/>
  <c r="FZ150" i="5"/>
  <c r="GA150" i="5"/>
  <c r="GB150" i="5"/>
  <c r="GC150" i="5"/>
  <c r="GD150" i="5"/>
  <c r="GE150" i="5"/>
  <c r="DA151" i="5"/>
  <c r="DB151" i="5"/>
  <c r="DC151" i="5"/>
  <c r="DD151" i="5"/>
  <c r="DE151" i="5"/>
  <c r="DF151" i="5"/>
  <c r="DG151" i="5"/>
  <c r="DH151" i="5"/>
  <c r="DI151" i="5"/>
  <c r="DJ151" i="5"/>
  <c r="DK151" i="5"/>
  <c r="DL151" i="5"/>
  <c r="DM151" i="5"/>
  <c r="DN151" i="5"/>
  <c r="DO151" i="5"/>
  <c r="DP151" i="5"/>
  <c r="DQ151" i="5"/>
  <c r="DR151" i="5"/>
  <c r="DS151" i="5"/>
  <c r="DT151" i="5"/>
  <c r="DU151" i="5"/>
  <c r="DV151" i="5"/>
  <c r="DW151" i="5"/>
  <c r="DX151" i="5"/>
  <c r="DY151" i="5"/>
  <c r="DZ151" i="5"/>
  <c r="EA151" i="5"/>
  <c r="EB151" i="5"/>
  <c r="EC151" i="5"/>
  <c r="ED151" i="5"/>
  <c r="EE151" i="5"/>
  <c r="EF151" i="5"/>
  <c r="EG151" i="5"/>
  <c r="EH151" i="5"/>
  <c r="EI151" i="5"/>
  <c r="EJ151" i="5"/>
  <c r="EK151" i="5"/>
  <c r="EL151" i="5"/>
  <c r="EM151" i="5"/>
  <c r="EN151" i="5"/>
  <c r="EO151" i="5"/>
  <c r="EP151" i="5"/>
  <c r="EQ151" i="5"/>
  <c r="ER151" i="5"/>
  <c r="ES151" i="5"/>
  <c r="ET151" i="5"/>
  <c r="EU151" i="5"/>
  <c r="EV151" i="5"/>
  <c r="EW151" i="5"/>
  <c r="EX151" i="5"/>
  <c r="EY151" i="5"/>
  <c r="EZ151" i="5"/>
  <c r="FA151" i="5"/>
  <c r="FB151" i="5"/>
  <c r="FC151" i="5"/>
  <c r="FD151" i="5"/>
  <c r="FE151" i="5"/>
  <c r="FF151" i="5"/>
  <c r="FG151" i="5"/>
  <c r="FH151" i="5"/>
  <c r="FI151" i="5"/>
  <c r="FJ151" i="5"/>
  <c r="FK151" i="5"/>
  <c r="FL151" i="5"/>
  <c r="FM151" i="5"/>
  <c r="FN151" i="5"/>
  <c r="FO151" i="5"/>
  <c r="FP151" i="5"/>
  <c r="FQ151" i="5"/>
  <c r="FR151" i="5"/>
  <c r="FS151" i="5"/>
  <c r="FT151" i="5"/>
  <c r="FU151" i="5"/>
  <c r="FV151" i="5"/>
  <c r="FW151" i="5"/>
  <c r="FX151" i="5"/>
  <c r="FY151" i="5"/>
  <c r="FZ151" i="5"/>
  <c r="GA151" i="5"/>
  <c r="GB151" i="5"/>
  <c r="GC151" i="5"/>
  <c r="GD151" i="5"/>
  <c r="GE151" i="5"/>
  <c r="DB152" i="5"/>
  <c r="DD152" i="5"/>
  <c r="DE152" i="5"/>
  <c r="DF152" i="5"/>
  <c r="DG152" i="5"/>
  <c r="DH152" i="5"/>
  <c r="DI152" i="5"/>
  <c r="DJ152" i="5"/>
  <c r="DK152" i="5"/>
  <c r="DL152" i="5"/>
  <c r="DM152" i="5"/>
  <c r="DN152" i="5"/>
  <c r="DO152" i="5"/>
  <c r="DP152" i="5"/>
  <c r="DQ152" i="5"/>
  <c r="DR152" i="5"/>
  <c r="DS152" i="5"/>
  <c r="DT152" i="5"/>
  <c r="DU152" i="5"/>
  <c r="DV152" i="5"/>
  <c r="DW152" i="5"/>
  <c r="DX152" i="5"/>
  <c r="DY152" i="5"/>
  <c r="DZ152" i="5"/>
  <c r="EA152" i="5"/>
  <c r="EB152" i="5"/>
  <c r="EC152" i="5"/>
  <c r="ED152" i="5"/>
  <c r="EE152" i="5"/>
  <c r="EF152" i="5"/>
  <c r="EG152" i="5"/>
  <c r="EH152" i="5"/>
  <c r="EI152" i="5"/>
  <c r="EJ152" i="5"/>
  <c r="EK152" i="5"/>
  <c r="EL152" i="5"/>
  <c r="EM152" i="5"/>
  <c r="EN152" i="5"/>
  <c r="EO152" i="5"/>
  <c r="EP152" i="5"/>
  <c r="EQ152" i="5"/>
  <c r="ER152" i="5"/>
  <c r="ES152" i="5"/>
  <c r="ET152" i="5"/>
  <c r="EU152" i="5"/>
  <c r="EV152" i="5"/>
  <c r="EW152" i="5"/>
  <c r="EX152" i="5"/>
  <c r="EY152" i="5"/>
  <c r="EZ152" i="5"/>
  <c r="FA152" i="5"/>
  <c r="FB152" i="5"/>
  <c r="FC152" i="5"/>
  <c r="FD152" i="5"/>
  <c r="FE152" i="5"/>
  <c r="FF152" i="5"/>
  <c r="FG152" i="5"/>
  <c r="FH152" i="5"/>
  <c r="FI152" i="5"/>
  <c r="FJ152" i="5"/>
  <c r="FK152" i="5"/>
  <c r="FL152" i="5"/>
  <c r="FM152" i="5"/>
  <c r="FN152" i="5"/>
  <c r="FO152" i="5"/>
  <c r="FP152" i="5"/>
  <c r="FQ152" i="5"/>
  <c r="FR152" i="5"/>
  <c r="FS152" i="5"/>
  <c r="FT152" i="5"/>
  <c r="FU152" i="5"/>
  <c r="FV152" i="5"/>
  <c r="FW152" i="5"/>
  <c r="FX152" i="5"/>
  <c r="FY152" i="5"/>
  <c r="FZ152" i="5"/>
  <c r="GA152" i="5"/>
  <c r="GB152" i="5"/>
  <c r="GC152" i="5"/>
  <c r="GD152" i="5"/>
  <c r="GE152" i="5"/>
  <c r="DO2" i="5"/>
  <c r="EE2" i="5"/>
  <c r="EU2" i="5"/>
  <c r="FK2" i="5"/>
  <c r="GD2" i="5"/>
  <c r="CZ3" i="5"/>
  <c r="CZ4" i="5"/>
  <c r="CZ5" i="5"/>
  <c r="CZ6" i="5"/>
  <c r="CZ7" i="5"/>
  <c r="CZ8" i="5"/>
  <c r="CZ9" i="5"/>
  <c r="CZ10" i="5"/>
  <c r="CZ11" i="5"/>
  <c r="CZ12" i="5"/>
  <c r="CZ13" i="5"/>
  <c r="CZ14" i="5"/>
  <c r="CZ15" i="5"/>
  <c r="CZ16" i="5"/>
  <c r="CZ17" i="5"/>
  <c r="CZ18" i="5"/>
  <c r="CZ19" i="5"/>
  <c r="CZ20" i="5"/>
  <c r="CZ21" i="5"/>
  <c r="CZ22" i="5"/>
  <c r="CZ23" i="5"/>
  <c r="CZ24" i="5"/>
  <c r="CZ25" i="5"/>
  <c r="CZ26" i="5"/>
  <c r="CZ27" i="5"/>
  <c r="CZ28" i="5"/>
  <c r="CZ29" i="5"/>
  <c r="CZ30" i="5"/>
  <c r="CZ31" i="5"/>
  <c r="CZ32" i="5"/>
  <c r="CZ33" i="5"/>
  <c r="CZ34" i="5"/>
  <c r="CZ35" i="5"/>
  <c r="CZ36" i="5"/>
  <c r="CZ37" i="5"/>
  <c r="CZ38" i="5"/>
  <c r="CZ39" i="5"/>
  <c r="CZ40" i="5"/>
  <c r="CZ41" i="5"/>
  <c r="CZ42" i="5"/>
  <c r="CZ43" i="5"/>
  <c r="CZ44" i="5"/>
  <c r="CZ45" i="5"/>
  <c r="CZ46" i="5"/>
  <c r="CZ47" i="5"/>
  <c r="CZ48" i="5"/>
  <c r="CZ49" i="5"/>
  <c r="CZ50" i="5"/>
  <c r="CZ51" i="5"/>
  <c r="CZ52" i="5"/>
  <c r="CZ53" i="5"/>
  <c r="CZ54" i="5"/>
  <c r="CZ55" i="5"/>
  <c r="CZ56" i="5"/>
  <c r="CZ57" i="5"/>
  <c r="CZ58" i="5"/>
  <c r="CZ59" i="5"/>
  <c r="CZ60" i="5"/>
  <c r="CZ61" i="5"/>
  <c r="CZ62" i="5"/>
  <c r="CZ63" i="5"/>
  <c r="CZ64" i="5"/>
  <c r="CZ65" i="5"/>
  <c r="CZ66" i="5"/>
  <c r="CZ67" i="5"/>
  <c r="CZ68" i="5"/>
  <c r="CZ69" i="5"/>
  <c r="CZ70" i="5"/>
  <c r="CZ71" i="5"/>
  <c r="CZ72" i="5"/>
  <c r="CZ73" i="5"/>
  <c r="CZ74" i="5"/>
  <c r="CZ75" i="5"/>
  <c r="CZ76" i="5"/>
  <c r="CZ77" i="5"/>
  <c r="CZ78" i="5"/>
  <c r="CZ79" i="5"/>
  <c r="CZ80" i="5"/>
  <c r="CZ81" i="5"/>
  <c r="CZ82" i="5"/>
  <c r="CZ83" i="5"/>
  <c r="CZ84" i="5"/>
  <c r="CZ85" i="5"/>
  <c r="CZ86" i="5"/>
  <c r="CZ87" i="5"/>
  <c r="CZ88" i="5"/>
  <c r="CZ89" i="5"/>
  <c r="CZ90" i="5"/>
  <c r="CZ91" i="5"/>
  <c r="CZ92" i="5"/>
  <c r="CZ93" i="5"/>
  <c r="CZ94" i="5"/>
  <c r="CZ95" i="5"/>
  <c r="CZ96" i="5"/>
  <c r="CZ97" i="5"/>
  <c r="CZ98" i="5"/>
  <c r="CZ99" i="5"/>
  <c r="CZ100" i="5"/>
  <c r="CZ101" i="5"/>
  <c r="CZ102" i="5"/>
  <c r="CZ103" i="5"/>
  <c r="CZ104" i="5"/>
  <c r="CZ105" i="5"/>
  <c r="CZ106" i="5"/>
  <c r="CZ107" i="5"/>
  <c r="CZ108" i="5"/>
  <c r="CZ109" i="5"/>
  <c r="CZ110" i="5"/>
  <c r="CZ111" i="5"/>
  <c r="CZ112" i="5"/>
  <c r="CZ113" i="5"/>
  <c r="CZ114" i="5"/>
  <c r="CZ115" i="5"/>
  <c r="CZ116" i="5"/>
  <c r="CZ117" i="5"/>
  <c r="CZ118" i="5"/>
  <c r="CZ119" i="5"/>
  <c r="CZ120" i="5"/>
  <c r="CZ121" i="5"/>
  <c r="CZ122" i="5"/>
  <c r="CZ123" i="5"/>
  <c r="CZ124" i="5"/>
  <c r="CZ125" i="5"/>
  <c r="CZ126" i="5"/>
  <c r="CZ127" i="5"/>
  <c r="CZ128" i="5"/>
  <c r="CZ129" i="5"/>
  <c r="CZ130" i="5"/>
  <c r="CZ131" i="5"/>
  <c r="CZ132" i="5"/>
  <c r="CZ133" i="5"/>
  <c r="CZ134" i="5"/>
  <c r="CZ135" i="5"/>
  <c r="CZ136" i="5"/>
  <c r="CZ137" i="5"/>
  <c r="CZ138" i="5"/>
  <c r="CZ139" i="5"/>
  <c r="CZ140" i="5"/>
  <c r="CZ141" i="5"/>
  <c r="CZ142" i="5"/>
  <c r="CZ143" i="5"/>
  <c r="CZ144" i="5"/>
  <c r="CZ145" i="5"/>
  <c r="CZ146" i="5"/>
  <c r="CZ147" i="5"/>
  <c r="CZ148" i="5"/>
  <c r="CZ149" i="5"/>
  <c r="CZ150" i="5"/>
  <c r="CZ151" i="5"/>
  <c r="CZ152" i="5"/>
  <c r="CZ2" i="5"/>
  <c r="GA2" i="5" s="1"/>
  <c r="CZ16" i="1"/>
  <c r="CY2" i="5"/>
  <c r="CY152" i="5"/>
  <c r="CY151" i="5"/>
  <c r="CY150" i="5"/>
  <c r="CY149" i="5"/>
  <c r="CY148" i="5"/>
  <c r="CY147" i="5"/>
  <c r="CY146" i="5"/>
  <c r="CY145" i="5"/>
  <c r="CY144" i="5"/>
  <c r="CY143" i="5"/>
  <c r="CY142" i="5"/>
  <c r="CY141" i="5"/>
  <c r="CY140" i="5"/>
  <c r="CY139" i="5"/>
  <c r="CY138" i="5"/>
  <c r="CY137" i="5"/>
  <c r="CY136" i="5"/>
  <c r="CY135" i="5"/>
  <c r="CY134" i="5"/>
  <c r="CY133" i="5"/>
  <c r="CY132" i="5"/>
  <c r="CY131" i="5"/>
  <c r="CY130" i="5"/>
  <c r="CY129" i="5"/>
  <c r="CY128" i="5"/>
  <c r="CY127" i="5"/>
  <c r="CY126" i="5"/>
  <c r="CY125" i="5"/>
  <c r="CY124" i="5"/>
  <c r="CY123" i="5"/>
  <c r="CY122" i="5"/>
  <c r="CY121" i="5"/>
  <c r="CY120" i="5"/>
  <c r="CY119" i="5"/>
  <c r="CY118" i="5"/>
  <c r="CY117" i="5"/>
  <c r="CY116" i="5"/>
  <c r="CY115" i="5"/>
  <c r="CY114" i="5"/>
  <c r="CY113" i="5"/>
  <c r="CY112" i="5"/>
  <c r="CY111" i="5"/>
  <c r="CY110" i="5"/>
  <c r="CY109" i="5"/>
  <c r="CY108" i="5"/>
  <c r="CY107" i="5"/>
  <c r="CY106" i="5"/>
  <c r="CY105" i="5"/>
  <c r="CY104" i="5"/>
  <c r="CY103" i="5"/>
  <c r="CY102" i="5"/>
  <c r="CY101" i="5"/>
  <c r="CY100" i="5"/>
  <c r="CY99" i="5"/>
  <c r="CY98" i="5"/>
  <c r="CY97" i="5"/>
  <c r="CY96" i="5"/>
  <c r="CY95" i="5"/>
  <c r="CY94" i="5"/>
  <c r="CY93" i="5"/>
  <c r="CY92" i="5"/>
  <c r="CY91" i="5"/>
  <c r="CY90" i="5"/>
  <c r="CY89" i="5"/>
  <c r="CY88" i="5"/>
  <c r="CY87" i="5"/>
  <c r="CY86" i="5"/>
  <c r="CY85" i="5"/>
  <c r="CY84" i="5"/>
  <c r="CY83" i="5"/>
  <c r="CY82" i="5"/>
  <c r="CY81" i="5"/>
  <c r="CY80" i="5"/>
  <c r="CY79" i="5"/>
  <c r="CY78" i="5"/>
  <c r="CY77" i="5"/>
  <c r="CY76" i="5"/>
  <c r="CY75" i="5"/>
  <c r="CY74" i="5"/>
  <c r="CY73" i="5"/>
  <c r="CY72" i="5"/>
  <c r="CY71" i="5"/>
  <c r="CY70" i="5"/>
  <c r="CY69" i="5"/>
  <c r="CY68" i="5"/>
  <c r="CY67" i="5"/>
  <c r="CY66" i="5"/>
  <c r="CY65" i="5"/>
  <c r="CY64" i="5"/>
  <c r="CY63" i="5"/>
  <c r="CY62" i="5"/>
  <c r="CY61" i="5"/>
  <c r="CY60" i="5"/>
  <c r="CY59" i="5"/>
  <c r="CY58" i="5"/>
  <c r="CY57" i="5"/>
  <c r="CY56" i="5"/>
  <c r="CY55" i="5"/>
  <c r="CY54" i="5"/>
  <c r="CY53" i="5"/>
  <c r="CY52" i="5"/>
  <c r="CY51" i="5"/>
  <c r="CY50" i="5"/>
  <c r="CY49" i="5"/>
  <c r="CY48" i="5"/>
  <c r="CY47" i="5"/>
  <c r="CY46" i="5"/>
  <c r="CY45" i="5"/>
  <c r="CY44" i="5"/>
  <c r="CY43" i="5"/>
  <c r="CY42" i="5"/>
  <c r="CY41" i="5"/>
  <c r="CY40" i="5"/>
  <c r="CY39" i="5"/>
  <c r="CY38" i="5"/>
  <c r="CY37" i="5"/>
  <c r="CY36" i="5"/>
  <c r="CY35" i="5"/>
  <c r="CY34" i="5"/>
  <c r="CY33" i="5"/>
  <c r="CY32" i="5"/>
  <c r="CY31" i="5"/>
  <c r="CY30" i="5"/>
  <c r="CY29" i="5"/>
  <c r="CY28" i="5"/>
  <c r="CY27" i="5"/>
  <c r="CY26" i="5"/>
  <c r="CY25" i="5"/>
  <c r="CY24" i="5"/>
  <c r="CY23" i="5"/>
  <c r="CY22" i="5"/>
  <c r="CY21" i="5"/>
  <c r="CY20" i="5"/>
  <c r="CY19" i="5"/>
  <c r="CY18" i="5"/>
  <c r="CY17" i="5"/>
  <c r="CY16" i="5"/>
  <c r="CY15" i="5"/>
  <c r="CY14" i="5"/>
  <c r="CY13" i="5"/>
  <c r="CY12" i="5"/>
  <c r="CY11" i="5"/>
  <c r="CY10" i="5"/>
  <c r="CY9" i="5"/>
  <c r="CY8" i="5"/>
  <c r="CY7" i="5"/>
  <c r="CY6" i="5"/>
  <c r="CY5" i="5"/>
  <c r="CY4" i="5"/>
  <c r="CY3" i="5"/>
  <c r="CZ71" i="1"/>
  <c r="CZ72" i="1"/>
  <c r="CZ17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G28" i="4"/>
  <c r="G27" i="4"/>
  <c r="G31" i="4"/>
  <c r="G29" i="4"/>
  <c r="G30" i="4"/>
  <c r="D27" i="4"/>
  <c r="E27" i="4" s="1"/>
  <c r="D31" i="4"/>
  <c r="E31" i="4" s="1"/>
  <c r="B12" i="4"/>
  <c r="D28" i="4"/>
  <c r="E28" i="4" s="1"/>
  <c r="D29" i="4"/>
  <c r="E29" i="4" s="1"/>
  <c r="D30" i="4"/>
  <c r="E30" i="4" s="1"/>
  <c r="CY2" i="1"/>
  <c r="CY14" i="1"/>
  <c r="B9" i="4"/>
  <c r="C9" i="4"/>
  <c r="B8" i="4"/>
  <c r="C3" i="4"/>
  <c r="C4" i="4"/>
  <c r="C5" i="4"/>
  <c r="C6" i="4"/>
  <c r="C7" i="4"/>
  <c r="C8" i="4"/>
  <c r="C10" i="4"/>
  <c r="C11" i="4"/>
  <c r="C12" i="4"/>
  <c r="C2" i="4"/>
  <c r="B2" i="4"/>
  <c r="B11" i="4"/>
  <c r="B10" i="4"/>
  <c r="B7" i="4"/>
  <c r="B6" i="4"/>
  <c r="B5" i="4"/>
  <c r="B4" i="4"/>
  <c r="B3" i="4"/>
  <c r="DH2" i="1"/>
  <c r="DI2" i="1" s="1"/>
  <c r="DH3" i="1"/>
  <c r="DH4" i="1"/>
  <c r="DH5" i="1"/>
  <c r="DI5" i="1" s="1"/>
  <c r="DH6" i="1"/>
  <c r="DH7" i="1"/>
  <c r="DH9" i="1"/>
  <c r="DI9" i="1" s="1"/>
  <c r="DH11" i="1"/>
  <c r="DH10" i="1"/>
  <c r="DH8" i="1"/>
  <c r="DH12" i="1"/>
  <c r="DH13" i="1"/>
  <c r="DH14" i="1"/>
  <c r="DI14" i="1" s="1"/>
  <c r="DH15" i="1"/>
  <c r="DO35" i="1"/>
  <c r="DO36" i="1"/>
  <c r="DO37" i="1"/>
  <c r="DO38" i="1"/>
  <c r="DO39" i="1"/>
  <c r="DO40" i="1"/>
  <c r="DO41" i="1"/>
  <c r="DO42" i="1"/>
  <c r="DO43" i="1"/>
  <c r="DO44" i="1"/>
  <c r="DO45" i="1"/>
  <c r="DO46" i="1"/>
  <c r="DO47" i="1"/>
  <c r="DO48" i="1"/>
  <c r="DO49" i="1"/>
  <c r="DO50" i="1"/>
  <c r="DO51" i="1"/>
  <c r="DO52" i="1"/>
  <c r="DO53" i="1"/>
  <c r="DO54" i="1"/>
  <c r="DO55" i="1"/>
  <c r="DO56" i="1"/>
  <c r="DO57" i="1"/>
  <c r="DO58" i="1"/>
  <c r="DO59" i="1"/>
  <c r="DO60" i="1"/>
  <c r="DO61" i="1"/>
  <c r="DO62" i="1"/>
  <c r="DO63" i="1"/>
  <c r="DO64" i="1"/>
  <c r="DO65" i="1"/>
  <c r="DO66" i="1"/>
  <c r="DO67" i="1"/>
  <c r="DO68" i="1"/>
  <c r="DO69" i="1"/>
  <c r="DO70" i="1"/>
  <c r="DO71" i="1"/>
  <c r="DO72" i="1"/>
  <c r="DO20" i="1"/>
  <c r="DO21" i="1"/>
  <c r="DO22" i="1"/>
  <c r="DO23" i="1"/>
  <c r="DO24" i="1"/>
  <c r="DO25" i="1"/>
  <c r="DO26" i="1"/>
  <c r="DO27" i="1"/>
  <c r="DO28" i="1"/>
  <c r="DO29" i="1"/>
  <c r="DO30" i="1"/>
  <c r="DO31" i="1"/>
  <c r="DO32" i="1"/>
  <c r="DO33" i="1"/>
  <c r="DO34" i="1"/>
  <c r="DO19" i="1"/>
  <c r="DO16" i="1"/>
  <c r="DO17" i="1"/>
  <c r="DO18" i="1"/>
  <c r="DO15" i="1"/>
  <c r="DH41" i="1"/>
  <c r="DH42" i="1"/>
  <c r="DH40" i="1"/>
  <c r="DH39" i="1"/>
  <c r="DI39" i="1" s="1"/>
  <c r="DH72" i="1"/>
  <c r="DH71" i="1"/>
  <c r="DH70" i="1"/>
  <c r="DH69" i="1"/>
  <c r="DH68" i="1"/>
  <c r="DH67" i="1"/>
  <c r="DH66" i="1"/>
  <c r="DH65" i="1"/>
  <c r="DH64" i="1"/>
  <c r="DH63" i="1"/>
  <c r="DH62" i="1"/>
  <c r="DH61" i="1"/>
  <c r="DH60" i="1"/>
  <c r="DH59" i="1"/>
  <c r="DH58" i="1"/>
  <c r="DH57" i="1"/>
  <c r="DH56" i="1"/>
  <c r="DH55" i="1"/>
  <c r="DH54" i="1"/>
  <c r="DH53" i="1"/>
  <c r="DH52" i="1"/>
  <c r="DH51" i="1"/>
  <c r="DH50" i="1"/>
  <c r="DH49" i="1"/>
  <c r="DH48" i="1"/>
  <c r="DH47" i="1"/>
  <c r="DH46" i="1"/>
  <c r="DH45" i="1"/>
  <c r="DH44" i="1"/>
  <c r="DH43" i="1"/>
  <c r="DH38" i="1"/>
  <c r="DH37" i="1"/>
  <c r="DH36" i="1"/>
  <c r="DH35" i="1"/>
  <c r="DH34" i="1"/>
  <c r="DH33" i="1"/>
  <c r="DH32" i="1"/>
  <c r="DH31" i="1"/>
  <c r="DH30" i="1"/>
  <c r="DI30" i="1" s="1"/>
  <c r="DH29" i="1"/>
  <c r="DH28" i="1"/>
  <c r="DH27" i="1"/>
  <c r="DH26" i="1"/>
  <c r="DH25" i="1"/>
  <c r="DH24" i="1"/>
  <c r="DH23" i="1"/>
  <c r="DH22" i="1"/>
  <c r="DH21" i="1"/>
  <c r="DH20" i="1"/>
  <c r="DH19" i="1"/>
  <c r="DH18" i="1"/>
  <c r="DH17" i="1"/>
  <c r="DH16" i="1"/>
  <c r="DF15" i="1"/>
  <c r="DG15" i="1" s="1"/>
  <c r="DI26" i="1"/>
  <c r="CY15" i="1"/>
  <c r="D8" i="3"/>
  <c r="E8" i="3"/>
  <c r="DB72" i="1"/>
  <c r="DB71" i="1"/>
  <c r="DB70" i="1"/>
  <c r="DB69" i="1"/>
  <c r="DB68" i="1"/>
  <c r="DB67" i="1"/>
  <c r="DB66" i="1"/>
  <c r="DB65" i="1"/>
  <c r="DB64" i="1"/>
  <c r="DB63" i="1"/>
  <c r="CY3" i="1"/>
  <c r="DI3" i="1" s="1"/>
  <c r="CY4" i="1"/>
  <c r="CY5" i="1"/>
  <c r="CY6" i="1"/>
  <c r="CY7" i="1"/>
  <c r="DI7" i="1" s="1"/>
  <c r="CY8" i="1"/>
  <c r="CY9" i="1"/>
  <c r="CY10" i="1"/>
  <c r="CY11" i="1"/>
  <c r="CY12" i="1"/>
  <c r="CY13" i="1"/>
  <c r="DF24" i="1"/>
  <c r="DF72" i="1"/>
  <c r="DF71" i="1"/>
  <c r="DF70" i="1"/>
  <c r="DF69" i="1"/>
  <c r="DF68" i="1"/>
  <c r="DF67" i="1"/>
  <c r="DF66" i="1"/>
  <c r="DF65" i="1"/>
  <c r="DF64" i="1"/>
  <c r="DF63" i="1"/>
  <c r="DF62" i="1"/>
  <c r="DF61" i="1"/>
  <c r="DF60" i="1"/>
  <c r="DF59" i="1"/>
  <c r="DF58" i="1"/>
  <c r="DF57" i="1"/>
  <c r="DF56" i="1"/>
  <c r="DF55" i="1"/>
  <c r="DF54" i="1"/>
  <c r="DF53" i="1"/>
  <c r="DF52" i="1"/>
  <c r="DF51" i="1"/>
  <c r="DF50" i="1"/>
  <c r="DF49" i="1"/>
  <c r="DF48" i="1"/>
  <c r="DF47" i="1"/>
  <c r="DF46" i="1"/>
  <c r="DF45" i="1"/>
  <c r="DF44" i="1"/>
  <c r="DF43" i="1"/>
  <c r="DF42" i="1"/>
  <c r="DF41" i="1"/>
  <c r="DF40" i="1"/>
  <c r="DF39" i="1"/>
  <c r="DF38" i="1"/>
  <c r="DF37" i="1"/>
  <c r="DF36" i="1"/>
  <c r="DF35" i="1"/>
  <c r="DF34" i="1"/>
  <c r="DF33" i="1"/>
  <c r="DF32" i="1"/>
  <c r="DF31" i="1"/>
  <c r="DF30" i="1"/>
  <c r="DF29" i="1"/>
  <c r="DF28" i="1"/>
  <c r="DF27" i="1"/>
  <c r="DF26" i="1"/>
  <c r="DF25" i="1"/>
  <c r="DF23" i="1"/>
  <c r="DF22" i="1"/>
  <c r="DF21" i="1"/>
  <c r="DF20" i="1"/>
  <c r="DF12" i="1"/>
  <c r="DF11" i="1"/>
  <c r="DF10" i="1"/>
  <c r="DF9" i="1"/>
  <c r="DF19" i="1"/>
  <c r="DF18" i="1"/>
  <c r="DF17" i="1"/>
  <c r="DF16" i="1"/>
  <c r="DF14" i="1"/>
  <c r="DF13" i="1"/>
  <c r="DF8" i="1"/>
  <c r="DF7" i="1"/>
  <c r="DF6" i="1"/>
  <c r="DF5" i="1"/>
  <c r="DF4" i="1"/>
  <c r="DF3" i="1"/>
  <c r="DF2" i="1"/>
  <c r="DD72" i="1"/>
  <c r="DD71" i="1"/>
  <c r="DD70" i="1"/>
  <c r="DD69" i="1"/>
  <c r="DD68" i="1"/>
  <c r="DD67" i="1"/>
  <c r="DD66" i="1"/>
  <c r="DD65" i="1"/>
  <c r="DD64" i="1"/>
  <c r="DD63" i="1"/>
  <c r="DD62" i="1"/>
  <c r="DD61" i="1"/>
  <c r="DD60" i="1"/>
  <c r="DD59" i="1"/>
  <c r="DD58" i="1"/>
  <c r="DD57" i="1"/>
  <c r="DD56" i="1"/>
  <c r="DD55" i="1"/>
  <c r="DD54" i="1"/>
  <c r="DD53" i="1"/>
  <c r="DD52" i="1"/>
  <c r="DD51" i="1"/>
  <c r="E9" i="3"/>
  <c r="D9" i="3"/>
  <c r="E12" i="3"/>
  <c r="D12" i="3"/>
  <c r="DB62" i="1"/>
  <c r="DB61" i="1"/>
  <c r="DB60" i="1"/>
  <c r="DB59" i="1"/>
  <c r="DB58" i="1"/>
  <c r="DB57" i="1"/>
  <c r="DB56" i="1"/>
  <c r="DB55" i="1"/>
  <c r="DB54" i="1"/>
  <c r="DB53" i="1"/>
  <c r="DB52" i="1"/>
  <c r="DB51" i="1"/>
  <c r="DB50" i="1"/>
  <c r="DB49" i="1"/>
  <c r="DB48" i="1"/>
  <c r="DB47" i="1"/>
  <c r="DB46" i="1"/>
  <c r="DB45" i="1"/>
  <c r="DB44" i="1"/>
  <c r="DB43" i="1"/>
  <c r="DB42" i="1"/>
  <c r="DB41" i="1"/>
  <c r="DB40" i="1"/>
  <c r="DB39" i="1"/>
  <c r="DB38" i="1"/>
  <c r="DB37" i="1"/>
  <c r="DB36" i="1"/>
  <c r="DB35" i="1"/>
  <c r="CZ35" i="1"/>
  <c r="E11" i="3"/>
  <c r="D11" i="3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DI33" i="1" s="1"/>
  <c r="CY34" i="1"/>
  <c r="CY35" i="1"/>
  <c r="CY36" i="1"/>
  <c r="CY37" i="1"/>
  <c r="CY38" i="1"/>
  <c r="CY39" i="1"/>
  <c r="CY40" i="1"/>
  <c r="CY41" i="1"/>
  <c r="CY42" i="1"/>
  <c r="CY43" i="1"/>
  <c r="DI43" i="1" s="1"/>
  <c r="CY44" i="1"/>
  <c r="CY45" i="1"/>
  <c r="CY46" i="1"/>
  <c r="CY47" i="1"/>
  <c r="DI47" i="1" s="1"/>
  <c r="CY48" i="1"/>
  <c r="CY49" i="1"/>
  <c r="CY50" i="1"/>
  <c r="CY51" i="1"/>
  <c r="CY52" i="1"/>
  <c r="CY53" i="1"/>
  <c r="CY54" i="1"/>
  <c r="DI54" i="1" s="1"/>
  <c r="CY55" i="1"/>
  <c r="CY56" i="1"/>
  <c r="CY57" i="1"/>
  <c r="CY58" i="1"/>
  <c r="CY59" i="1"/>
  <c r="CY60" i="1"/>
  <c r="CY61" i="1"/>
  <c r="CY62" i="1"/>
  <c r="CY63" i="1"/>
  <c r="DC63" i="1" s="1"/>
  <c r="CY64" i="1"/>
  <c r="CY65" i="1"/>
  <c r="CY66" i="1"/>
  <c r="DC66" i="1" s="1"/>
  <c r="CY67" i="1"/>
  <c r="DI67" i="1" s="1"/>
  <c r="CY68" i="1"/>
  <c r="DI68" i="1" s="1"/>
  <c r="CY69" i="1"/>
  <c r="CY70" i="1"/>
  <c r="DC70" i="1" s="1"/>
  <c r="CY71" i="1"/>
  <c r="DI71" i="1" s="1"/>
  <c r="CY72" i="1"/>
  <c r="CY16" i="1"/>
  <c r="CZ68" i="1"/>
  <c r="CZ67" i="1"/>
  <c r="CZ66" i="1"/>
  <c r="CZ70" i="1"/>
  <c r="CZ69" i="1"/>
  <c r="DA69" i="1" s="1"/>
  <c r="CZ65" i="1"/>
  <c r="CZ64" i="1"/>
  <c r="CZ63" i="1"/>
  <c r="CZ62" i="1"/>
  <c r="CZ61" i="1"/>
  <c r="CZ60" i="1"/>
  <c r="CZ59" i="1"/>
  <c r="CZ58" i="1"/>
  <c r="CZ57" i="1"/>
  <c r="CZ56" i="1"/>
  <c r="CZ55" i="1"/>
  <c r="CZ54" i="1"/>
  <c r="CZ53" i="1"/>
  <c r="CZ52" i="1"/>
  <c r="CZ51" i="1"/>
  <c r="CZ50" i="1"/>
  <c r="CZ49" i="1"/>
  <c r="CZ48" i="1"/>
  <c r="CZ47" i="1"/>
  <c r="CZ46" i="1"/>
  <c r="CZ45" i="1"/>
  <c r="CZ44" i="1"/>
  <c r="CZ43" i="1"/>
  <c r="CZ42" i="1"/>
  <c r="CZ41" i="1"/>
  <c r="CZ40" i="1"/>
  <c r="CZ39" i="1"/>
  <c r="CZ38" i="1"/>
  <c r="CZ37" i="1"/>
  <c r="CZ36" i="1"/>
  <c r="CZ34" i="1"/>
  <c r="CZ31" i="1"/>
  <c r="CZ32" i="1"/>
  <c r="CZ33" i="1"/>
  <c r="CZ30" i="1"/>
  <c r="CZ29" i="1"/>
  <c r="DA29" i="1" s="1"/>
  <c r="CZ28" i="1"/>
  <c r="CZ27" i="1"/>
  <c r="CZ26" i="1"/>
  <c r="CZ25" i="1"/>
  <c r="DA25" i="1" s="1"/>
  <c r="CZ24" i="1"/>
  <c r="CZ23" i="1"/>
  <c r="CZ22" i="1"/>
  <c r="CZ21" i="1"/>
  <c r="DA21" i="1" s="1"/>
  <c r="CZ20" i="1"/>
  <c r="CZ19" i="1"/>
  <c r="CZ18" i="1"/>
  <c r="E10" i="3"/>
  <c r="D10" i="3"/>
  <c r="FW2" i="5" l="1"/>
  <c r="FG2" i="5"/>
  <c r="EQ2" i="5"/>
  <c r="EA2" i="5"/>
  <c r="DK2" i="5"/>
  <c r="FS2" i="5"/>
  <c r="FC2" i="5"/>
  <c r="EM2" i="5"/>
  <c r="DW2" i="5"/>
  <c r="DG2" i="5"/>
  <c r="FO2" i="5"/>
  <c r="EY2" i="5"/>
  <c r="EI2" i="5"/>
  <c r="DS2" i="5"/>
  <c r="DC2" i="5"/>
  <c r="DA2" i="5"/>
  <c r="FZ2" i="5"/>
  <c r="FV2" i="5"/>
  <c r="FR2" i="5"/>
  <c r="FN2" i="5"/>
  <c r="FJ2" i="5"/>
  <c r="FF2" i="5"/>
  <c r="FB2" i="5"/>
  <c r="EX2" i="5"/>
  <c r="ET2" i="5"/>
  <c r="EP2" i="5"/>
  <c r="EL2" i="5"/>
  <c r="EH2" i="5"/>
  <c r="ED2" i="5"/>
  <c r="DZ2" i="5"/>
  <c r="DV2" i="5"/>
  <c r="DR2" i="5"/>
  <c r="DN2" i="5"/>
  <c r="DJ2" i="5"/>
  <c r="DF2" i="5"/>
  <c r="GC2" i="5"/>
  <c r="DB2" i="5"/>
  <c r="FY2" i="5"/>
  <c r="FU2" i="5"/>
  <c r="FQ2" i="5"/>
  <c r="FM2" i="5"/>
  <c r="FI2" i="5"/>
  <c r="FE2" i="5"/>
  <c r="FA2" i="5"/>
  <c r="EW2" i="5"/>
  <c r="ES2" i="5"/>
  <c r="EO2" i="5"/>
  <c r="EK2" i="5"/>
  <c r="EG2" i="5"/>
  <c r="EC2" i="5"/>
  <c r="DY2" i="5"/>
  <c r="DU2" i="5"/>
  <c r="DQ2" i="5"/>
  <c r="DM2" i="5"/>
  <c r="DI2" i="5"/>
  <c r="DE2" i="5"/>
  <c r="GB2" i="5"/>
  <c r="GE2" i="5"/>
  <c r="FX2" i="5"/>
  <c r="FT2" i="5"/>
  <c r="FP2" i="5"/>
  <c r="FL2" i="5"/>
  <c r="FH2" i="5"/>
  <c r="FD2" i="5"/>
  <c r="EZ2" i="5"/>
  <c r="EV2" i="5"/>
  <c r="ER2" i="5"/>
  <c r="EN2" i="5"/>
  <c r="EJ2" i="5"/>
  <c r="EF2" i="5"/>
  <c r="EB2" i="5"/>
  <c r="DX2" i="5"/>
  <c r="DT2" i="5"/>
  <c r="DP2" i="5"/>
  <c r="DL2" i="5"/>
  <c r="DH2" i="5"/>
  <c r="DD2" i="5"/>
  <c r="DA23" i="1"/>
  <c r="DI34" i="1"/>
  <c r="DI46" i="1"/>
  <c r="DI62" i="1"/>
  <c r="DI4" i="1"/>
  <c r="DI65" i="1"/>
  <c r="DI57" i="1"/>
  <c r="DI16" i="1"/>
  <c r="DI20" i="1"/>
  <c r="DI24" i="1"/>
  <c r="DI8" i="1"/>
  <c r="DI63" i="1"/>
  <c r="DA19" i="1"/>
  <c r="DA27" i="1"/>
  <c r="DI38" i="1"/>
  <c r="DG12" i="1"/>
  <c r="DI11" i="1"/>
  <c r="DI35" i="1"/>
  <c r="DI50" i="1"/>
  <c r="DI58" i="1"/>
  <c r="DI70" i="1"/>
  <c r="DI12" i="1"/>
  <c r="DI40" i="1"/>
  <c r="DG4" i="1"/>
  <c r="DG8" i="1"/>
  <c r="DI13" i="1"/>
  <c r="DI37" i="1"/>
  <c r="DI56" i="1"/>
  <c r="DI64" i="1"/>
  <c r="DI72" i="1"/>
  <c r="DI41" i="1"/>
  <c r="DI10" i="1"/>
  <c r="DI6" i="1"/>
  <c r="DI19" i="1"/>
  <c r="DI23" i="1"/>
  <c r="DI27" i="1"/>
  <c r="DI31" i="1"/>
  <c r="DI45" i="1"/>
  <c r="DI49" i="1"/>
  <c r="DI53" i="1"/>
  <c r="DI61" i="1"/>
  <c r="DI69" i="1"/>
  <c r="DI28" i="1"/>
  <c r="DI32" i="1"/>
  <c r="DI66" i="1"/>
  <c r="DI17" i="1"/>
  <c r="DI21" i="1"/>
  <c r="DI25" i="1"/>
  <c r="DI29" i="1"/>
  <c r="DI36" i="1"/>
  <c r="DI51" i="1"/>
  <c r="DI55" i="1"/>
  <c r="DI59" i="1"/>
  <c r="DI42" i="1"/>
  <c r="DI15" i="1"/>
  <c r="DI18" i="1"/>
  <c r="DI22" i="1"/>
  <c r="DI44" i="1"/>
  <c r="DI48" i="1"/>
  <c r="DI52" i="1"/>
  <c r="DI60" i="1"/>
  <c r="DG2" i="1"/>
  <c r="DG14" i="1"/>
  <c r="DG6" i="1"/>
  <c r="DG9" i="1"/>
  <c r="DA66" i="1"/>
  <c r="DG5" i="1"/>
  <c r="DG13" i="1"/>
  <c r="DG26" i="1"/>
  <c r="DG30" i="1"/>
  <c r="DG42" i="1"/>
  <c r="DG58" i="1"/>
  <c r="DA31" i="1"/>
  <c r="DA54" i="1"/>
  <c r="DA58" i="1"/>
  <c r="DA62" i="1"/>
  <c r="DA68" i="1"/>
  <c r="DC65" i="1"/>
  <c r="DC61" i="1"/>
  <c r="DA57" i="1"/>
  <c r="DC53" i="1"/>
  <c r="DC54" i="1"/>
  <c r="DC58" i="1"/>
  <c r="DC62" i="1"/>
  <c r="DG3" i="1"/>
  <c r="DG7" i="1"/>
  <c r="DA39" i="1"/>
  <c r="DA43" i="1"/>
  <c r="DA51" i="1"/>
  <c r="DA70" i="1"/>
  <c r="DC72" i="1"/>
  <c r="DC68" i="1"/>
  <c r="DC64" i="1"/>
  <c r="DE51" i="1"/>
  <c r="DG34" i="1"/>
  <c r="DG38" i="1"/>
  <c r="DG46" i="1"/>
  <c r="DG50" i="1"/>
  <c r="DG54" i="1"/>
  <c r="DG62" i="1"/>
  <c r="DG66" i="1"/>
  <c r="DG70" i="1"/>
  <c r="DA47" i="1"/>
  <c r="DA36" i="1"/>
  <c r="DA40" i="1"/>
  <c r="DA44" i="1"/>
  <c r="DA48" i="1"/>
  <c r="DA52" i="1"/>
  <c r="DA56" i="1"/>
  <c r="DA60" i="1"/>
  <c r="DA64" i="1"/>
  <c r="DA72" i="1"/>
  <c r="DC59" i="1"/>
  <c r="DC55" i="1"/>
  <c r="DA20" i="1"/>
  <c r="DA24" i="1"/>
  <c r="DA28" i="1"/>
  <c r="DA32" i="1"/>
  <c r="DG18" i="1"/>
  <c r="DG11" i="1"/>
  <c r="DG22" i="1"/>
  <c r="DG27" i="1"/>
  <c r="DG31" i="1"/>
  <c r="DG35" i="1"/>
  <c r="DG39" i="1"/>
  <c r="DG43" i="1"/>
  <c r="DG47" i="1"/>
  <c r="DG51" i="1"/>
  <c r="DG55" i="1"/>
  <c r="DG59" i="1"/>
  <c r="DG63" i="1"/>
  <c r="DG71" i="1"/>
  <c r="DG10" i="1"/>
  <c r="DE57" i="1"/>
  <c r="DE65" i="1"/>
  <c r="DC69" i="1"/>
  <c r="DA55" i="1"/>
  <c r="DA59" i="1"/>
  <c r="DA63" i="1"/>
  <c r="DA71" i="1"/>
  <c r="DE54" i="1"/>
  <c r="DE58" i="1"/>
  <c r="DE62" i="1"/>
  <c r="DE66" i="1"/>
  <c r="DE70" i="1"/>
  <c r="DG19" i="1"/>
  <c r="DG23" i="1"/>
  <c r="DG28" i="1"/>
  <c r="DG32" i="1"/>
  <c r="DG36" i="1"/>
  <c r="DG40" i="1"/>
  <c r="DG44" i="1"/>
  <c r="DG48" i="1"/>
  <c r="DG52" i="1"/>
  <c r="DG56" i="1"/>
  <c r="DG60" i="1"/>
  <c r="DG64" i="1"/>
  <c r="DG68" i="1"/>
  <c r="DG72" i="1"/>
  <c r="DA35" i="1"/>
  <c r="DC52" i="1"/>
  <c r="DC56" i="1"/>
  <c r="DC60" i="1"/>
  <c r="DE55" i="1"/>
  <c r="DE59" i="1"/>
  <c r="DE63" i="1"/>
  <c r="DE67" i="1"/>
  <c r="DE71" i="1"/>
  <c r="DG16" i="1"/>
  <c r="DG20" i="1"/>
  <c r="DG25" i="1"/>
  <c r="DG29" i="1"/>
  <c r="DG33" i="1"/>
  <c r="DG37" i="1"/>
  <c r="DG41" i="1"/>
  <c r="DG45" i="1"/>
  <c r="DG49" i="1"/>
  <c r="DG53" i="1"/>
  <c r="DG57" i="1"/>
  <c r="DG61" i="1"/>
  <c r="DG65" i="1"/>
  <c r="DG69" i="1"/>
  <c r="DG24" i="1"/>
  <c r="DE53" i="1"/>
  <c r="DE61" i="1"/>
  <c r="DE69" i="1"/>
  <c r="DG67" i="1"/>
  <c r="DA67" i="1"/>
  <c r="DE52" i="1"/>
  <c r="DE56" i="1"/>
  <c r="DE60" i="1"/>
  <c r="DE64" i="1"/>
  <c r="DE68" i="1"/>
  <c r="DE72" i="1"/>
  <c r="DG17" i="1"/>
  <c r="DG21" i="1"/>
  <c r="DA61" i="1"/>
  <c r="DC57" i="1"/>
  <c r="DC37" i="1"/>
  <c r="DC41" i="1"/>
  <c r="DC45" i="1"/>
  <c r="DC49" i="1"/>
  <c r="DC67" i="1"/>
  <c r="DC71" i="1"/>
  <c r="DA65" i="1"/>
  <c r="DA53" i="1"/>
  <c r="DA37" i="1"/>
  <c r="DA41" i="1"/>
  <c r="DA45" i="1"/>
  <c r="DA49" i="1"/>
  <c r="DA16" i="1"/>
  <c r="DA17" i="1"/>
  <c r="DC51" i="1"/>
  <c r="DC38" i="1"/>
  <c r="DC42" i="1"/>
  <c r="DC46" i="1"/>
  <c r="DC50" i="1"/>
  <c r="DA38" i="1"/>
  <c r="DA42" i="1"/>
  <c r="DA46" i="1"/>
  <c r="DA50" i="1"/>
  <c r="DA18" i="1"/>
  <c r="DA22" i="1"/>
  <c r="DA26" i="1"/>
  <c r="DA30" i="1"/>
  <c r="DA34" i="1"/>
  <c r="DC35" i="1"/>
  <c r="DC39" i="1"/>
  <c r="DC43" i="1"/>
  <c r="DC47" i="1"/>
  <c r="DA33" i="1"/>
  <c r="DC36" i="1"/>
  <c r="DC40" i="1"/>
  <c r="DC44" i="1"/>
  <c r="DC48" i="1"/>
</calcChain>
</file>

<file path=xl/sharedStrings.xml><?xml version="1.0" encoding="utf-8"?>
<sst xmlns="http://schemas.openxmlformats.org/spreadsheetml/2006/main" count="246" uniqueCount="128">
  <si>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</si>
  <si>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</si>
  <si>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</si>
  <si>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</si>
  <si>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</si>
  <si>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</si>
  <si>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</si>
  <si>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</si>
  <si>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</si>
  <si>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</si>
  <si>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</si>
  <si>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</si>
  <si>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</si>
  <si>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</si>
  <si>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</si>
  <si>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</si>
  <si>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</si>
  <si>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</si>
  <si>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</si>
  <si>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</si>
  <si>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</si>
  <si>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</si>
  <si>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</si>
  <si>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</si>
  <si>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</si>
  <si>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</si>
  <si>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</si>
  <si>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</si>
  <si>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</si>
  <si>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</si>
  <si>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</si>
  <si>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</si>
  <si>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</si>
  <si>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</si>
  <si>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</si>
  <si>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</si>
  <si>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</si>
  <si>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</si>
  <si>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</si>
  <si>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</si>
  <si>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</si>
  <si>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</si>
  <si>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</si>
  <si>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</si>
  <si>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</si>
  <si>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</si>
  <si>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</si>
  <si>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</si>
  <si>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</si>
  <si>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</si>
  <si>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</si>
  <si>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</si>
  <si>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</si>
  <si>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</si>
  <si>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</si>
  <si>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</si>
  <si>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</si>
  <si>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</si>
  <si>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</si>
  <si>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</si>
  <si>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</si>
  <si>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</si>
  <si>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</si>
  <si>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</si>
  <si>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</si>
  <si>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</si>
  <si>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</si>
  <si>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</si>
  <si>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</si>
  <si>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</si>
  <si>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</si>
  <si>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</si>
  <si>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</si>
  <si>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</si>
  <si>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</si>
  <si>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</si>
  <si>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</si>
  <si>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</si>
  <si>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</si>
  <si>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</si>
  <si>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</si>
  <si>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</si>
  <si>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</si>
  <si>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</si>
  <si>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</si>
  <si>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</si>
  <si>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</si>
  <si>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</si>
  <si>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</si>
  <si>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</si>
  <si>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</si>
  <si>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</si>
  <si>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</si>
  <si>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</si>
  <si>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</si>
  <si>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</si>
  <si>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</si>
  <si>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</si>
  <si>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</si>
  <si>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</si>
  <si>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</si>
  <si>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https://population.un.org/wpp2019/Download/Standard/Interpolated/</t>
  </si>
  <si>
    <t>Source UN</t>
  </si>
  <si>
    <t>United Nations, Department of Economic and Social Affairs, Population Division (2019). World Population Prospects: The 2019 Revision, DVD Edition.</t>
  </si>
  <si>
    <t>Year</t>
  </si>
  <si>
    <t>Boomers</t>
  </si>
  <si>
    <t>Total</t>
  </si>
  <si>
    <t>Boomers Share</t>
  </si>
  <si>
    <t>Gen X</t>
  </si>
  <si>
    <t>Gen Share</t>
  </si>
  <si>
    <t>Millenials</t>
  </si>
  <si>
    <t>Millenials Share</t>
  </si>
  <si>
    <t>Silent</t>
  </si>
  <si>
    <t>Silent Share</t>
  </si>
  <si>
    <t>Baby Boomers</t>
  </si>
  <si>
    <t>Greatest</t>
  </si>
  <si>
    <t>Greatest Share</t>
  </si>
  <si>
    <t>Greatest Gen</t>
  </si>
  <si>
    <t>Silent Gen</t>
  </si>
  <si>
    <t>Born Between</t>
  </si>
  <si>
    <t>100 total</t>
  </si>
  <si>
    <t>85 total</t>
  </si>
  <si>
    <t>Immigratan=2</t>
  </si>
  <si>
    <t>Native=0</t>
  </si>
  <si>
    <t>Actual ACS</t>
  </si>
  <si>
    <t>Overestimate in 1000s</t>
  </si>
  <si>
    <t>Total 1000s</t>
  </si>
  <si>
    <t>Adult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</si>
</sst>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6"/>
      <color rgb="FF33333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3">
    <xf numFmtId="0" fontId="0" fillId="0" borderId="0" xfId="0"/>
    <xf numFmtId="0" fontId="5" fillId="0" borderId="0" xfId="0" applyFont="1"/>
    <xf numFmtId="0" fontId="4" fillId="2" borderId="2" xfId="2" quotePrefix="1" applyNumberFormat="1" applyFont="1" applyFill="1" applyBorder="1" applyAlignment="1">
      <alignment horizontal="center" vertical="center"/>
    </xf>
    <xf numFmtId="0" fontId="0" fillId="0" borderId="0" xfId="0" applyNumberFormat="1" applyAlignment="1"/>
    <xf numFmtId="0" fontId="3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right"/>
    </xf>
    <xf numFmtId="0" fontId="4" fillId="2" borderId="3" xfId="2" applyNumberFormat="1" applyFont="1" applyFill="1" applyBorder="1" applyAlignment="1">
      <alignment horizontal="center" vertical="center"/>
    </xf>
    <xf numFmtId="10" fontId="0" fillId="0" borderId="0" xfId="1" applyNumberFormat="1" applyFont="1" applyAlignment="1"/>
    <xf numFmtId="10" fontId="0" fillId="0" borderId="0" xfId="1" applyNumberFormat="1" applyFont="1" applyFill="1" applyBorder="1" applyAlignment="1"/>
    <xf numFmtId="164" fontId="0" fillId="0" borderId="0" xfId="0" applyNumberFormat="1"/>
    <xf numFmtId="10" fontId="0" fillId="0" borderId="0" xfId="0" applyNumberFormat="1"/>
    <xf numFmtId="0" fontId="0" fillId="0" borderId="0" xfId="1" applyNumberFormat="1" applyFont="1"/>
    <xf numFmtId="0" fontId="6" fillId="0" borderId="0" xfId="0" applyFont="1"/>
    <xf numFmtId="0" fontId="0" fillId="0" borderId="0" xfId="0" applyFont="1"/>
    <xf numFmtId="0" fontId="4" fillId="0" borderId="0" xfId="2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/>
    </xf>
    <xf numFmtId="165" fontId="3" fillId="0" borderId="0" xfId="2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5" fontId="0" fillId="0" borderId="0" xfId="0" applyNumberFormat="1" applyAlignment="1"/>
    <xf numFmtId="165" fontId="4" fillId="2" borderId="3" xfId="2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right"/>
    </xf>
  </cellXfs>
  <cellStyles count="3">
    <cellStyle name="Normal" xfId="0" builtinId="0"/>
    <cellStyle name="Normal 2" xfId="2" xr:uid="{5D284C65-D203-4E1B-BBB3-02B4DD78237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/>
              <a:t>Adult</a:t>
            </a:r>
            <a:r>
              <a:rPr lang="en-GB" sz="1100" baseline="0"/>
              <a:t> </a:t>
            </a:r>
            <a:r>
              <a:rPr lang="en-GB" sz="1100"/>
              <a:t>Generation</a:t>
            </a:r>
            <a:r>
              <a:rPr lang="en-GB" sz="1100" baseline="0"/>
              <a:t> Size</a:t>
            </a:r>
            <a:endParaRPr lang="en-GB" sz="1100"/>
          </a:p>
        </c:rich>
      </c:tx>
      <c:layout>
        <c:manualLayout>
          <c:xMode val="edge"/>
          <c:yMode val="edge"/>
          <c:x val="0.40589076136921087"/>
          <c:y val="2.9180145145054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0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Sheet1!$B$2:$B$72</c:f>
              <c:numCache>
                <c:formatCode>0.000</c:formatCode>
                <c:ptCount val="71"/>
                <c:pt idx="0">
                  <c:v>3762.5650000000001</c:v>
                </c:pt>
                <c:pt idx="1">
                  <c:v>3712.154</c:v>
                </c:pt>
                <c:pt idx="2">
                  <c:v>3706.92</c:v>
                </c:pt>
                <c:pt idx="3">
                  <c:v>3740.8409999999999</c:v>
                </c:pt>
                <c:pt idx="4">
                  <c:v>3807.931</c:v>
                </c:pt>
                <c:pt idx="5">
                  <c:v>3900.8910000000001</c:v>
                </c:pt>
                <c:pt idx="6">
                  <c:v>4010.5279999999998</c:v>
                </c:pt>
                <c:pt idx="7">
                  <c:v>4117.7950000000001</c:v>
                </c:pt>
                <c:pt idx="8">
                  <c:v>4207.4120000000003</c:v>
                </c:pt>
                <c:pt idx="9">
                  <c:v>4262.7160000000003</c:v>
                </c:pt>
                <c:pt idx="10">
                  <c:v>4268.8159999999998</c:v>
                </c:pt>
                <c:pt idx="11">
                  <c:v>4217.9269999999997</c:v>
                </c:pt>
                <c:pt idx="12">
                  <c:v>4115.5020000000004</c:v>
                </c:pt>
                <c:pt idx="13">
                  <c:v>3977.308</c:v>
                </c:pt>
                <c:pt idx="14">
                  <c:v>3827.2170000000001</c:v>
                </c:pt>
                <c:pt idx="15">
                  <c:v>3684.7579999999998</c:v>
                </c:pt>
                <c:pt idx="16">
                  <c:v>3561.788</c:v>
                </c:pt>
                <c:pt idx="17">
                  <c:v>3447.5189999999998</c:v>
                </c:pt>
                <c:pt idx="18">
                  <c:v>3350.027</c:v>
                </c:pt>
                <c:pt idx="19">
                  <c:v>3277.761</c:v>
                </c:pt>
                <c:pt idx="20">
                  <c:v>3235.8870000000002</c:v>
                </c:pt>
                <c:pt idx="21">
                  <c:v>3231.8159999999998</c:v>
                </c:pt>
                <c:pt idx="22">
                  <c:v>3260.0070000000001</c:v>
                </c:pt>
                <c:pt idx="23">
                  <c:v>3307.3890000000001</c:v>
                </c:pt>
                <c:pt idx="24">
                  <c:v>3354.7370000000001</c:v>
                </c:pt>
                <c:pt idx="25">
                  <c:v>3387.8939999999998</c:v>
                </c:pt>
                <c:pt idx="26">
                  <c:v>3395.1849999999999</c:v>
                </c:pt>
                <c:pt idx="27">
                  <c:v>3387.973</c:v>
                </c:pt>
                <c:pt idx="28">
                  <c:v>3375.855</c:v>
                </c:pt>
                <c:pt idx="29">
                  <c:v>3373.3270000000002</c:v>
                </c:pt>
                <c:pt idx="30">
                  <c:v>3390.7179999999998</c:v>
                </c:pt>
                <c:pt idx="31">
                  <c:v>3433.0459999999998</c:v>
                </c:pt>
                <c:pt idx="32">
                  <c:v>3493.4859999999999</c:v>
                </c:pt>
                <c:pt idx="33">
                  <c:v>3565.2730000000001</c:v>
                </c:pt>
                <c:pt idx="34">
                  <c:v>3638.8760000000002</c:v>
                </c:pt>
                <c:pt idx="35">
                  <c:v>3706.9690000000001</c:v>
                </c:pt>
                <c:pt idx="36">
                  <c:v>3769.9769999999999</c:v>
                </c:pt>
                <c:pt idx="37">
                  <c:v>3826.7779999999998</c:v>
                </c:pt>
                <c:pt idx="38">
                  <c:v>3876.8040000000001</c:v>
                </c:pt>
                <c:pt idx="39">
                  <c:v>3920.3539999999998</c:v>
                </c:pt>
                <c:pt idx="40">
                  <c:v>3957.5160000000001</c:v>
                </c:pt>
                <c:pt idx="41">
                  <c:v>3988.7919999999999</c:v>
                </c:pt>
                <c:pt idx="42">
                  <c:v>4015.7049999999999</c:v>
                </c:pt>
                <c:pt idx="43">
                  <c:v>4032.2860000000001</c:v>
                </c:pt>
                <c:pt idx="44">
                  <c:v>4030.6190000000001</c:v>
                </c:pt>
                <c:pt idx="45">
                  <c:v>4006.4290000000001</c:v>
                </c:pt>
                <c:pt idx="46">
                  <c:v>3941.7629999999999</c:v>
                </c:pt>
                <c:pt idx="47">
                  <c:v>3855.01</c:v>
                </c:pt>
                <c:pt idx="48">
                  <c:v>3769.1640000000002</c:v>
                </c:pt>
                <c:pt idx="49">
                  <c:v>3716.2429999999999</c:v>
                </c:pt>
                <c:pt idx="50">
                  <c:v>3718.1880000000001</c:v>
                </c:pt>
                <c:pt idx="51">
                  <c:v>3802.694</c:v>
                </c:pt>
                <c:pt idx="52">
                  <c:v>3939.4160000000002</c:v>
                </c:pt>
                <c:pt idx="53">
                  <c:v>4100.2740000000003</c:v>
                </c:pt>
                <c:pt idx="54">
                  <c:v>4245.1859999999997</c:v>
                </c:pt>
                <c:pt idx="55">
                  <c:v>4344.4309999999996</c:v>
                </c:pt>
                <c:pt idx="56">
                  <c:v>4385.1779999999999</c:v>
                </c:pt>
                <c:pt idx="57">
                  <c:v>4383.2070000000003</c:v>
                </c:pt>
                <c:pt idx="58">
                  <c:v>4344.2269999999999</c:v>
                </c:pt>
                <c:pt idx="59">
                  <c:v>4279.509</c:v>
                </c:pt>
                <c:pt idx="60">
                  <c:v>4199.6509999999998</c:v>
                </c:pt>
                <c:pt idx="61">
                  <c:v>4107.4690000000001</c:v>
                </c:pt>
                <c:pt idx="62">
                  <c:v>4001.1289999999999</c:v>
                </c:pt>
                <c:pt idx="63">
                  <c:v>3895.8820000000001</c:v>
                </c:pt>
                <c:pt idx="64">
                  <c:v>3811.8139999999999</c:v>
                </c:pt>
                <c:pt idx="65">
                  <c:v>3763.0520000000001</c:v>
                </c:pt>
                <c:pt idx="66">
                  <c:v>3764.4259999999999</c:v>
                </c:pt>
                <c:pt idx="67">
                  <c:v>3802.2240000000002</c:v>
                </c:pt>
                <c:pt idx="68">
                  <c:v>3864.2849999999999</c:v>
                </c:pt>
                <c:pt idx="69">
                  <c:v>3931.9670000000001</c:v>
                </c:pt>
                <c:pt idx="70">
                  <c:v>3990.8180000000002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C-4B80-AD62-48021C2BB95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1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Sheet1!$C$2:$C$72</c:f>
              <c:numCache>
                <c:formatCode>0.000</c:formatCode>
                <c:ptCount val="71"/>
                <c:pt idx="0">
                  <c:v>3600.4270000000001</c:v>
                </c:pt>
                <c:pt idx="1">
                  <c:v>3735.7539999999999</c:v>
                </c:pt>
                <c:pt idx="2">
                  <c:v>3664.5859999999998</c:v>
                </c:pt>
                <c:pt idx="3">
                  <c:v>3732.6489999999999</c:v>
                </c:pt>
                <c:pt idx="4">
                  <c:v>3814.68</c:v>
                </c:pt>
                <c:pt idx="5">
                  <c:v>3904.76</c:v>
                </c:pt>
                <c:pt idx="6">
                  <c:v>3919.567</c:v>
                </c:pt>
                <c:pt idx="7">
                  <c:v>4080.94</c:v>
                </c:pt>
                <c:pt idx="8">
                  <c:v>4147.66</c:v>
                </c:pt>
                <c:pt idx="9">
                  <c:v>4190.723</c:v>
                </c:pt>
                <c:pt idx="10">
                  <c:v>4203.3220000000001</c:v>
                </c:pt>
                <c:pt idx="11">
                  <c:v>4252.7169999999996</c:v>
                </c:pt>
                <c:pt idx="12">
                  <c:v>4128.8050000000003</c:v>
                </c:pt>
                <c:pt idx="13">
                  <c:v>4050.605</c:v>
                </c:pt>
                <c:pt idx="14">
                  <c:v>3956.37</c:v>
                </c:pt>
                <c:pt idx="15">
                  <c:v>3854.7719999999999</c:v>
                </c:pt>
                <c:pt idx="16">
                  <c:v>3729.7</c:v>
                </c:pt>
                <c:pt idx="17">
                  <c:v>3652.1779999999999</c:v>
                </c:pt>
                <c:pt idx="18">
                  <c:v>3550.7539999999999</c:v>
                </c:pt>
                <c:pt idx="19">
                  <c:v>3461.395</c:v>
                </c:pt>
                <c:pt idx="20">
                  <c:v>3390.84</c:v>
                </c:pt>
                <c:pt idx="21">
                  <c:v>3261.7640000000001</c:v>
                </c:pt>
                <c:pt idx="22">
                  <c:v>3318.7649999999999</c:v>
                </c:pt>
                <c:pt idx="23">
                  <c:v>3308.511</c:v>
                </c:pt>
                <c:pt idx="24">
                  <c:v>3306.221</c:v>
                </c:pt>
                <c:pt idx="25">
                  <c:v>3305.7190000000001</c:v>
                </c:pt>
                <c:pt idx="26">
                  <c:v>3365.826</c:v>
                </c:pt>
                <c:pt idx="27">
                  <c:v>3295.8150000000001</c:v>
                </c:pt>
                <c:pt idx="28">
                  <c:v>3297.8739999999998</c:v>
                </c:pt>
                <c:pt idx="29">
                  <c:v>3309.9760000000001</c:v>
                </c:pt>
                <c:pt idx="30">
                  <c:v>3335.1779999999999</c:v>
                </c:pt>
                <c:pt idx="31">
                  <c:v>3392.4560000000001</c:v>
                </c:pt>
                <c:pt idx="32">
                  <c:v>3429.366</c:v>
                </c:pt>
                <c:pt idx="33">
                  <c:v>3490.3739999999998</c:v>
                </c:pt>
                <c:pt idx="34">
                  <c:v>3554.6489999999999</c:v>
                </c:pt>
                <c:pt idx="35">
                  <c:v>3618.2939999999999</c:v>
                </c:pt>
                <c:pt idx="36">
                  <c:v>3703.79</c:v>
                </c:pt>
                <c:pt idx="37">
                  <c:v>3744.7649999999999</c:v>
                </c:pt>
                <c:pt idx="38">
                  <c:v>3803.3249999999998</c:v>
                </c:pt>
                <c:pt idx="39">
                  <c:v>3856.4459999999999</c:v>
                </c:pt>
                <c:pt idx="40">
                  <c:v>3902.8130000000001</c:v>
                </c:pt>
                <c:pt idx="41">
                  <c:v>3954.0259999999998</c:v>
                </c:pt>
                <c:pt idx="42">
                  <c:v>3973.8130000000001</c:v>
                </c:pt>
                <c:pt idx="43">
                  <c:v>3997.3339999999998</c:v>
                </c:pt>
                <c:pt idx="44">
                  <c:v>4008.134</c:v>
                </c:pt>
                <c:pt idx="45">
                  <c:v>4004.2190000000001</c:v>
                </c:pt>
                <c:pt idx="46">
                  <c:v>4027.3429999999998</c:v>
                </c:pt>
                <c:pt idx="47">
                  <c:v>3924.8139999999999</c:v>
                </c:pt>
                <c:pt idx="48">
                  <c:v>3876.3879999999999</c:v>
                </c:pt>
                <c:pt idx="49">
                  <c:v>3841.9870000000001</c:v>
                </c:pt>
                <c:pt idx="50">
                  <c:v>3833.24</c:v>
                </c:pt>
                <c:pt idx="51">
                  <c:v>3753.337</c:v>
                </c:pt>
                <c:pt idx="52">
                  <c:v>3934.5439999999999</c:v>
                </c:pt>
                <c:pt idx="53">
                  <c:v>4010.2139999999999</c:v>
                </c:pt>
                <c:pt idx="54">
                  <c:v>4084.2420000000002</c:v>
                </c:pt>
                <c:pt idx="55">
                  <c:v>4144.4210000000003</c:v>
                </c:pt>
                <c:pt idx="56">
                  <c:v>4300.973</c:v>
                </c:pt>
                <c:pt idx="57">
                  <c:v>4211.1890000000003</c:v>
                </c:pt>
                <c:pt idx="58">
                  <c:v>4223.2330000000002</c:v>
                </c:pt>
                <c:pt idx="59">
                  <c:v>4216.5439999999999</c:v>
                </c:pt>
                <c:pt idx="60">
                  <c:v>4190.3040000000001</c:v>
                </c:pt>
                <c:pt idx="61">
                  <c:v>4199.0479999999998</c:v>
                </c:pt>
                <c:pt idx="62">
                  <c:v>4084.65</c:v>
                </c:pt>
                <c:pt idx="63">
                  <c:v>4015.134</c:v>
                </c:pt>
                <c:pt idx="64">
                  <c:v>3951.875</c:v>
                </c:pt>
                <c:pt idx="65">
                  <c:v>3905.357</c:v>
                </c:pt>
                <c:pt idx="66">
                  <c:v>3801.2040000000002</c:v>
                </c:pt>
                <c:pt idx="67">
                  <c:v>3886.0309999999999</c:v>
                </c:pt>
                <c:pt idx="68">
                  <c:v>3898.5920000000001</c:v>
                </c:pt>
                <c:pt idx="69">
                  <c:v>3919.5</c:v>
                </c:pt>
                <c:pt idx="70">
                  <c:v>3943.8530000000001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C-4B80-AD62-48021C2BB95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2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Sheet1!$D$2:$D$72</c:f>
              <c:numCache>
                <c:formatCode>0.000</c:formatCode>
                <c:ptCount val="71"/>
                <c:pt idx="0">
                  <c:v>3442.3440000000001</c:v>
                </c:pt>
                <c:pt idx="1">
                  <c:v>3585.3789999999999</c:v>
                </c:pt>
                <c:pt idx="2">
                  <c:v>3717.9169999999999</c:v>
                </c:pt>
                <c:pt idx="3">
                  <c:v>3695.538</c:v>
                </c:pt>
                <c:pt idx="4">
                  <c:v>3790.5720000000001</c:v>
                </c:pt>
                <c:pt idx="5">
                  <c:v>3880.6779999999999</c:v>
                </c:pt>
                <c:pt idx="6">
                  <c:v>3911.49</c:v>
                </c:pt>
                <c:pt idx="7">
                  <c:v>3934.7629999999999</c:v>
                </c:pt>
                <c:pt idx="8">
                  <c:v>4084.902</c:v>
                </c:pt>
                <c:pt idx="9">
                  <c:v>4122.1980000000003</c:v>
                </c:pt>
                <c:pt idx="10">
                  <c:v>4142.9669999999996</c:v>
                </c:pt>
                <c:pt idx="11">
                  <c:v>4202.7240000000002</c:v>
                </c:pt>
                <c:pt idx="12">
                  <c:v>4238.567</c:v>
                </c:pt>
                <c:pt idx="13">
                  <c:v>4103.2960000000003</c:v>
                </c:pt>
                <c:pt idx="14">
                  <c:v>4054.3490000000002</c:v>
                </c:pt>
                <c:pt idx="15">
                  <c:v>3987.4050000000002</c:v>
                </c:pt>
                <c:pt idx="16">
                  <c:v>3884.442</c:v>
                </c:pt>
                <c:pt idx="17">
                  <c:v>3772.25</c:v>
                </c:pt>
                <c:pt idx="18">
                  <c:v>3721.6219999999998</c:v>
                </c:pt>
                <c:pt idx="19">
                  <c:v>3623.8069999999998</c:v>
                </c:pt>
                <c:pt idx="20">
                  <c:v>3534.7269999999999</c:v>
                </c:pt>
                <c:pt idx="21">
                  <c:v>3402.4250000000002</c:v>
                </c:pt>
                <c:pt idx="22">
                  <c:v>3286.0590000000002</c:v>
                </c:pt>
                <c:pt idx="23">
                  <c:v>3337.3820000000001</c:v>
                </c:pt>
                <c:pt idx="24">
                  <c:v>3295.8609999999999</c:v>
                </c:pt>
                <c:pt idx="25">
                  <c:v>3267.5309999999999</c:v>
                </c:pt>
                <c:pt idx="26">
                  <c:v>3305.5149999999999</c:v>
                </c:pt>
                <c:pt idx="27">
                  <c:v>3346.0540000000001</c:v>
                </c:pt>
                <c:pt idx="28">
                  <c:v>3251.998</c:v>
                </c:pt>
                <c:pt idx="29">
                  <c:v>3271.0770000000002</c:v>
                </c:pt>
                <c:pt idx="30">
                  <c:v>3298.3510000000001</c:v>
                </c:pt>
                <c:pt idx="31">
                  <c:v>3342.9810000000002</c:v>
                </c:pt>
                <c:pt idx="32">
                  <c:v>3393.8020000000001</c:v>
                </c:pt>
                <c:pt idx="33">
                  <c:v>3429.85</c:v>
                </c:pt>
                <c:pt idx="34">
                  <c:v>3484.7269999999999</c:v>
                </c:pt>
                <c:pt idx="35">
                  <c:v>3542.88</c:v>
                </c:pt>
                <c:pt idx="36">
                  <c:v>3623.2730000000001</c:v>
                </c:pt>
                <c:pt idx="37">
                  <c:v>3700.4639999999999</c:v>
                </c:pt>
                <c:pt idx="38">
                  <c:v>3734.6680000000001</c:v>
                </c:pt>
                <c:pt idx="39">
                  <c:v>3794.3809999999999</c:v>
                </c:pt>
                <c:pt idx="40">
                  <c:v>3847.712</c:v>
                </c:pt>
                <c:pt idx="41">
                  <c:v>3906.1280000000002</c:v>
                </c:pt>
                <c:pt idx="42">
                  <c:v>3950.7849999999999</c:v>
                </c:pt>
                <c:pt idx="43">
                  <c:v>3960.8180000000002</c:v>
                </c:pt>
                <c:pt idx="44">
                  <c:v>3983.299</c:v>
                </c:pt>
                <c:pt idx="45">
                  <c:v>3997.373</c:v>
                </c:pt>
                <c:pt idx="46">
                  <c:v>4032.654</c:v>
                </c:pt>
                <c:pt idx="47">
                  <c:v>4052.8939999999998</c:v>
                </c:pt>
                <c:pt idx="48">
                  <c:v>3962.1019999999999</c:v>
                </c:pt>
                <c:pt idx="49">
                  <c:v>3944.6439999999998</c:v>
                </c:pt>
                <c:pt idx="50">
                  <c:v>3930.018</c:v>
                </c:pt>
                <c:pt idx="51">
                  <c:v>3850.4639999999999</c:v>
                </c:pt>
                <c:pt idx="52">
                  <c:v>3781.8580000000002</c:v>
                </c:pt>
                <c:pt idx="53">
                  <c:v>3953.9690000000001</c:v>
                </c:pt>
                <c:pt idx="54">
                  <c:v>3973.51</c:v>
                </c:pt>
                <c:pt idx="55">
                  <c:v>4002.5050000000001</c:v>
                </c:pt>
                <c:pt idx="56">
                  <c:v>4139.1890000000003</c:v>
                </c:pt>
                <c:pt idx="57">
                  <c:v>4261.1809999999996</c:v>
                </c:pt>
                <c:pt idx="58">
                  <c:v>4131.902</c:v>
                </c:pt>
                <c:pt idx="59">
                  <c:v>4166.3180000000002</c:v>
                </c:pt>
                <c:pt idx="60">
                  <c:v>4179.0249999999996</c:v>
                </c:pt>
                <c:pt idx="61">
                  <c:v>4195.1210000000001</c:v>
                </c:pt>
                <c:pt idx="62">
                  <c:v>4198.5810000000001</c:v>
                </c:pt>
                <c:pt idx="63">
                  <c:v>4103.6149999999998</c:v>
                </c:pt>
                <c:pt idx="64">
                  <c:v>4058.2649999999999</c:v>
                </c:pt>
                <c:pt idx="65">
                  <c:v>4015.585</c:v>
                </c:pt>
                <c:pt idx="66">
                  <c:v>3921.1990000000001</c:v>
                </c:pt>
                <c:pt idx="67">
                  <c:v>3836.636</c:v>
                </c:pt>
                <c:pt idx="68">
                  <c:v>3933.1109999999999</c:v>
                </c:pt>
                <c:pt idx="69">
                  <c:v>3919.4609999999998</c:v>
                </c:pt>
                <c:pt idx="70">
                  <c:v>3917.33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C-4B80-AD62-48021C2BB957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3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Sheet1!$E$2:$E$72</c:f>
              <c:numCache>
                <c:formatCode>0.000</c:formatCode>
                <c:ptCount val="71"/>
                <c:pt idx="0">
                  <c:v>3289.2939999999999</c:v>
                </c:pt>
                <c:pt idx="1">
                  <c:v>3435.7379999999998</c:v>
                </c:pt>
                <c:pt idx="2">
                  <c:v>3578.92</c:v>
                </c:pt>
                <c:pt idx="3">
                  <c:v>3702.7249999999999</c:v>
                </c:pt>
                <c:pt idx="4">
                  <c:v>3739.248</c:v>
                </c:pt>
                <c:pt idx="5">
                  <c:v>3831.7289999999998</c:v>
                </c:pt>
                <c:pt idx="6">
                  <c:v>3880.4580000000001</c:v>
                </c:pt>
                <c:pt idx="7">
                  <c:v>3914.739</c:v>
                </c:pt>
                <c:pt idx="8">
                  <c:v>3948.444</c:v>
                </c:pt>
                <c:pt idx="9">
                  <c:v>4055.86</c:v>
                </c:pt>
                <c:pt idx="10">
                  <c:v>4086.1480000000001</c:v>
                </c:pt>
                <c:pt idx="11">
                  <c:v>4152.2520000000004</c:v>
                </c:pt>
                <c:pt idx="12">
                  <c:v>4204.0540000000001</c:v>
                </c:pt>
                <c:pt idx="13">
                  <c:v>4224.7</c:v>
                </c:pt>
                <c:pt idx="14">
                  <c:v>4123.4309999999996</c:v>
                </c:pt>
                <c:pt idx="15">
                  <c:v>4085.547</c:v>
                </c:pt>
                <c:pt idx="16">
                  <c:v>4006.3760000000002</c:v>
                </c:pt>
                <c:pt idx="17">
                  <c:v>3911.6039999999998</c:v>
                </c:pt>
                <c:pt idx="18">
                  <c:v>3812.971</c:v>
                </c:pt>
                <c:pt idx="19">
                  <c:v>3765.4650000000001</c:v>
                </c:pt>
                <c:pt idx="20">
                  <c:v>3666.8850000000002</c:v>
                </c:pt>
                <c:pt idx="21">
                  <c:v>3537.5940000000001</c:v>
                </c:pt>
                <c:pt idx="22">
                  <c:v>3412.364</c:v>
                </c:pt>
                <c:pt idx="23">
                  <c:v>3310.2240000000002</c:v>
                </c:pt>
                <c:pt idx="24">
                  <c:v>3318.5189999999998</c:v>
                </c:pt>
                <c:pt idx="25">
                  <c:v>3267.8919999999998</c:v>
                </c:pt>
                <c:pt idx="26">
                  <c:v>3283</c:v>
                </c:pt>
                <c:pt idx="27">
                  <c:v>3307.5509999999999</c:v>
                </c:pt>
                <c:pt idx="28">
                  <c:v>3327.5680000000002</c:v>
                </c:pt>
                <c:pt idx="29">
                  <c:v>3254.6610000000001</c:v>
                </c:pt>
                <c:pt idx="30">
                  <c:v>3279.1289999999999</c:v>
                </c:pt>
                <c:pt idx="31">
                  <c:v>3310.8589999999999</c:v>
                </c:pt>
                <c:pt idx="32">
                  <c:v>3350.3989999999999</c:v>
                </c:pt>
                <c:pt idx="33">
                  <c:v>3394.384</c:v>
                </c:pt>
                <c:pt idx="34">
                  <c:v>3428.739</c:v>
                </c:pt>
                <c:pt idx="35">
                  <c:v>3480.4490000000001</c:v>
                </c:pt>
                <c:pt idx="36">
                  <c:v>3554.172</c:v>
                </c:pt>
                <c:pt idx="37">
                  <c:v>3628.1080000000002</c:v>
                </c:pt>
                <c:pt idx="38">
                  <c:v>3696.8760000000002</c:v>
                </c:pt>
                <c:pt idx="39">
                  <c:v>3734.915</c:v>
                </c:pt>
                <c:pt idx="40">
                  <c:v>3793.098</c:v>
                </c:pt>
                <c:pt idx="41">
                  <c:v>3857.442</c:v>
                </c:pt>
                <c:pt idx="42">
                  <c:v>3909.681</c:v>
                </c:pt>
                <c:pt idx="43">
                  <c:v>3948.8240000000001</c:v>
                </c:pt>
                <c:pt idx="44">
                  <c:v>3956.5160000000001</c:v>
                </c:pt>
                <c:pt idx="45">
                  <c:v>3986.3449999999998</c:v>
                </c:pt>
                <c:pt idx="46">
                  <c:v>4031.7779999999998</c:v>
                </c:pt>
                <c:pt idx="47">
                  <c:v>4065.732</c:v>
                </c:pt>
                <c:pt idx="48">
                  <c:v>4079.8159999999998</c:v>
                </c:pt>
                <c:pt idx="49">
                  <c:v>4025.9760000000001</c:v>
                </c:pt>
                <c:pt idx="50">
                  <c:v>4009.694</c:v>
                </c:pt>
                <c:pt idx="51">
                  <c:v>3937.9780000000001</c:v>
                </c:pt>
                <c:pt idx="52">
                  <c:v>3860.85</c:v>
                </c:pt>
                <c:pt idx="53">
                  <c:v>3806.721</c:v>
                </c:pt>
                <c:pt idx="54">
                  <c:v>3907.0619999999999</c:v>
                </c:pt>
                <c:pt idx="55">
                  <c:v>3912.0929999999998</c:v>
                </c:pt>
                <c:pt idx="56">
                  <c:v>4024.415</c:v>
                </c:pt>
                <c:pt idx="57">
                  <c:v>4137.4639999999999</c:v>
                </c:pt>
                <c:pt idx="58">
                  <c:v>4223.1059999999998</c:v>
                </c:pt>
                <c:pt idx="59">
                  <c:v>4128.0929999999998</c:v>
                </c:pt>
                <c:pt idx="60">
                  <c:v>4166.7669999999998</c:v>
                </c:pt>
                <c:pt idx="61">
                  <c:v>4186.8149999999996</c:v>
                </c:pt>
                <c:pt idx="62">
                  <c:v>4200.0780000000004</c:v>
                </c:pt>
                <c:pt idx="63">
                  <c:v>4197.2449999999999</c:v>
                </c:pt>
                <c:pt idx="64">
                  <c:v>4134.9139999999998</c:v>
                </c:pt>
                <c:pt idx="65">
                  <c:v>4097.32</c:v>
                </c:pt>
                <c:pt idx="66">
                  <c:v>4017.0940000000001</c:v>
                </c:pt>
                <c:pt idx="67">
                  <c:v>3934.2089999999998</c:v>
                </c:pt>
                <c:pt idx="68">
                  <c:v>3870.2139999999999</c:v>
                </c:pt>
                <c:pt idx="69">
                  <c:v>3930.1579999999999</c:v>
                </c:pt>
                <c:pt idx="70">
                  <c:v>3908.7440000000001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DC-4B80-AD62-48021C2BB957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4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Sheet1!$F$2:$F$72</c:f>
              <c:numCache>
                <c:formatCode>0.000</c:formatCode>
                <c:ptCount val="71"/>
                <c:pt idx="0">
                  <c:v>3142.2570000000001</c:v>
                </c:pt>
                <c:pt idx="1">
                  <c:v>3288.2289999999998</c:v>
                </c:pt>
                <c:pt idx="2">
                  <c:v>3437.346</c:v>
                </c:pt>
                <c:pt idx="3">
                  <c:v>3575.018</c:v>
                </c:pt>
                <c:pt idx="4">
                  <c:v>3687.415</c:v>
                </c:pt>
                <c:pt idx="5">
                  <c:v>3760.9960000000001</c:v>
                </c:pt>
                <c:pt idx="6">
                  <c:v>3828.62</c:v>
                </c:pt>
                <c:pt idx="7">
                  <c:v>3876.777</c:v>
                </c:pt>
                <c:pt idx="8">
                  <c:v>3916.4810000000002</c:v>
                </c:pt>
                <c:pt idx="9">
                  <c:v>3962.2959999999998</c:v>
                </c:pt>
                <c:pt idx="10">
                  <c:v>4031.2640000000001</c:v>
                </c:pt>
                <c:pt idx="11">
                  <c:v>4100.5969999999998</c:v>
                </c:pt>
                <c:pt idx="12">
                  <c:v>4163.4449999999997</c:v>
                </c:pt>
                <c:pt idx="13">
                  <c:v>4205.68</c:v>
                </c:pt>
                <c:pt idx="14">
                  <c:v>4208.7839999999997</c:v>
                </c:pt>
                <c:pt idx="15">
                  <c:v>4152.0839999999998</c:v>
                </c:pt>
                <c:pt idx="16">
                  <c:v>4097.6809999999996</c:v>
                </c:pt>
                <c:pt idx="17">
                  <c:v>4022.7469999999998</c:v>
                </c:pt>
                <c:pt idx="18">
                  <c:v>3936.87</c:v>
                </c:pt>
                <c:pt idx="19">
                  <c:v>3853.0149999999999</c:v>
                </c:pt>
                <c:pt idx="20">
                  <c:v>3786.6509999999998</c:v>
                </c:pt>
                <c:pt idx="21">
                  <c:v>3665.6489999999999</c:v>
                </c:pt>
                <c:pt idx="22">
                  <c:v>3538.7489999999998</c:v>
                </c:pt>
                <c:pt idx="23">
                  <c:v>3422.1770000000001</c:v>
                </c:pt>
                <c:pt idx="24">
                  <c:v>3335.5990000000002</c:v>
                </c:pt>
                <c:pt idx="25">
                  <c:v>3301.3649999999998</c:v>
                </c:pt>
                <c:pt idx="26">
                  <c:v>3293.7139999999999</c:v>
                </c:pt>
                <c:pt idx="27">
                  <c:v>3300.6840000000002</c:v>
                </c:pt>
                <c:pt idx="28">
                  <c:v>3310.864</c:v>
                </c:pt>
                <c:pt idx="29">
                  <c:v>3308.8510000000001</c:v>
                </c:pt>
                <c:pt idx="30">
                  <c:v>3276.4009999999998</c:v>
                </c:pt>
                <c:pt idx="31">
                  <c:v>3295.1439999999998</c:v>
                </c:pt>
                <c:pt idx="32">
                  <c:v>3322.9830000000002</c:v>
                </c:pt>
                <c:pt idx="33">
                  <c:v>3357.0619999999999</c:v>
                </c:pt>
                <c:pt idx="34">
                  <c:v>3394.2539999999999</c:v>
                </c:pt>
                <c:pt idx="35">
                  <c:v>3430.7260000000001</c:v>
                </c:pt>
                <c:pt idx="36">
                  <c:v>3496.4409999999998</c:v>
                </c:pt>
                <c:pt idx="37">
                  <c:v>3565.3209999999999</c:v>
                </c:pt>
                <c:pt idx="38">
                  <c:v>3632.6860000000001</c:v>
                </c:pt>
                <c:pt idx="39">
                  <c:v>3692.9679999999998</c:v>
                </c:pt>
                <c:pt idx="40">
                  <c:v>3739.857</c:v>
                </c:pt>
                <c:pt idx="41">
                  <c:v>3808.7640000000001</c:v>
                </c:pt>
                <c:pt idx="42">
                  <c:v>3867.3969999999999</c:v>
                </c:pt>
                <c:pt idx="43">
                  <c:v>3914.4940000000001</c:v>
                </c:pt>
                <c:pt idx="44">
                  <c:v>3949.56</c:v>
                </c:pt>
                <c:pt idx="45">
                  <c:v>3971.5909999999999</c:v>
                </c:pt>
                <c:pt idx="46">
                  <c:v>4025.3110000000001</c:v>
                </c:pt>
                <c:pt idx="47">
                  <c:v>4070.8229999999999</c:v>
                </c:pt>
                <c:pt idx="48">
                  <c:v>4100.1970000000001</c:v>
                </c:pt>
                <c:pt idx="49">
                  <c:v>4103.7960000000003</c:v>
                </c:pt>
                <c:pt idx="50">
                  <c:v>4073.4409999999998</c:v>
                </c:pt>
                <c:pt idx="51">
                  <c:v>4015.498</c:v>
                </c:pt>
                <c:pt idx="52">
                  <c:v>3938.9259999999999</c:v>
                </c:pt>
                <c:pt idx="53">
                  <c:v>3867.5189999999998</c:v>
                </c:pt>
                <c:pt idx="54">
                  <c:v>3831.93</c:v>
                </c:pt>
                <c:pt idx="55">
                  <c:v>3866.587</c:v>
                </c:pt>
                <c:pt idx="56">
                  <c:v>3951.567</c:v>
                </c:pt>
                <c:pt idx="57">
                  <c:v>4049.7130000000002</c:v>
                </c:pt>
                <c:pt idx="58">
                  <c:v>4137.4269999999997</c:v>
                </c:pt>
                <c:pt idx="59">
                  <c:v>4184.165</c:v>
                </c:pt>
                <c:pt idx="60">
                  <c:v>4154.482</c:v>
                </c:pt>
                <c:pt idx="61">
                  <c:v>4175.6099999999997</c:v>
                </c:pt>
                <c:pt idx="62">
                  <c:v>4194.7479999999996</c:v>
                </c:pt>
                <c:pt idx="63">
                  <c:v>4204.1679999999997</c:v>
                </c:pt>
                <c:pt idx="64">
                  <c:v>4194.3469999999998</c:v>
                </c:pt>
                <c:pt idx="65">
                  <c:v>4154.1480000000001</c:v>
                </c:pt>
                <c:pt idx="66">
                  <c:v>4091.2539999999999</c:v>
                </c:pt>
                <c:pt idx="67">
                  <c:v>4015.6819999999998</c:v>
                </c:pt>
                <c:pt idx="68">
                  <c:v>3945.319</c:v>
                </c:pt>
                <c:pt idx="69">
                  <c:v>3903.01</c:v>
                </c:pt>
                <c:pt idx="70">
                  <c:v>3915.587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DC-4B80-AD62-48021C2BB957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5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Sheet1!$G$2:$G$72</c:f>
              <c:numCache>
                <c:formatCode>0.000</c:formatCode>
                <c:ptCount val="71"/>
                <c:pt idx="0">
                  <c:v>3002.2139999999999</c:v>
                </c:pt>
                <c:pt idx="1">
                  <c:v>3144.248</c:v>
                </c:pt>
                <c:pt idx="2">
                  <c:v>3295.0129999999999</c:v>
                </c:pt>
                <c:pt idx="3">
                  <c:v>3441.4169999999999</c:v>
                </c:pt>
                <c:pt idx="4">
                  <c:v>3571.0169999999998</c:v>
                </c:pt>
                <c:pt idx="5">
                  <c:v>3671.5610000000001</c:v>
                </c:pt>
                <c:pt idx="6">
                  <c:v>3758.12</c:v>
                </c:pt>
                <c:pt idx="7">
                  <c:v>3822.0920000000001</c:v>
                </c:pt>
                <c:pt idx="8">
                  <c:v>3871.6089999999999</c:v>
                </c:pt>
                <c:pt idx="9">
                  <c:v>3918.4029999999998</c:v>
                </c:pt>
                <c:pt idx="10">
                  <c:v>3976.7109999999998</c:v>
                </c:pt>
                <c:pt idx="11">
                  <c:v>4047.0549999999998</c:v>
                </c:pt>
                <c:pt idx="12">
                  <c:v>4116.9319999999998</c:v>
                </c:pt>
                <c:pt idx="13">
                  <c:v>4174.9380000000001</c:v>
                </c:pt>
                <c:pt idx="14">
                  <c:v>4205.2719999999999</c:v>
                </c:pt>
                <c:pt idx="15">
                  <c:v>4189.902</c:v>
                </c:pt>
                <c:pt idx="16">
                  <c:v>4160.5349999999999</c:v>
                </c:pt>
                <c:pt idx="17">
                  <c:v>4107.1469999999999</c:v>
                </c:pt>
                <c:pt idx="18">
                  <c:v>4037.1680000000001</c:v>
                </c:pt>
                <c:pt idx="19">
                  <c:v>3961.4490000000001</c:v>
                </c:pt>
                <c:pt idx="20">
                  <c:v>3893.3609999999999</c:v>
                </c:pt>
                <c:pt idx="21">
                  <c:v>3784.9740000000002</c:v>
                </c:pt>
                <c:pt idx="22">
                  <c:v>3662.6419999999998</c:v>
                </c:pt>
                <c:pt idx="23">
                  <c:v>3539.7820000000002</c:v>
                </c:pt>
                <c:pt idx="24">
                  <c:v>3433.248</c:v>
                </c:pt>
                <c:pt idx="25">
                  <c:v>3362.511</c:v>
                </c:pt>
                <c:pt idx="26">
                  <c:v>3333.087</c:v>
                </c:pt>
                <c:pt idx="27">
                  <c:v>3321.7489999999998</c:v>
                </c:pt>
                <c:pt idx="28">
                  <c:v>3319.6480000000001</c:v>
                </c:pt>
                <c:pt idx="29">
                  <c:v>3313.9630000000002</c:v>
                </c:pt>
                <c:pt idx="30">
                  <c:v>3289.0590000000002</c:v>
                </c:pt>
                <c:pt idx="31">
                  <c:v>3294.8939999999998</c:v>
                </c:pt>
                <c:pt idx="32">
                  <c:v>3310.7779999999998</c:v>
                </c:pt>
                <c:pt idx="33">
                  <c:v>3334.36</c:v>
                </c:pt>
                <c:pt idx="34">
                  <c:v>3363.0219999999999</c:v>
                </c:pt>
                <c:pt idx="35">
                  <c:v>3393.433</c:v>
                </c:pt>
                <c:pt idx="36">
                  <c:v>3450.0360000000001</c:v>
                </c:pt>
                <c:pt idx="37">
                  <c:v>3512.2910000000002</c:v>
                </c:pt>
                <c:pt idx="38">
                  <c:v>3576.2179999999998</c:v>
                </c:pt>
                <c:pt idx="39">
                  <c:v>3636.951</c:v>
                </c:pt>
                <c:pt idx="40">
                  <c:v>3688.873</c:v>
                </c:pt>
                <c:pt idx="41">
                  <c:v>3760.8939999999998</c:v>
                </c:pt>
                <c:pt idx="42">
                  <c:v>3824.6439999999998</c:v>
                </c:pt>
                <c:pt idx="43">
                  <c:v>3878.5929999999998</c:v>
                </c:pt>
                <c:pt idx="44">
                  <c:v>3921.982</c:v>
                </c:pt>
                <c:pt idx="45">
                  <c:v>3953.567</c:v>
                </c:pt>
                <c:pt idx="46">
                  <c:v>4013.8539999999998</c:v>
                </c:pt>
                <c:pt idx="47">
                  <c:v>4068.9110000000001</c:v>
                </c:pt>
                <c:pt idx="48">
                  <c:v>4111.2669999999998</c:v>
                </c:pt>
                <c:pt idx="49">
                  <c:v>4131.7110000000002</c:v>
                </c:pt>
                <c:pt idx="50">
                  <c:v>4122.433</c:v>
                </c:pt>
                <c:pt idx="51">
                  <c:v>4082.6439999999998</c:v>
                </c:pt>
                <c:pt idx="52">
                  <c:v>4014.1480000000001</c:v>
                </c:pt>
                <c:pt idx="53">
                  <c:v>3936.0889999999999</c:v>
                </c:pt>
                <c:pt idx="54">
                  <c:v>3874.5709999999999</c:v>
                </c:pt>
                <c:pt idx="55">
                  <c:v>3859.3939999999998</c:v>
                </c:pt>
                <c:pt idx="56">
                  <c:v>3915.5659999999998</c:v>
                </c:pt>
                <c:pt idx="57">
                  <c:v>3994.3580000000002</c:v>
                </c:pt>
                <c:pt idx="58">
                  <c:v>4076.6819999999998</c:v>
                </c:pt>
                <c:pt idx="59">
                  <c:v>4136.5720000000001</c:v>
                </c:pt>
                <c:pt idx="60">
                  <c:v>4143.125</c:v>
                </c:pt>
                <c:pt idx="61">
                  <c:v>4162.9849999999997</c:v>
                </c:pt>
                <c:pt idx="62">
                  <c:v>4184.5969999999998</c:v>
                </c:pt>
                <c:pt idx="63">
                  <c:v>4201.8149999999996</c:v>
                </c:pt>
                <c:pt idx="64">
                  <c:v>4206.6930000000002</c:v>
                </c:pt>
                <c:pt idx="65">
                  <c:v>4189.6490000000003</c:v>
                </c:pt>
                <c:pt idx="66">
                  <c:v>4146.0479999999998</c:v>
                </c:pt>
                <c:pt idx="67">
                  <c:v>4082.203</c:v>
                </c:pt>
                <c:pt idx="68">
                  <c:v>4012.3310000000001</c:v>
                </c:pt>
                <c:pt idx="69">
                  <c:v>3955.6439999999998</c:v>
                </c:pt>
                <c:pt idx="70">
                  <c:v>3935.3519999999999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DC-4B80-AD62-48021C2BB957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6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Sheet1!$H$2:$H$72</c:f>
              <c:numCache>
                <c:formatCode>0.000</c:formatCode>
                <c:ptCount val="71"/>
                <c:pt idx="0">
                  <c:v>2870.1419999999998</c:v>
                </c:pt>
                <c:pt idx="1">
                  <c:v>3004.99</c:v>
                </c:pt>
                <c:pt idx="2">
                  <c:v>3153.7370000000001</c:v>
                </c:pt>
                <c:pt idx="3">
                  <c:v>3304.1640000000002</c:v>
                </c:pt>
                <c:pt idx="4">
                  <c:v>3445.4059999999999</c:v>
                </c:pt>
                <c:pt idx="5">
                  <c:v>3566.5059999999999</c:v>
                </c:pt>
                <c:pt idx="6">
                  <c:v>3672.37</c:v>
                </c:pt>
                <c:pt idx="7">
                  <c:v>3751.8910000000001</c:v>
                </c:pt>
                <c:pt idx="8">
                  <c:v>3814.098</c:v>
                </c:pt>
                <c:pt idx="9">
                  <c:v>3866.6210000000001</c:v>
                </c:pt>
                <c:pt idx="10">
                  <c:v>3920.8890000000001</c:v>
                </c:pt>
                <c:pt idx="11">
                  <c:v>3990.1509999999998</c:v>
                </c:pt>
                <c:pt idx="12">
                  <c:v>4064.7089999999998</c:v>
                </c:pt>
                <c:pt idx="13">
                  <c:v>4133.5680000000002</c:v>
                </c:pt>
                <c:pt idx="14">
                  <c:v>4184.4179999999997</c:v>
                </c:pt>
                <c:pt idx="15">
                  <c:v>4201.8869999999997</c:v>
                </c:pt>
                <c:pt idx="16">
                  <c:v>4197.6400000000003</c:v>
                </c:pt>
                <c:pt idx="17">
                  <c:v>4166.2730000000001</c:v>
                </c:pt>
                <c:pt idx="18">
                  <c:v>4114.625</c:v>
                </c:pt>
                <c:pt idx="19">
                  <c:v>4050.8939999999998</c:v>
                </c:pt>
                <c:pt idx="20">
                  <c:v>3986.3519999999999</c:v>
                </c:pt>
                <c:pt idx="21">
                  <c:v>3894.9690000000001</c:v>
                </c:pt>
                <c:pt idx="22">
                  <c:v>3781.4690000000001</c:v>
                </c:pt>
                <c:pt idx="23">
                  <c:v>3659.51</c:v>
                </c:pt>
                <c:pt idx="24">
                  <c:v>3542.1179999999999</c:v>
                </c:pt>
                <c:pt idx="25">
                  <c:v>3445.8919999999998</c:v>
                </c:pt>
                <c:pt idx="26">
                  <c:v>3395.8</c:v>
                </c:pt>
                <c:pt idx="27">
                  <c:v>3367.0459999999998</c:v>
                </c:pt>
                <c:pt idx="28">
                  <c:v>3351.078</c:v>
                </c:pt>
                <c:pt idx="29">
                  <c:v>3338.4070000000002</c:v>
                </c:pt>
                <c:pt idx="30">
                  <c:v>3315.9929999999999</c:v>
                </c:pt>
                <c:pt idx="31">
                  <c:v>3308.98</c:v>
                </c:pt>
                <c:pt idx="32">
                  <c:v>3313.0059999999999</c:v>
                </c:pt>
                <c:pt idx="33">
                  <c:v>3325.6680000000001</c:v>
                </c:pt>
                <c:pt idx="34">
                  <c:v>3345.0390000000002</c:v>
                </c:pt>
                <c:pt idx="35">
                  <c:v>3368.2939999999999</c:v>
                </c:pt>
                <c:pt idx="36">
                  <c:v>3414.6669999999999</c:v>
                </c:pt>
                <c:pt idx="37">
                  <c:v>3469.2049999999999</c:v>
                </c:pt>
                <c:pt idx="38">
                  <c:v>3527.893</c:v>
                </c:pt>
                <c:pt idx="39">
                  <c:v>3586.8090000000002</c:v>
                </c:pt>
                <c:pt idx="40">
                  <c:v>3641.03</c:v>
                </c:pt>
                <c:pt idx="41">
                  <c:v>3714.72</c:v>
                </c:pt>
                <c:pt idx="42">
                  <c:v>3782.136</c:v>
                </c:pt>
                <c:pt idx="43">
                  <c:v>3841.7469999999998</c:v>
                </c:pt>
                <c:pt idx="44">
                  <c:v>3892.44</c:v>
                </c:pt>
                <c:pt idx="45">
                  <c:v>3932.7280000000001</c:v>
                </c:pt>
                <c:pt idx="46">
                  <c:v>3997.951</c:v>
                </c:pt>
                <c:pt idx="47">
                  <c:v>4060.7370000000001</c:v>
                </c:pt>
                <c:pt idx="48">
                  <c:v>4113.915</c:v>
                </c:pt>
                <c:pt idx="49">
                  <c:v>4148.76</c:v>
                </c:pt>
                <c:pt idx="50">
                  <c:v>4157.8410000000003</c:v>
                </c:pt>
                <c:pt idx="51">
                  <c:v>4140.6260000000002</c:v>
                </c:pt>
                <c:pt idx="52">
                  <c:v>4084.5790000000002</c:v>
                </c:pt>
                <c:pt idx="53">
                  <c:v>4008.9430000000002</c:v>
                </c:pt>
                <c:pt idx="54">
                  <c:v>3933.6610000000001</c:v>
                </c:pt>
                <c:pt idx="55">
                  <c:v>3883.92</c:v>
                </c:pt>
                <c:pt idx="56">
                  <c:v>3910.2339999999999</c:v>
                </c:pt>
                <c:pt idx="57">
                  <c:v>3967.8240000000001</c:v>
                </c:pt>
                <c:pt idx="58">
                  <c:v>4038.8069999999998</c:v>
                </c:pt>
                <c:pt idx="59">
                  <c:v>4102.8680000000004</c:v>
                </c:pt>
                <c:pt idx="60">
                  <c:v>4133.6480000000001</c:v>
                </c:pt>
                <c:pt idx="61">
                  <c:v>4149.7359999999999</c:v>
                </c:pt>
                <c:pt idx="62">
                  <c:v>4171.6319999999996</c:v>
                </c:pt>
                <c:pt idx="63">
                  <c:v>4192.7209999999995</c:v>
                </c:pt>
                <c:pt idx="64">
                  <c:v>4207.3190000000004</c:v>
                </c:pt>
                <c:pt idx="65">
                  <c:v>4207.4089999999997</c:v>
                </c:pt>
                <c:pt idx="66">
                  <c:v>4184.9059999999999</c:v>
                </c:pt>
                <c:pt idx="67">
                  <c:v>4134.9219999999996</c:v>
                </c:pt>
                <c:pt idx="68">
                  <c:v>4071.181</c:v>
                </c:pt>
                <c:pt idx="69">
                  <c:v>4008.192</c:v>
                </c:pt>
                <c:pt idx="70">
                  <c:v>3965.5340000000001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DC-4B80-AD62-48021C2BB957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7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Sheet1!$I$2:$I$72</c:f>
              <c:numCache>
                <c:formatCode>0.000</c:formatCode>
                <c:ptCount val="71"/>
                <c:pt idx="0">
                  <c:v>2747.0219999999999</c:v>
                </c:pt>
                <c:pt idx="1">
                  <c:v>2871.652</c:v>
                </c:pt>
                <c:pt idx="2">
                  <c:v>3014.931</c:v>
                </c:pt>
                <c:pt idx="3">
                  <c:v>3165.4940000000001</c:v>
                </c:pt>
                <c:pt idx="4">
                  <c:v>3313.2440000000001</c:v>
                </c:pt>
                <c:pt idx="5">
                  <c:v>3448.9140000000002</c:v>
                </c:pt>
                <c:pt idx="6">
                  <c:v>3574.7730000000001</c:v>
                </c:pt>
                <c:pt idx="7">
                  <c:v>3669.9029999999998</c:v>
                </c:pt>
                <c:pt idx="8">
                  <c:v>3744.2220000000002</c:v>
                </c:pt>
                <c:pt idx="9">
                  <c:v>3806.2860000000001</c:v>
                </c:pt>
                <c:pt idx="10">
                  <c:v>3862.1950000000002</c:v>
                </c:pt>
                <c:pt idx="11">
                  <c:v>3928.4079999999999</c:v>
                </c:pt>
                <c:pt idx="12">
                  <c:v>4005.4259999999999</c:v>
                </c:pt>
                <c:pt idx="13">
                  <c:v>4082.6619999999998</c:v>
                </c:pt>
                <c:pt idx="14">
                  <c:v>4148.2139999999999</c:v>
                </c:pt>
                <c:pt idx="15">
                  <c:v>4190.9269999999997</c:v>
                </c:pt>
                <c:pt idx="16">
                  <c:v>4211.6989999999996</c:v>
                </c:pt>
                <c:pt idx="17">
                  <c:v>4202.6409999999996</c:v>
                </c:pt>
                <c:pt idx="18">
                  <c:v>4169.9949999999999</c:v>
                </c:pt>
                <c:pt idx="19">
                  <c:v>4121.3969999999999</c:v>
                </c:pt>
                <c:pt idx="20">
                  <c:v>4064.96</c:v>
                </c:pt>
                <c:pt idx="21">
                  <c:v>3995.0369999999998</c:v>
                </c:pt>
                <c:pt idx="22">
                  <c:v>3894.6950000000002</c:v>
                </c:pt>
                <c:pt idx="23">
                  <c:v>3777.8339999999998</c:v>
                </c:pt>
                <c:pt idx="24">
                  <c:v>3657.7269999999999</c:v>
                </c:pt>
                <c:pt idx="25">
                  <c:v>3546.0720000000001</c:v>
                </c:pt>
                <c:pt idx="26">
                  <c:v>3476.5369999999998</c:v>
                </c:pt>
                <c:pt idx="27">
                  <c:v>3431.3690000000001</c:v>
                </c:pt>
                <c:pt idx="28">
                  <c:v>3402.3159999999998</c:v>
                </c:pt>
                <c:pt idx="29">
                  <c:v>3380.2049999999999</c:v>
                </c:pt>
                <c:pt idx="30">
                  <c:v>3356.0949999999998</c:v>
                </c:pt>
                <c:pt idx="31">
                  <c:v>3336.2730000000001</c:v>
                </c:pt>
                <c:pt idx="32">
                  <c:v>3328.5189999999998</c:v>
                </c:pt>
                <c:pt idx="33">
                  <c:v>3330.375</c:v>
                </c:pt>
                <c:pt idx="34">
                  <c:v>3339.8609999999999</c:v>
                </c:pt>
                <c:pt idx="35">
                  <c:v>3355.0309999999999</c:v>
                </c:pt>
                <c:pt idx="36">
                  <c:v>3390.0439999999999</c:v>
                </c:pt>
                <c:pt idx="37">
                  <c:v>3435.761</c:v>
                </c:pt>
                <c:pt idx="38">
                  <c:v>3488.13</c:v>
                </c:pt>
                <c:pt idx="39">
                  <c:v>3543.1930000000002</c:v>
                </c:pt>
                <c:pt idx="40">
                  <c:v>3597.2150000000001</c:v>
                </c:pt>
                <c:pt idx="41">
                  <c:v>3671.1260000000002</c:v>
                </c:pt>
                <c:pt idx="42">
                  <c:v>3740.761</c:v>
                </c:pt>
                <c:pt idx="43">
                  <c:v>3804.5810000000001</c:v>
                </c:pt>
                <c:pt idx="44">
                  <c:v>3861.4749999999999</c:v>
                </c:pt>
                <c:pt idx="45">
                  <c:v>3909.5309999999999</c:v>
                </c:pt>
                <c:pt idx="46">
                  <c:v>3978.15</c:v>
                </c:pt>
                <c:pt idx="47">
                  <c:v>4046.9389999999999</c:v>
                </c:pt>
                <c:pt idx="48">
                  <c:v>4109.027</c:v>
                </c:pt>
                <c:pt idx="49">
                  <c:v>4155.9709999999995</c:v>
                </c:pt>
                <c:pt idx="50">
                  <c:v>4180.8389999999999</c:v>
                </c:pt>
                <c:pt idx="51">
                  <c:v>4190.6570000000002</c:v>
                </c:pt>
                <c:pt idx="52">
                  <c:v>4151.4660000000003</c:v>
                </c:pt>
                <c:pt idx="53">
                  <c:v>4082.5889999999999</c:v>
                </c:pt>
                <c:pt idx="54">
                  <c:v>4004.1579999999999</c:v>
                </c:pt>
                <c:pt idx="55">
                  <c:v>3933.5729999999999</c:v>
                </c:pt>
                <c:pt idx="56">
                  <c:v>3929.3939999999998</c:v>
                </c:pt>
                <c:pt idx="57">
                  <c:v>3964.3470000000002</c:v>
                </c:pt>
                <c:pt idx="58">
                  <c:v>4021.7359999999999</c:v>
                </c:pt>
                <c:pt idx="59">
                  <c:v>4082.4949999999999</c:v>
                </c:pt>
                <c:pt idx="60">
                  <c:v>4127.0039999999999</c:v>
                </c:pt>
                <c:pt idx="61">
                  <c:v>4136.6549999999997</c:v>
                </c:pt>
                <c:pt idx="62">
                  <c:v>4156.4880000000003</c:v>
                </c:pt>
                <c:pt idx="63">
                  <c:v>4179.4179999999997</c:v>
                </c:pt>
                <c:pt idx="64">
                  <c:v>4199.2839999999997</c:v>
                </c:pt>
                <c:pt idx="65">
                  <c:v>4211.0119999999997</c:v>
                </c:pt>
                <c:pt idx="66">
                  <c:v>4211.2610000000004</c:v>
                </c:pt>
                <c:pt idx="67">
                  <c:v>4177.1120000000001</c:v>
                </c:pt>
                <c:pt idx="68">
                  <c:v>4121.7979999999998</c:v>
                </c:pt>
                <c:pt idx="69">
                  <c:v>4059.364</c:v>
                </c:pt>
                <c:pt idx="70">
                  <c:v>4003.6260000000002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DC-4B80-AD62-48021C2BB957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8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Sheet1!$J$2:$J$72</c:f>
              <c:numCache>
                <c:formatCode>0.000</c:formatCode>
                <c:ptCount val="71"/>
                <c:pt idx="0">
                  <c:v>2633.8330000000001</c:v>
                </c:pt>
                <c:pt idx="1">
                  <c:v>2746.636</c:v>
                </c:pt>
                <c:pt idx="2">
                  <c:v>2880.009</c:v>
                </c:pt>
                <c:pt idx="3">
                  <c:v>3027.0410000000002</c:v>
                </c:pt>
                <c:pt idx="4">
                  <c:v>3177.1880000000001</c:v>
                </c:pt>
                <c:pt idx="5">
                  <c:v>3321.8679999999999</c:v>
                </c:pt>
                <c:pt idx="6">
                  <c:v>3461.18</c:v>
                </c:pt>
                <c:pt idx="7">
                  <c:v>3579.8589999999999</c:v>
                </c:pt>
                <c:pt idx="8">
                  <c:v>3666.0279999999998</c:v>
                </c:pt>
                <c:pt idx="9">
                  <c:v>3736.73</c:v>
                </c:pt>
                <c:pt idx="10">
                  <c:v>3799.027</c:v>
                </c:pt>
                <c:pt idx="11">
                  <c:v>3864.9810000000002</c:v>
                </c:pt>
                <c:pt idx="12">
                  <c:v>3937.7330000000002</c:v>
                </c:pt>
                <c:pt idx="13">
                  <c:v>4020.9940000000001</c:v>
                </c:pt>
                <c:pt idx="14">
                  <c:v>4098.6480000000001</c:v>
                </c:pt>
                <c:pt idx="15">
                  <c:v>4159.9089999999997</c:v>
                </c:pt>
                <c:pt idx="16">
                  <c:v>4202.2709999999997</c:v>
                </c:pt>
                <c:pt idx="17">
                  <c:v>4218.7659999999996</c:v>
                </c:pt>
                <c:pt idx="18">
                  <c:v>4205.607</c:v>
                </c:pt>
                <c:pt idx="19">
                  <c:v>4173.0050000000001</c:v>
                </c:pt>
                <c:pt idx="20">
                  <c:v>4128.5230000000001</c:v>
                </c:pt>
                <c:pt idx="21">
                  <c:v>4078.4569999999999</c:v>
                </c:pt>
                <c:pt idx="22">
                  <c:v>4001.7890000000002</c:v>
                </c:pt>
                <c:pt idx="23">
                  <c:v>3894.288</c:v>
                </c:pt>
                <c:pt idx="24">
                  <c:v>3775.5929999999998</c:v>
                </c:pt>
                <c:pt idx="25">
                  <c:v>3657.6109999999999</c:v>
                </c:pt>
                <c:pt idx="26">
                  <c:v>3574.4740000000002</c:v>
                </c:pt>
                <c:pt idx="27">
                  <c:v>3509.5160000000001</c:v>
                </c:pt>
                <c:pt idx="28">
                  <c:v>3468.2719999999999</c:v>
                </c:pt>
                <c:pt idx="29">
                  <c:v>3437.386</c:v>
                </c:pt>
                <c:pt idx="30">
                  <c:v>3408.2550000000001</c:v>
                </c:pt>
                <c:pt idx="31">
                  <c:v>3376.76</c:v>
                </c:pt>
                <c:pt idx="32">
                  <c:v>3356.1709999999998</c:v>
                </c:pt>
                <c:pt idx="33">
                  <c:v>3347.3130000000001</c:v>
                </c:pt>
                <c:pt idx="34">
                  <c:v>3347.0450000000001</c:v>
                </c:pt>
                <c:pt idx="35">
                  <c:v>3353.366</c:v>
                </c:pt>
                <c:pt idx="36">
                  <c:v>3377.35</c:v>
                </c:pt>
                <c:pt idx="37">
                  <c:v>3411.6550000000002</c:v>
                </c:pt>
                <c:pt idx="38">
                  <c:v>3456.6129999999998</c:v>
                </c:pt>
                <c:pt idx="39">
                  <c:v>3506.7570000000001</c:v>
                </c:pt>
                <c:pt idx="40">
                  <c:v>3558.3110000000001</c:v>
                </c:pt>
                <c:pt idx="41">
                  <c:v>3630.47</c:v>
                </c:pt>
                <c:pt idx="42">
                  <c:v>3701.4079999999999</c:v>
                </c:pt>
                <c:pt idx="43">
                  <c:v>3767.9879999999998</c:v>
                </c:pt>
                <c:pt idx="44">
                  <c:v>3829.6260000000002</c:v>
                </c:pt>
                <c:pt idx="45">
                  <c:v>3884.431</c:v>
                </c:pt>
                <c:pt idx="46">
                  <c:v>3955.3130000000001</c:v>
                </c:pt>
                <c:pt idx="47">
                  <c:v>4028.1489999999999</c:v>
                </c:pt>
                <c:pt idx="48">
                  <c:v>4097.33</c:v>
                </c:pt>
                <c:pt idx="49">
                  <c:v>4154.3760000000002</c:v>
                </c:pt>
                <c:pt idx="50">
                  <c:v>4192.6000000000004</c:v>
                </c:pt>
                <c:pt idx="51">
                  <c:v>4224.3909999999996</c:v>
                </c:pt>
                <c:pt idx="52">
                  <c:v>4216.0569999999998</c:v>
                </c:pt>
                <c:pt idx="53">
                  <c:v>4158.308</c:v>
                </c:pt>
                <c:pt idx="54">
                  <c:v>4081.0189999999998</c:v>
                </c:pt>
                <c:pt idx="55">
                  <c:v>4001.7570000000001</c:v>
                </c:pt>
                <c:pt idx="56">
                  <c:v>3973.4479999999999</c:v>
                </c:pt>
                <c:pt idx="57">
                  <c:v>3978.163</c:v>
                </c:pt>
                <c:pt idx="58">
                  <c:v>4020.114</c:v>
                </c:pt>
                <c:pt idx="59">
                  <c:v>4074.8989999999999</c:v>
                </c:pt>
                <c:pt idx="60">
                  <c:v>4124.1469999999999</c:v>
                </c:pt>
                <c:pt idx="61">
                  <c:v>4128.6499999999996</c:v>
                </c:pt>
                <c:pt idx="62">
                  <c:v>4139.799</c:v>
                </c:pt>
                <c:pt idx="63">
                  <c:v>4162.3819999999996</c:v>
                </c:pt>
                <c:pt idx="64">
                  <c:v>4185.6480000000001</c:v>
                </c:pt>
                <c:pt idx="65">
                  <c:v>4204.0389999999998</c:v>
                </c:pt>
                <c:pt idx="66">
                  <c:v>4222.1629999999996</c:v>
                </c:pt>
                <c:pt idx="67">
                  <c:v>4212.0540000000001</c:v>
                </c:pt>
                <c:pt idx="68">
                  <c:v>4167.3010000000004</c:v>
                </c:pt>
                <c:pt idx="69">
                  <c:v>4107.8720000000003</c:v>
                </c:pt>
                <c:pt idx="70">
                  <c:v>4047.123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DC-4B80-AD62-48021C2BB957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9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Sheet1!$K$2:$K$72</c:f>
              <c:numCache>
                <c:formatCode>0.000</c:formatCode>
                <c:ptCount val="71"/>
                <c:pt idx="0">
                  <c:v>2531.556</c:v>
                </c:pt>
                <c:pt idx="1">
                  <c:v>2631.7449999999999</c:v>
                </c:pt>
                <c:pt idx="2">
                  <c:v>2752.8049999999998</c:v>
                </c:pt>
                <c:pt idx="3">
                  <c:v>2890.4389999999999</c:v>
                </c:pt>
                <c:pt idx="4">
                  <c:v>3039.0929999999998</c:v>
                </c:pt>
                <c:pt idx="5">
                  <c:v>3188.45</c:v>
                </c:pt>
                <c:pt idx="6">
                  <c:v>3331.22</c:v>
                </c:pt>
                <c:pt idx="7">
                  <c:v>3470.3710000000001</c:v>
                </c:pt>
                <c:pt idx="8">
                  <c:v>3583.5680000000002</c:v>
                </c:pt>
                <c:pt idx="9">
                  <c:v>3662.3240000000001</c:v>
                </c:pt>
                <c:pt idx="10">
                  <c:v>3729.7820000000002</c:v>
                </c:pt>
                <c:pt idx="11">
                  <c:v>3800.7080000000001</c:v>
                </c:pt>
                <c:pt idx="12">
                  <c:v>3869.5410000000002</c:v>
                </c:pt>
                <c:pt idx="13">
                  <c:v>3947.3409999999999</c:v>
                </c:pt>
                <c:pt idx="14">
                  <c:v>4034.625</c:v>
                </c:pt>
                <c:pt idx="15">
                  <c:v>4111.7209999999995</c:v>
                </c:pt>
                <c:pt idx="16">
                  <c:v>4170.4889999999996</c:v>
                </c:pt>
                <c:pt idx="17">
                  <c:v>4210.8779999999997</c:v>
                </c:pt>
                <c:pt idx="18">
                  <c:v>4223.7889999999998</c:v>
                </c:pt>
                <c:pt idx="19">
                  <c:v>4207.8559999999998</c:v>
                </c:pt>
                <c:pt idx="20">
                  <c:v>4176.375</c:v>
                </c:pt>
                <c:pt idx="21">
                  <c:v>4141.5749999999998</c:v>
                </c:pt>
                <c:pt idx="22">
                  <c:v>4089.982</c:v>
                </c:pt>
                <c:pt idx="23">
                  <c:v>4008.3989999999999</c:v>
                </c:pt>
                <c:pt idx="24">
                  <c:v>3895.3139999999999</c:v>
                </c:pt>
                <c:pt idx="25">
                  <c:v>3775.0729999999999</c:v>
                </c:pt>
                <c:pt idx="26">
                  <c:v>3686.5390000000002</c:v>
                </c:pt>
                <c:pt idx="27">
                  <c:v>3605.277</c:v>
                </c:pt>
                <c:pt idx="28">
                  <c:v>3543.86</c:v>
                </c:pt>
                <c:pt idx="29">
                  <c:v>3504.973</c:v>
                </c:pt>
                <c:pt idx="30">
                  <c:v>3471.3629999999998</c:v>
                </c:pt>
                <c:pt idx="31">
                  <c:v>3429.8679999999999</c:v>
                </c:pt>
                <c:pt idx="32">
                  <c:v>3397.0410000000002</c:v>
                </c:pt>
                <c:pt idx="33">
                  <c:v>3375.317</c:v>
                </c:pt>
                <c:pt idx="34">
                  <c:v>3365.4050000000002</c:v>
                </c:pt>
                <c:pt idx="35">
                  <c:v>3363.0250000000001</c:v>
                </c:pt>
                <c:pt idx="36">
                  <c:v>3377.03</c:v>
                </c:pt>
                <c:pt idx="37">
                  <c:v>3399.5309999999999</c:v>
                </c:pt>
                <c:pt idx="38">
                  <c:v>3433.027</c:v>
                </c:pt>
                <c:pt idx="39">
                  <c:v>3477.17</c:v>
                </c:pt>
                <c:pt idx="40">
                  <c:v>3525.2020000000002</c:v>
                </c:pt>
                <c:pt idx="41">
                  <c:v>3593.3710000000001</c:v>
                </c:pt>
                <c:pt idx="42">
                  <c:v>3663.904</c:v>
                </c:pt>
                <c:pt idx="43">
                  <c:v>3732.8589999999999</c:v>
                </c:pt>
                <c:pt idx="44">
                  <c:v>3797.7910000000002</c:v>
                </c:pt>
                <c:pt idx="45">
                  <c:v>3857.8820000000001</c:v>
                </c:pt>
                <c:pt idx="46">
                  <c:v>3930.1480000000001</c:v>
                </c:pt>
                <c:pt idx="47">
                  <c:v>4005.6469999999999</c:v>
                </c:pt>
                <c:pt idx="48">
                  <c:v>4079.549</c:v>
                </c:pt>
                <c:pt idx="49">
                  <c:v>4144.79</c:v>
                </c:pt>
                <c:pt idx="50">
                  <c:v>4194.2969999999996</c:v>
                </c:pt>
                <c:pt idx="51">
                  <c:v>4238.2629999999999</c:v>
                </c:pt>
                <c:pt idx="52">
                  <c:v>4260.4880000000003</c:v>
                </c:pt>
                <c:pt idx="53">
                  <c:v>4237.3850000000002</c:v>
                </c:pt>
                <c:pt idx="54">
                  <c:v>4165.5649999999996</c:v>
                </c:pt>
                <c:pt idx="55">
                  <c:v>4081.8780000000002</c:v>
                </c:pt>
                <c:pt idx="56">
                  <c:v>4039.502</c:v>
                </c:pt>
                <c:pt idx="57">
                  <c:v>4016.6570000000002</c:v>
                </c:pt>
                <c:pt idx="58">
                  <c:v>4028.5859999999998</c:v>
                </c:pt>
                <c:pt idx="59">
                  <c:v>4075.1329999999998</c:v>
                </c:pt>
                <c:pt idx="60">
                  <c:v>4126.0280000000002</c:v>
                </c:pt>
                <c:pt idx="61">
                  <c:v>4128.5749999999998</c:v>
                </c:pt>
                <c:pt idx="62">
                  <c:v>4130.4319999999998</c:v>
                </c:pt>
                <c:pt idx="63">
                  <c:v>4142.0870000000004</c:v>
                </c:pt>
                <c:pt idx="64">
                  <c:v>4166.7259999999997</c:v>
                </c:pt>
                <c:pt idx="65">
                  <c:v>4190.076</c:v>
                </c:pt>
                <c:pt idx="66">
                  <c:v>4217.8540000000003</c:v>
                </c:pt>
                <c:pt idx="67">
                  <c:v>4230.2569999999996</c:v>
                </c:pt>
                <c:pt idx="68">
                  <c:v>4210.8119999999999</c:v>
                </c:pt>
                <c:pt idx="69">
                  <c:v>4156.6769999999997</c:v>
                </c:pt>
                <c:pt idx="70">
                  <c:v>4093.5169999999998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9DC-4B80-AD62-48021C2BB957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10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Sheet1!$L$2:$L$72</c:f>
              <c:numCache>
                <c:formatCode>0.000</c:formatCode>
                <c:ptCount val="71"/>
                <c:pt idx="0">
                  <c:v>2439.4470000000001</c:v>
                </c:pt>
                <c:pt idx="1">
                  <c:v>2527.77</c:v>
                </c:pt>
                <c:pt idx="2">
                  <c:v>2635.9409999999998</c:v>
                </c:pt>
                <c:pt idx="3">
                  <c:v>2760.9520000000002</c:v>
                </c:pt>
                <c:pt idx="4">
                  <c:v>2900.8110000000001</c:v>
                </c:pt>
                <c:pt idx="5">
                  <c:v>3050.732</c:v>
                </c:pt>
                <c:pt idx="6">
                  <c:v>3190.82</c:v>
                </c:pt>
                <c:pt idx="7">
                  <c:v>3337.6109999999999</c:v>
                </c:pt>
                <c:pt idx="8">
                  <c:v>3478.2249999999999</c:v>
                </c:pt>
                <c:pt idx="9">
                  <c:v>3587.44</c:v>
                </c:pt>
                <c:pt idx="10">
                  <c:v>3659.1529999999998</c:v>
                </c:pt>
                <c:pt idx="11">
                  <c:v>3732.5720000000001</c:v>
                </c:pt>
                <c:pt idx="12">
                  <c:v>3804.1350000000002</c:v>
                </c:pt>
                <c:pt idx="13">
                  <c:v>3874.377</c:v>
                </c:pt>
                <c:pt idx="14">
                  <c:v>3955.0430000000001</c:v>
                </c:pt>
                <c:pt idx="15">
                  <c:v>4045.3879999999999</c:v>
                </c:pt>
                <c:pt idx="16">
                  <c:v>4120.1019999999999</c:v>
                </c:pt>
                <c:pt idx="17">
                  <c:v>4178.3519999999999</c:v>
                </c:pt>
                <c:pt idx="18">
                  <c:v>4217.4449999999997</c:v>
                </c:pt>
                <c:pt idx="19">
                  <c:v>4228.0929999999998</c:v>
                </c:pt>
                <c:pt idx="20">
                  <c:v>4210.4690000000001</c:v>
                </c:pt>
                <c:pt idx="21">
                  <c:v>4185.83</c:v>
                </c:pt>
                <c:pt idx="22">
                  <c:v>4152.625</c:v>
                </c:pt>
                <c:pt idx="23">
                  <c:v>4101.3580000000002</c:v>
                </c:pt>
                <c:pt idx="24">
                  <c:v>4016.4830000000002</c:v>
                </c:pt>
                <c:pt idx="25">
                  <c:v>3898.1170000000002</c:v>
                </c:pt>
                <c:pt idx="26">
                  <c:v>3805.9180000000001</c:v>
                </c:pt>
                <c:pt idx="27">
                  <c:v>3717.944</c:v>
                </c:pt>
                <c:pt idx="28">
                  <c:v>3637.482</c:v>
                </c:pt>
                <c:pt idx="29">
                  <c:v>3577.9949999999999</c:v>
                </c:pt>
                <c:pt idx="30">
                  <c:v>3540.5630000000001</c:v>
                </c:pt>
                <c:pt idx="31">
                  <c:v>3494.098</c:v>
                </c:pt>
                <c:pt idx="32">
                  <c:v>3451.096</c:v>
                </c:pt>
                <c:pt idx="33">
                  <c:v>3416.56</c:v>
                </c:pt>
                <c:pt idx="34">
                  <c:v>3393.7530000000002</c:v>
                </c:pt>
                <c:pt idx="35">
                  <c:v>3382.8009999999999</c:v>
                </c:pt>
                <c:pt idx="36">
                  <c:v>3388.306</c:v>
                </c:pt>
                <c:pt idx="37">
                  <c:v>3400.556</c:v>
                </c:pt>
                <c:pt idx="38">
                  <c:v>3421.4720000000002</c:v>
                </c:pt>
                <c:pt idx="39">
                  <c:v>3454.105</c:v>
                </c:pt>
                <c:pt idx="40">
                  <c:v>3497.5479999999998</c:v>
                </c:pt>
                <c:pt idx="41">
                  <c:v>3560.895</c:v>
                </c:pt>
                <c:pt idx="42">
                  <c:v>3628.607</c:v>
                </c:pt>
                <c:pt idx="43">
                  <c:v>3698.4929999999999</c:v>
                </c:pt>
                <c:pt idx="44">
                  <c:v>3766.8620000000001</c:v>
                </c:pt>
                <c:pt idx="45">
                  <c:v>3830.7849999999999</c:v>
                </c:pt>
                <c:pt idx="46">
                  <c:v>3903.0920000000001</c:v>
                </c:pt>
                <c:pt idx="47">
                  <c:v>3980.3879999999999</c:v>
                </c:pt>
                <c:pt idx="48">
                  <c:v>4057.375</c:v>
                </c:pt>
                <c:pt idx="49">
                  <c:v>4128.0330000000004</c:v>
                </c:pt>
                <c:pt idx="50">
                  <c:v>4186.835</c:v>
                </c:pt>
                <c:pt idx="51">
                  <c:v>4236.67</c:v>
                </c:pt>
                <c:pt idx="52">
                  <c:v>4276.451</c:v>
                </c:pt>
                <c:pt idx="53">
                  <c:v>4292.4610000000002</c:v>
                </c:pt>
                <c:pt idx="54">
                  <c:v>4259.1120000000001</c:v>
                </c:pt>
                <c:pt idx="55">
                  <c:v>4175.2910000000002</c:v>
                </c:pt>
                <c:pt idx="56">
                  <c:v>4119.192</c:v>
                </c:pt>
                <c:pt idx="57">
                  <c:v>4080.6410000000001</c:v>
                </c:pt>
                <c:pt idx="58">
                  <c:v>4061.5340000000001</c:v>
                </c:pt>
                <c:pt idx="59">
                  <c:v>4078.2550000000001</c:v>
                </c:pt>
                <c:pt idx="60">
                  <c:v>4128.12</c:v>
                </c:pt>
                <c:pt idx="61">
                  <c:v>4135.8500000000004</c:v>
                </c:pt>
                <c:pt idx="62">
                  <c:v>4133.1409999999996</c:v>
                </c:pt>
                <c:pt idx="63">
                  <c:v>4131.3599999999997</c:v>
                </c:pt>
                <c:pt idx="64">
                  <c:v>4142.8329999999996</c:v>
                </c:pt>
                <c:pt idx="65">
                  <c:v>4169.2780000000002</c:v>
                </c:pt>
                <c:pt idx="66">
                  <c:v>4203.8909999999996</c:v>
                </c:pt>
                <c:pt idx="67">
                  <c:v>4228.6180000000004</c:v>
                </c:pt>
                <c:pt idx="68">
                  <c:v>4236.3069999999998</c:v>
                </c:pt>
                <c:pt idx="69">
                  <c:v>4208.7420000000002</c:v>
                </c:pt>
                <c:pt idx="70">
                  <c:v>4145.6149999999998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DC-4B80-AD62-48021C2BB957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11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Sheet1!$M$2:$M$72</c:f>
              <c:numCache>
                <c:formatCode>0.000</c:formatCode>
                <c:ptCount val="71"/>
                <c:pt idx="0">
                  <c:v>2356.7649999999999</c:v>
                </c:pt>
                <c:pt idx="1">
                  <c:v>2433.0320000000002</c:v>
                </c:pt>
                <c:pt idx="2">
                  <c:v>2530.0250000000001</c:v>
                </c:pt>
                <c:pt idx="3">
                  <c:v>2642.029</c:v>
                </c:pt>
                <c:pt idx="4">
                  <c:v>2769.04</c:v>
                </c:pt>
                <c:pt idx="5">
                  <c:v>2910.788</c:v>
                </c:pt>
                <c:pt idx="6">
                  <c:v>3048.1570000000002</c:v>
                </c:pt>
                <c:pt idx="7">
                  <c:v>3190.346</c:v>
                </c:pt>
                <c:pt idx="8">
                  <c:v>3342.7170000000001</c:v>
                </c:pt>
                <c:pt idx="9">
                  <c:v>3486.2339999999999</c:v>
                </c:pt>
                <c:pt idx="10">
                  <c:v>3591.828</c:v>
                </c:pt>
                <c:pt idx="11">
                  <c:v>3661.317</c:v>
                </c:pt>
                <c:pt idx="12">
                  <c:v>3737.0749999999998</c:v>
                </c:pt>
                <c:pt idx="13">
                  <c:v>3807.8310000000001</c:v>
                </c:pt>
                <c:pt idx="14">
                  <c:v>3877.3409999999999</c:v>
                </c:pt>
                <c:pt idx="15">
                  <c:v>3959.94</c:v>
                </c:pt>
                <c:pt idx="16">
                  <c:v>4053.239</c:v>
                </c:pt>
                <c:pt idx="17">
                  <c:v>4125.7969999999996</c:v>
                </c:pt>
                <c:pt idx="18">
                  <c:v>4184.1909999999998</c:v>
                </c:pt>
                <c:pt idx="19">
                  <c:v>4223.2920000000004</c:v>
                </c:pt>
                <c:pt idx="20">
                  <c:v>4232.759</c:v>
                </c:pt>
                <c:pt idx="21">
                  <c:v>4218.3580000000002</c:v>
                </c:pt>
                <c:pt idx="22">
                  <c:v>4193.2610000000004</c:v>
                </c:pt>
                <c:pt idx="23">
                  <c:v>4163.5240000000003</c:v>
                </c:pt>
                <c:pt idx="24">
                  <c:v>4114.24</c:v>
                </c:pt>
                <c:pt idx="25">
                  <c:v>4026.402</c:v>
                </c:pt>
                <c:pt idx="26">
                  <c:v>3928.663</c:v>
                </c:pt>
                <c:pt idx="27">
                  <c:v>3839.319</c:v>
                </c:pt>
                <c:pt idx="28">
                  <c:v>3750.7939999999999</c:v>
                </c:pt>
                <c:pt idx="29">
                  <c:v>3669.47</c:v>
                </c:pt>
                <c:pt idx="30">
                  <c:v>3610.9949999999999</c:v>
                </c:pt>
                <c:pt idx="31">
                  <c:v>3563.8789999999999</c:v>
                </c:pt>
                <c:pt idx="32">
                  <c:v>3516.442</c:v>
                </c:pt>
                <c:pt idx="33">
                  <c:v>3471.55</c:v>
                </c:pt>
                <c:pt idx="34">
                  <c:v>3435.3609999999999</c:v>
                </c:pt>
                <c:pt idx="35">
                  <c:v>3411.489</c:v>
                </c:pt>
                <c:pt idx="36">
                  <c:v>3408.8270000000002</c:v>
                </c:pt>
                <c:pt idx="37">
                  <c:v>3413.4470000000001</c:v>
                </c:pt>
                <c:pt idx="38">
                  <c:v>3423.8429999999998</c:v>
                </c:pt>
                <c:pt idx="39">
                  <c:v>3443.1210000000001</c:v>
                </c:pt>
                <c:pt idx="40">
                  <c:v>3475.0039999999999</c:v>
                </c:pt>
                <c:pt idx="41">
                  <c:v>3533.4949999999999</c:v>
                </c:pt>
                <c:pt idx="42">
                  <c:v>3596.76</c:v>
                </c:pt>
                <c:pt idx="43">
                  <c:v>3664.9830000000002</c:v>
                </c:pt>
                <c:pt idx="44">
                  <c:v>3735.61</c:v>
                </c:pt>
                <c:pt idx="45">
                  <c:v>3804.038</c:v>
                </c:pt>
                <c:pt idx="46">
                  <c:v>3874.998</c:v>
                </c:pt>
                <c:pt idx="47">
                  <c:v>3952.7939999999999</c:v>
                </c:pt>
                <c:pt idx="48">
                  <c:v>4032.0129999999999</c:v>
                </c:pt>
                <c:pt idx="49">
                  <c:v>4106.2030000000004</c:v>
                </c:pt>
                <c:pt idx="50">
                  <c:v>4171.1210000000001</c:v>
                </c:pt>
                <c:pt idx="51">
                  <c:v>4228.53</c:v>
                </c:pt>
                <c:pt idx="52">
                  <c:v>4271.5640000000003</c:v>
                </c:pt>
                <c:pt idx="53">
                  <c:v>4310.4979999999996</c:v>
                </c:pt>
                <c:pt idx="54">
                  <c:v>4324.8209999999999</c:v>
                </c:pt>
                <c:pt idx="55">
                  <c:v>4283.3490000000002</c:v>
                </c:pt>
                <c:pt idx="56">
                  <c:v>4208.5190000000002</c:v>
                </c:pt>
                <c:pt idx="57">
                  <c:v>4159.9660000000003</c:v>
                </c:pt>
                <c:pt idx="58">
                  <c:v>4123.4709999999995</c:v>
                </c:pt>
                <c:pt idx="59">
                  <c:v>4105.6450000000004</c:v>
                </c:pt>
                <c:pt idx="60">
                  <c:v>4125.8900000000003</c:v>
                </c:pt>
                <c:pt idx="61">
                  <c:v>4142.3879999999999</c:v>
                </c:pt>
                <c:pt idx="62">
                  <c:v>4145.8140000000003</c:v>
                </c:pt>
                <c:pt idx="63">
                  <c:v>4136.8540000000003</c:v>
                </c:pt>
                <c:pt idx="64">
                  <c:v>4130.75</c:v>
                </c:pt>
                <c:pt idx="65">
                  <c:v>4141.8</c:v>
                </c:pt>
                <c:pt idx="66">
                  <c:v>4185.6210000000001</c:v>
                </c:pt>
                <c:pt idx="67">
                  <c:v>4214.6660000000002</c:v>
                </c:pt>
                <c:pt idx="68">
                  <c:v>4237.3379999999997</c:v>
                </c:pt>
                <c:pt idx="69">
                  <c:v>4241.5200000000004</c:v>
                </c:pt>
                <c:pt idx="70">
                  <c:v>4206.2209999999995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9DC-4B80-AD62-48021C2BB957}"/>
            </c:ext>
          </c:extLst>
        </c:ser>
        <c:ser>
          <c:idx val="12"/>
          <c:order val="12"/>
          <c:tx>
            <c:strRef>
              <c:f>Sheet1!$N$1</c:f>
              <c:strCache>
                <c:ptCount val="1"/>
                <c:pt idx="0">
                  <c:v>12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Sheet1!$N$2:$N$72</c:f>
              <c:numCache>
                <c:formatCode>0.000</c:formatCode>
                <c:ptCount val="71"/>
                <c:pt idx="0">
                  <c:v>2293.0970000000002</c:v>
                </c:pt>
                <c:pt idx="1">
                  <c:v>2347.058</c:v>
                </c:pt>
                <c:pt idx="2">
                  <c:v>2432.4360000000001</c:v>
                </c:pt>
                <c:pt idx="3">
                  <c:v>2534.0920000000001</c:v>
                </c:pt>
                <c:pt idx="4">
                  <c:v>2648.058</c:v>
                </c:pt>
                <c:pt idx="5">
                  <c:v>2776.75</c:v>
                </c:pt>
                <c:pt idx="6">
                  <c:v>2903.855</c:v>
                </c:pt>
                <c:pt idx="7">
                  <c:v>3042.8620000000001</c:v>
                </c:pt>
                <c:pt idx="8">
                  <c:v>3188.6469999999999</c:v>
                </c:pt>
                <c:pt idx="9">
                  <c:v>3347.973</c:v>
                </c:pt>
                <c:pt idx="10">
                  <c:v>3494.7429999999999</c:v>
                </c:pt>
                <c:pt idx="11">
                  <c:v>3592.326</c:v>
                </c:pt>
                <c:pt idx="12">
                  <c:v>3665.165</c:v>
                </c:pt>
                <c:pt idx="13">
                  <c:v>3741.8429999999998</c:v>
                </c:pt>
                <c:pt idx="14">
                  <c:v>3809.6860000000001</c:v>
                </c:pt>
                <c:pt idx="15">
                  <c:v>3877.5569999999998</c:v>
                </c:pt>
                <c:pt idx="16">
                  <c:v>3968.8879999999999</c:v>
                </c:pt>
                <c:pt idx="17">
                  <c:v>4058.4470000000001</c:v>
                </c:pt>
                <c:pt idx="18">
                  <c:v>4129.4939999999997</c:v>
                </c:pt>
                <c:pt idx="19">
                  <c:v>4189.3149999999996</c:v>
                </c:pt>
                <c:pt idx="20">
                  <c:v>4229.5010000000002</c:v>
                </c:pt>
                <c:pt idx="21">
                  <c:v>4240.1819999999998</c:v>
                </c:pt>
                <c:pt idx="22">
                  <c:v>4224.2089999999998</c:v>
                </c:pt>
                <c:pt idx="23">
                  <c:v>4200.5429999999997</c:v>
                </c:pt>
                <c:pt idx="24">
                  <c:v>4175.9539999999997</c:v>
                </c:pt>
                <c:pt idx="25">
                  <c:v>4129.0050000000001</c:v>
                </c:pt>
                <c:pt idx="26">
                  <c:v>4055.3249999999998</c:v>
                </c:pt>
                <c:pt idx="27">
                  <c:v>3961.8490000000002</c:v>
                </c:pt>
                <c:pt idx="28">
                  <c:v>3874.2130000000002</c:v>
                </c:pt>
                <c:pt idx="29">
                  <c:v>3783.4209999999998</c:v>
                </c:pt>
                <c:pt idx="30">
                  <c:v>3700.2939999999999</c:v>
                </c:pt>
                <c:pt idx="31">
                  <c:v>3634.7539999999999</c:v>
                </c:pt>
                <c:pt idx="32">
                  <c:v>3586.8</c:v>
                </c:pt>
                <c:pt idx="33">
                  <c:v>3538.002</c:v>
                </c:pt>
                <c:pt idx="34">
                  <c:v>3491.2739999999999</c:v>
                </c:pt>
                <c:pt idx="35">
                  <c:v>3453.453</c:v>
                </c:pt>
                <c:pt idx="36">
                  <c:v>3437.7190000000001</c:v>
                </c:pt>
                <c:pt idx="37">
                  <c:v>3434.7139999999999</c:v>
                </c:pt>
                <c:pt idx="38">
                  <c:v>3438.3490000000002</c:v>
                </c:pt>
                <c:pt idx="39">
                  <c:v>3446.8359999999998</c:v>
                </c:pt>
                <c:pt idx="40">
                  <c:v>3464.5920000000001</c:v>
                </c:pt>
                <c:pt idx="41">
                  <c:v>3511.0949999999998</c:v>
                </c:pt>
                <c:pt idx="42">
                  <c:v>3569.614</c:v>
                </c:pt>
                <c:pt idx="43">
                  <c:v>3633.7550000000001</c:v>
                </c:pt>
                <c:pt idx="44">
                  <c:v>3703.8670000000002</c:v>
                </c:pt>
                <c:pt idx="45">
                  <c:v>3775.8789999999999</c:v>
                </c:pt>
                <c:pt idx="46">
                  <c:v>3847.0410000000002</c:v>
                </c:pt>
                <c:pt idx="47">
                  <c:v>3923.672</c:v>
                </c:pt>
                <c:pt idx="48">
                  <c:v>4003.8710000000001</c:v>
                </c:pt>
                <c:pt idx="49">
                  <c:v>4080.7579999999998</c:v>
                </c:pt>
                <c:pt idx="50">
                  <c:v>4149.6620000000003</c:v>
                </c:pt>
                <c:pt idx="51">
                  <c:v>4213.2070000000003</c:v>
                </c:pt>
                <c:pt idx="52">
                  <c:v>4262.76</c:v>
                </c:pt>
                <c:pt idx="53">
                  <c:v>4302.3249999999998</c:v>
                </c:pt>
                <c:pt idx="54">
                  <c:v>4344.9290000000001</c:v>
                </c:pt>
                <c:pt idx="55">
                  <c:v>4359.7169999999996</c:v>
                </c:pt>
                <c:pt idx="56">
                  <c:v>4310.0640000000003</c:v>
                </c:pt>
                <c:pt idx="57">
                  <c:v>4245.2860000000001</c:v>
                </c:pt>
                <c:pt idx="58">
                  <c:v>4202.4639999999999</c:v>
                </c:pt>
                <c:pt idx="59">
                  <c:v>4165.5219999999999</c:v>
                </c:pt>
                <c:pt idx="60">
                  <c:v>4147.7089999999998</c:v>
                </c:pt>
                <c:pt idx="61">
                  <c:v>4144.2150000000001</c:v>
                </c:pt>
                <c:pt idx="62">
                  <c:v>4156.8019999999997</c:v>
                </c:pt>
                <c:pt idx="63">
                  <c:v>4154.924</c:v>
                </c:pt>
                <c:pt idx="64">
                  <c:v>4139.027</c:v>
                </c:pt>
                <c:pt idx="65">
                  <c:v>4128.3680000000004</c:v>
                </c:pt>
                <c:pt idx="66">
                  <c:v>4162.0050000000001</c:v>
                </c:pt>
                <c:pt idx="67">
                  <c:v>4198.9380000000001</c:v>
                </c:pt>
                <c:pt idx="68">
                  <c:v>4223.4040000000005</c:v>
                </c:pt>
                <c:pt idx="69">
                  <c:v>4245.22</c:v>
                </c:pt>
                <c:pt idx="70">
                  <c:v>4246.2709999999997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9DC-4B80-AD62-48021C2BB957}"/>
            </c:ext>
          </c:extLst>
        </c:ser>
        <c:ser>
          <c:idx val="13"/>
          <c:order val="13"/>
          <c:tx>
            <c:strRef>
              <c:f>Sheet1!$O$1</c:f>
              <c:strCache>
                <c:ptCount val="1"/>
                <c:pt idx="0">
                  <c:v>13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Sheet1!$O$2:$O$72</c:f>
              <c:numCache>
                <c:formatCode>0.000</c:formatCode>
                <c:ptCount val="71"/>
                <c:pt idx="0">
                  <c:v>2252.8690000000001</c:v>
                </c:pt>
                <c:pt idx="1">
                  <c:v>2280.585</c:v>
                </c:pt>
                <c:pt idx="2">
                  <c:v>2342.9720000000002</c:v>
                </c:pt>
                <c:pt idx="3">
                  <c:v>2433.5790000000002</c:v>
                </c:pt>
                <c:pt idx="4">
                  <c:v>2538.1</c:v>
                </c:pt>
                <c:pt idx="5">
                  <c:v>2653.721</c:v>
                </c:pt>
                <c:pt idx="6">
                  <c:v>2767.69</c:v>
                </c:pt>
                <c:pt idx="7">
                  <c:v>2894.3270000000002</c:v>
                </c:pt>
                <c:pt idx="8">
                  <c:v>3036.3980000000001</c:v>
                </c:pt>
                <c:pt idx="9">
                  <c:v>3187.096</c:v>
                </c:pt>
                <c:pt idx="10">
                  <c:v>3353.7109999999998</c:v>
                </c:pt>
                <c:pt idx="11">
                  <c:v>3494.4789999999998</c:v>
                </c:pt>
                <c:pt idx="12">
                  <c:v>3594.473</c:v>
                </c:pt>
                <c:pt idx="13">
                  <c:v>3669.27</c:v>
                </c:pt>
                <c:pt idx="14">
                  <c:v>3744.8029999999999</c:v>
                </c:pt>
                <c:pt idx="15">
                  <c:v>3808.8440000000001</c:v>
                </c:pt>
                <c:pt idx="16">
                  <c:v>3885.183</c:v>
                </c:pt>
                <c:pt idx="17">
                  <c:v>3975.2489999999998</c:v>
                </c:pt>
                <c:pt idx="18">
                  <c:v>4061.6889999999999</c:v>
                </c:pt>
                <c:pt idx="19">
                  <c:v>4132.4870000000001</c:v>
                </c:pt>
                <c:pt idx="20">
                  <c:v>4194.7979999999998</c:v>
                </c:pt>
                <c:pt idx="21">
                  <c:v>4236.4880000000003</c:v>
                </c:pt>
                <c:pt idx="22">
                  <c:v>4245.5540000000001</c:v>
                </c:pt>
                <c:pt idx="23">
                  <c:v>4229.9089999999997</c:v>
                </c:pt>
                <c:pt idx="24">
                  <c:v>4209.37</c:v>
                </c:pt>
                <c:pt idx="25">
                  <c:v>4190.2929999999997</c:v>
                </c:pt>
                <c:pt idx="26">
                  <c:v>4155.7430000000004</c:v>
                </c:pt>
                <c:pt idx="27">
                  <c:v>4086.9740000000002</c:v>
                </c:pt>
                <c:pt idx="28">
                  <c:v>3996.576</c:v>
                </c:pt>
                <c:pt idx="29">
                  <c:v>3908.877</c:v>
                </c:pt>
                <c:pt idx="30">
                  <c:v>3814.8490000000002</c:v>
                </c:pt>
                <c:pt idx="31">
                  <c:v>3723.348</c:v>
                </c:pt>
                <c:pt idx="32">
                  <c:v>3658.1129999999998</c:v>
                </c:pt>
                <c:pt idx="33">
                  <c:v>3608.922</c:v>
                </c:pt>
                <c:pt idx="34">
                  <c:v>3558.8159999999998</c:v>
                </c:pt>
                <c:pt idx="35">
                  <c:v>3510.2739999999999</c:v>
                </c:pt>
                <c:pt idx="36">
                  <c:v>3479.0909999999999</c:v>
                </c:pt>
                <c:pt idx="37">
                  <c:v>3463.808</c:v>
                </c:pt>
                <c:pt idx="38">
                  <c:v>3460.357</c:v>
                </c:pt>
                <c:pt idx="39">
                  <c:v>3462.9560000000001</c:v>
                </c:pt>
                <c:pt idx="40">
                  <c:v>3469.652</c:v>
                </c:pt>
                <c:pt idx="41">
                  <c:v>3498.8719999999998</c:v>
                </c:pt>
                <c:pt idx="42">
                  <c:v>3547.3560000000002</c:v>
                </c:pt>
                <c:pt idx="43">
                  <c:v>3606.8530000000001</c:v>
                </c:pt>
                <c:pt idx="44">
                  <c:v>3673.2359999999999</c:v>
                </c:pt>
                <c:pt idx="45">
                  <c:v>3745.8780000000002</c:v>
                </c:pt>
                <c:pt idx="46">
                  <c:v>3816.9450000000002</c:v>
                </c:pt>
                <c:pt idx="47">
                  <c:v>3894.471</c:v>
                </c:pt>
                <c:pt idx="48">
                  <c:v>3973.71</c:v>
                </c:pt>
                <c:pt idx="49">
                  <c:v>4052.087</c:v>
                </c:pt>
                <c:pt idx="50">
                  <c:v>4124.1670000000004</c:v>
                </c:pt>
                <c:pt idx="51">
                  <c:v>4191.5950000000003</c:v>
                </c:pt>
                <c:pt idx="52">
                  <c:v>4247.8549999999996</c:v>
                </c:pt>
                <c:pt idx="53">
                  <c:v>4292.8639999999996</c:v>
                </c:pt>
                <c:pt idx="54">
                  <c:v>4333.4740000000002</c:v>
                </c:pt>
                <c:pt idx="55">
                  <c:v>4381.9080000000004</c:v>
                </c:pt>
                <c:pt idx="56">
                  <c:v>4380.4449999999997</c:v>
                </c:pt>
                <c:pt idx="57">
                  <c:v>4340.4059999999999</c:v>
                </c:pt>
                <c:pt idx="58">
                  <c:v>4283.8090000000002</c:v>
                </c:pt>
                <c:pt idx="59">
                  <c:v>4244.1679999999997</c:v>
                </c:pt>
                <c:pt idx="60">
                  <c:v>4205.4960000000001</c:v>
                </c:pt>
                <c:pt idx="61">
                  <c:v>4170.0749999999998</c:v>
                </c:pt>
                <c:pt idx="62">
                  <c:v>4162.6890000000003</c:v>
                </c:pt>
                <c:pt idx="63">
                  <c:v>4170.3620000000001</c:v>
                </c:pt>
                <c:pt idx="64">
                  <c:v>4162.4880000000003</c:v>
                </c:pt>
                <c:pt idx="65">
                  <c:v>4139.42</c:v>
                </c:pt>
                <c:pt idx="66">
                  <c:v>4152.4319999999998</c:v>
                </c:pt>
                <c:pt idx="67">
                  <c:v>4179.2079999999996</c:v>
                </c:pt>
                <c:pt idx="68">
                  <c:v>4210.2280000000001</c:v>
                </c:pt>
                <c:pt idx="69">
                  <c:v>4231.3059999999996</c:v>
                </c:pt>
                <c:pt idx="70">
                  <c:v>4252.6360000000004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9DC-4B80-AD62-48021C2BB957}"/>
            </c:ext>
          </c:extLst>
        </c:ser>
        <c:ser>
          <c:idx val="14"/>
          <c:order val="14"/>
          <c:tx>
            <c:strRef>
              <c:f>Sheet1!$P$1</c:f>
              <c:strCache>
                <c:ptCount val="1"/>
                <c:pt idx="0">
                  <c:v>14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Sheet1!$P$2:$P$72</c:f>
              <c:numCache>
                <c:formatCode>0.000</c:formatCode>
                <c:ptCount val="71"/>
                <c:pt idx="0">
                  <c:v>2231.893</c:v>
                </c:pt>
                <c:pt idx="1">
                  <c:v>2238.5430000000001</c:v>
                </c:pt>
                <c:pt idx="2">
                  <c:v>2273.5390000000002</c:v>
                </c:pt>
                <c:pt idx="3">
                  <c:v>2340.5569999999998</c:v>
                </c:pt>
                <c:pt idx="4">
                  <c:v>2434.66</c:v>
                </c:pt>
                <c:pt idx="5">
                  <c:v>2541.7539999999999</c:v>
                </c:pt>
                <c:pt idx="6">
                  <c:v>2646.1219999999998</c:v>
                </c:pt>
                <c:pt idx="7">
                  <c:v>2756.154</c:v>
                </c:pt>
                <c:pt idx="8">
                  <c:v>2883.69</c:v>
                </c:pt>
                <c:pt idx="9">
                  <c:v>3030.08</c:v>
                </c:pt>
                <c:pt idx="10">
                  <c:v>3186.0059999999999</c:v>
                </c:pt>
                <c:pt idx="11">
                  <c:v>3354.1370000000002</c:v>
                </c:pt>
                <c:pt idx="12">
                  <c:v>3495.819</c:v>
                </c:pt>
                <c:pt idx="13">
                  <c:v>3596.873</c:v>
                </c:pt>
                <c:pt idx="14">
                  <c:v>3671.6030000000001</c:v>
                </c:pt>
                <c:pt idx="15">
                  <c:v>3745.1109999999999</c:v>
                </c:pt>
                <c:pt idx="16">
                  <c:v>3811.2060000000001</c:v>
                </c:pt>
                <c:pt idx="17">
                  <c:v>3890.2739999999999</c:v>
                </c:pt>
                <c:pt idx="18">
                  <c:v>3979.6849999999999</c:v>
                </c:pt>
                <c:pt idx="19">
                  <c:v>4064.24</c:v>
                </c:pt>
                <c:pt idx="20">
                  <c:v>4135.8370000000004</c:v>
                </c:pt>
                <c:pt idx="21">
                  <c:v>4201.402</c:v>
                </c:pt>
                <c:pt idx="22">
                  <c:v>4241.4260000000004</c:v>
                </c:pt>
                <c:pt idx="23">
                  <c:v>4250.7759999999998</c:v>
                </c:pt>
                <c:pt idx="24">
                  <c:v>4237.165</c:v>
                </c:pt>
                <c:pt idx="25">
                  <c:v>4220.12</c:v>
                </c:pt>
                <c:pt idx="26">
                  <c:v>4214.3649999999998</c:v>
                </c:pt>
                <c:pt idx="27">
                  <c:v>4185.2780000000002</c:v>
                </c:pt>
                <c:pt idx="28">
                  <c:v>4120.2110000000002</c:v>
                </c:pt>
                <c:pt idx="29">
                  <c:v>4031.0650000000001</c:v>
                </c:pt>
                <c:pt idx="30">
                  <c:v>3942.3020000000001</c:v>
                </c:pt>
                <c:pt idx="31">
                  <c:v>3835.56</c:v>
                </c:pt>
                <c:pt idx="32">
                  <c:v>3745.9929999999999</c:v>
                </c:pt>
                <c:pt idx="33">
                  <c:v>3680.6579999999999</c:v>
                </c:pt>
                <c:pt idx="34">
                  <c:v>3630.2829999999999</c:v>
                </c:pt>
                <c:pt idx="35">
                  <c:v>3578.8919999999998</c:v>
                </c:pt>
                <c:pt idx="36">
                  <c:v>3534.3159999999998</c:v>
                </c:pt>
                <c:pt idx="37">
                  <c:v>3504.5859999999998</c:v>
                </c:pt>
                <c:pt idx="38">
                  <c:v>3489.654</c:v>
                </c:pt>
                <c:pt idx="39">
                  <c:v>3485.7060000000001</c:v>
                </c:pt>
                <c:pt idx="40">
                  <c:v>3487.386</c:v>
                </c:pt>
                <c:pt idx="41">
                  <c:v>3499.4609999999998</c:v>
                </c:pt>
                <c:pt idx="42">
                  <c:v>3533.3220000000001</c:v>
                </c:pt>
                <c:pt idx="43">
                  <c:v>3584.7310000000002</c:v>
                </c:pt>
                <c:pt idx="44">
                  <c:v>3646.56</c:v>
                </c:pt>
                <c:pt idx="45">
                  <c:v>3715.8209999999999</c:v>
                </c:pt>
                <c:pt idx="46">
                  <c:v>3784.11</c:v>
                </c:pt>
                <c:pt idx="47">
                  <c:v>3862.404</c:v>
                </c:pt>
                <c:pt idx="48">
                  <c:v>3943.2539999999999</c:v>
                </c:pt>
                <c:pt idx="49">
                  <c:v>4020.9070000000002</c:v>
                </c:pt>
                <c:pt idx="50">
                  <c:v>4095.0050000000001</c:v>
                </c:pt>
                <c:pt idx="51">
                  <c:v>4165.4179999999997</c:v>
                </c:pt>
                <c:pt idx="52">
                  <c:v>4226.13</c:v>
                </c:pt>
                <c:pt idx="53">
                  <c:v>4278.393</c:v>
                </c:pt>
                <c:pt idx="54">
                  <c:v>4323.357</c:v>
                </c:pt>
                <c:pt idx="55">
                  <c:v>4367.1689999999999</c:v>
                </c:pt>
                <c:pt idx="56">
                  <c:v>4398.1670000000004</c:v>
                </c:pt>
                <c:pt idx="57">
                  <c:v>4404.8639999999996</c:v>
                </c:pt>
                <c:pt idx="58">
                  <c:v>4372.5420000000004</c:v>
                </c:pt>
                <c:pt idx="59">
                  <c:v>4321.5190000000002</c:v>
                </c:pt>
                <c:pt idx="60">
                  <c:v>4283.7539999999999</c:v>
                </c:pt>
                <c:pt idx="61">
                  <c:v>4231.6679999999997</c:v>
                </c:pt>
                <c:pt idx="62">
                  <c:v>4192.5940000000001</c:v>
                </c:pt>
                <c:pt idx="63">
                  <c:v>4180.3109999999997</c:v>
                </c:pt>
                <c:pt idx="64">
                  <c:v>4182.37</c:v>
                </c:pt>
                <c:pt idx="65">
                  <c:v>4168.2569999999996</c:v>
                </c:pt>
                <c:pt idx="66">
                  <c:v>4167.1379999999999</c:v>
                </c:pt>
                <c:pt idx="67">
                  <c:v>4173.5050000000001</c:v>
                </c:pt>
                <c:pt idx="68">
                  <c:v>4194.3909999999996</c:v>
                </c:pt>
                <c:pt idx="69">
                  <c:v>4220.6809999999996</c:v>
                </c:pt>
                <c:pt idx="70">
                  <c:v>4238.7439999999997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9DC-4B80-AD62-48021C2BB957}"/>
            </c:ext>
          </c:extLst>
        </c:ser>
        <c:ser>
          <c:idx val="15"/>
          <c:order val="15"/>
          <c:tx>
            <c:strRef>
              <c:f>Sheet1!$Q$1</c:f>
              <c:strCache>
                <c:ptCount val="1"/>
                <c:pt idx="0">
                  <c:v>15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Sheet1!$Q$2:$Q$72</c:f>
              <c:numCache>
                <c:formatCode>0.000</c:formatCode>
                <c:ptCount val="71"/>
                <c:pt idx="0">
                  <c:v>2218.6799999999998</c:v>
                </c:pt>
                <c:pt idx="1">
                  <c:v>2216.5250000000001</c:v>
                </c:pt>
                <c:pt idx="2">
                  <c:v>2229.5889999999999</c:v>
                </c:pt>
                <c:pt idx="3">
                  <c:v>2268.1129999999998</c:v>
                </c:pt>
                <c:pt idx="4">
                  <c:v>2338.0770000000002</c:v>
                </c:pt>
                <c:pt idx="5">
                  <c:v>2435.3969999999999</c:v>
                </c:pt>
                <c:pt idx="6">
                  <c:v>2537.9780000000001</c:v>
                </c:pt>
                <c:pt idx="7">
                  <c:v>2636.1550000000002</c:v>
                </c:pt>
                <c:pt idx="8">
                  <c:v>2743.5639999999999</c:v>
                </c:pt>
                <c:pt idx="9">
                  <c:v>2873.194</c:v>
                </c:pt>
                <c:pt idx="10">
                  <c:v>3024.2020000000002</c:v>
                </c:pt>
                <c:pt idx="11">
                  <c:v>3188.0709999999999</c:v>
                </c:pt>
                <c:pt idx="12">
                  <c:v>3356.1030000000001</c:v>
                </c:pt>
                <c:pt idx="13">
                  <c:v>3497.404</c:v>
                </c:pt>
                <c:pt idx="14">
                  <c:v>3597.5329999999999</c:v>
                </c:pt>
                <c:pt idx="15">
                  <c:v>3671.3359999999998</c:v>
                </c:pt>
                <c:pt idx="16">
                  <c:v>3740.0889999999999</c:v>
                </c:pt>
                <c:pt idx="17">
                  <c:v>3811.078</c:v>
                </c:pt>
                <c:pt idx="18">
                  <c:v>3893.482</c:v>
                </c:pt>
                <c:pt idx="19">
                  <c:v>3983.4409999999998</c:v>
                </c:pt>
                <c:pt idx="20">
                  <c:v>4067.1410000000001</c:v>
                </c:pt>
                <c:pt idx="21">
                  <c:v>4142.24</c:v>
                </c:pt>
                <c:pt idx="22">
                  <c:v>4205.9740000000002</c:v>
                </c:pt>
                <c:pt idx="23">
                  <c:v>4246.2160000000003</c:v>
                </c:pt>
                <c:pt idx="24">
                  <c:v>4257.5619999999999</c:v>
                </c:pt>
                <c:pt idx="25">
                  <c:v>4246.357</c:v>
                </c:pt>
                <c:pt idx="26">
                  <c:v>4241.2240000000002</c:v>
                </c:pt>
                <c:pt idx="27">
                  <c:v>4241.2740000000003</c:v>
                </c:pt>
                <c:pt idx="28">
                  <c:v>4216.4380000000001</c:v>
                </c:pt>
                <c:pt idx="29">
                  <c:v>4153.2020000000002</c:v>
                </c:pt>
                <c:pt idx="30">
                  <c:v>4064.2730000000001</c:v>
                </c:pt>
                <c:pt idx="31">
                  <c:v>3959.72</c:v>
                </c:pt>
                <c:pt idx="32">
                  <c:v>3855.8490000000002</c:v>
                </c:pt>
                <c:pt idx="33">
                  <c:v>3767.806</c:v>
                </c:pt>
                <c:pt idx="34">
                  <c:v>3702.4279999999999</c:v>
                </c:pt>
                <c:pt idx="35">
                  <c:v>3650.8890000000001</c:v>
                </c:pt>
                <c:pt idx="36">
                  <c:v>3600.61</c:v>
                </c:pt>
                <c:pt idx="37">
                  <c:v>3558.2089999999998</c:v>
                </c:pt>
                <c:pt idx="38">
                  <c:v>3529.8339999999998</c:v>
                </c:pt>
                <c:pt idx="39">
                  <c:v>3515.201</c:v>
                </c:pt>
                <c:pt idx="40">
                  <c:v>3510.8760000000002</c:v>
                </c:pt>
                <c:pt idx="41">
                  <c:v>3511.125</c:v>
                </c:pt>
                <c:pt idx="42">
                  <c:v>3529.4490000000001</c:v>
                </c:pt>
                <c:pt idx="43">
                  <c:v>3568.8829999999998</c:v>
                </c:pt>
                <c:pt idx="44">
                  <c:v>3624.5590000000002</c:v>
                </c:pt>
                <c:pt idx="45">
                  <c:v>3689.3510000000001</c:v>
                </c:pt>
                <c:pt idx="46">
                  <c:v>3750.8029999999999</c:v>
                </c:pt>
                <c:pt idx="47">
                  <c:v>3826.6970000000001</c:v>
                </c:pt>
                <c:pt idx="48">
                  <c:v>3909.203</c:v>
                </c:pt>
                <c:pt idx="49">
                  <c:v>3989.2170000000001</c:v>
                </c:pt>
                <c:pt idx="50">
                  <c:v>4062.8470000000002</c:v>
                </c:pt>
                <c:pt idx="51">
                  <c:v>4135.12</c:v>
                </c:pt>
                <c:pt idx="52">
                  <c:v>4199.3149999999996</c:v>
                </c:pt>
                <c:pt idx="53">
                  <c:v>4256.5739999999996</c:v>
                </c:pt>
                <c:pt idx="54">
                  <c:v>4309.317</c:v>
                </c:pt>
                <c:pt idx="55">
                  <c:v>4356.3890000000001</c:v>
                </c:pt>
                <c:pt idx="56">
                  <c:v>4380.0309999999999</c:v>
                </c:pt>
                <c:pt idx="57">
                  <c:v>4418.1350000000002</c:v>
                </c:pt>
                <c:pt idx="58">
                  <c:v>4431.0969999999998</c:v>
                </c:pt>
                <c:pt idx="59">
                  <c:v>4403.8410000000003</c:v>
                </c:pt>
                <c:pt idx="60">
                  <c:v>4357.0739999999996</c:v>
                </c:pt>
                <c:pt idx="61">
                  <c:v>4313.4269999999997</c:v>
                </c:pt>
                <c:pt idx="62">
                  <c:v>4257.9960000000001</c:v>
                </c:pt>
                <c:pt idx="63">
                  <c:v>4214.2569999999996</c:v>
                </c:pt>
                <c:pt idx="64">
                  <c:v>4196.375</c:v>
                </c:pt>
                <c:pt idx="65">
                  <c:v>4192.5709999999999</c:v>
                </c:pt>
                <c:pt idx="66">
                  <c:v>4199.3450000000003</c:v>
                </c:pt>
                <c:pt idx="67">
                  <c:v>4191.8580000000002</c:v>
                </c:pt>
                <c:pt idx="68">
                  <c:v>4192.5619999999999</c:v>
                </c:pt>
                <c:pt idx="69">
                  <c:v>4208.74</c:v>
                </c:pt>
                <c:pt idx="70">
                  <c:v>4230.6710000000003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9DC-4B80-AD62-48021C2BB957}"/>
            </c:ext>
          </c:extLst>
        </c:ser>
        <c:ser>
          <c:idx val="16"/>
          <c:order val="16"/>
          <c:tx>
            <c:strRef>
              <c:f>Sheet1!$R$1</c:f>
              <c:strCache>
                <c:ptCount val="1"/>
                <c:pt idx="0">
                  <c:v>16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Sheet1!$R$2:$R$72</c:f>
              <c:numCache>
                <c:formatCode>0.000</c:formatCode>
                <c:ptCount val="71"/>
                <c:pt idx="0">
                  <c:v>2212.0720000000001</c:v>
                </c:pt>
                <c:pt idx="1">
                  <c:v>2202.1030000000001</c:v>
                </c:pt>
                <c:pt idx="2">
                  <c:v>2206.4780000000001</c:v>
                </c:pt>
                <c:pt idx="3">
                  <c:v>2222.2179999999998</c:v>
                </c:pt>
                <c:pt idx="4">
                  <c:v>2262.6170000000002</c:v>
                </c:pt>
                <c:pt idx="5">
                  <c:v>2335.2600000000002</c:v>
                </c:pt>
                <c:pt idx="6">
                  <c:v>2435.0059999999999</c:v>
                </c:pt>
                <c:pt idx="7">
                  <c:v>2531.9349999999999</c:v>
                </c:pt>
                <c:pt idx="8">
                  <c:v>2625.18</c:v>
                </c:pt>
                <c:pt idx="9">
                  <c:v>2731.1089999999999</c:v>
                </c:pt>
                <c:pt idx="10">
                  <c:v>2863.1170000000002</c:v>
                </c:pt>
                <c:pt idx="11">
                  <c:v>3027.7280000000001</c:v>
                </c:pt>
                <c:pt idx="12">
                  <c:v>3191.6</c:v>
                </c:pt>
                <c:pt idx="13">
                  <c:v>3358.3049999999998</c:v>
                </c:pt>
                <c:pt idx="14">
                  <c:v>3497.2979999999998</c:v>
                </c:pt>
                <c:pt idx="15">
                  <c:v>3595.6489999999999</c:v>
                </c:pt>
                <c:pt idx="16">
                  <c:v>3659.59</c:v>
                </c:pt>
                <c:pt idx="17">
                  <c:v>3732.616</c:v>
                </c:pt>
                <c:pt idx="18">
                  <c:v>3809.107</c:v>
                </c:pt>
                <c:pt idx="19">
                  <c:v>3896.027</c:v>
                </c:pt>
                <c:pt idx="20">
                  <c:v>3987.5410000000002</c:v>
                </c:pt>
                <c:pt idx="21">
                  <c:v>4073.2849999999999</c:v>
                </c:pt>
                <c:pt idx="22">
                  <c:v>4146.6400000000003</c:v>
                </c:pt>
                <c:pt idx="23">
                  <c:v>4210.3969999999999</c:v>
                </c:pt>
                <c:pt idx="24">
                  <c:v>4252.567</c:v>
                </c:pt>
                <c:pt idx="25">
                  <c:v>4266.2939999999999</c:v>
                </c:pt>
                <c:pt idx="26">
                  <c:v>4264.2889999999998</c:v>
                </c:pt>
                <c:pt idx="27">
                  <c:v>4265.1869999999999</c:v>
                </c:pt>
                <c:pt idx="28">
                  <c:v>4269.8310000000001</c:v>
                </c:pt>
                <c:pt idx="29">
                  <c:v>4247.3440000000001</c:v>
                </c:pt>
                <c:pt idx="30">
                  <c:v>4184.8729999999996</c:v>
                </c:pt>
                <c:pt idx="31">
                  <c:v>4078.4839999999999</c:v>
                </c:pt>
                <c:pt idx="32">
                  <c:v>3976.6990000000001</c:v>
                </c:pt>
                <c:pt idx="33">
                  <c:v>3875.28</c:v>
                </c:pt>
                <c:pt idx="34">
                  <c:v>3788.8240000000001</c:v>
                </c:pt>
                <c:pt idx="35">
                  <c:v>3723.424</c:v>
                </c:pt>
                <c:pt idx="36">
                  <c:v>3670.261</c:v>
                </c:pt>
                <c:pt idx="37">
                  <c:v>3622.1759999999999</c:v>
                </c:pt>
                <c:pt idx="38">
                  <c:v>3581.8510000000001</c:v>
                </c:pt>
                <c:pt idx="39">
                  <c:v>3554.78</c:v>
                </c:pt>
                <c:pt idx="40">
                  <c:v>3540.569</c:v>
                </c:pt>
                <c:pt idx="41">
                  <c:v>3528.6950000000002</c:v>
                </c:pt>
                <c:pt idx="42">
                  <c:v>3535.0520000000001</c:v>
                </c:pt>
                <c:pt idx="43">
                  <c:v>3560.55</c:v>
                </c:pt>
                <c:pt idx="44">
                  <c:v>3606.8879999999999</c:v>
                </c:pt>
                <c:pt idx="45">
                  <c:v>3667.4520000000002</c:v>
                </c:pt>
                <c:pt idx="46">
                  <c:v>3721.0129999999999</c:v>
                </c:pt>
                <c:pt idx="47">
                  <c:v>3790.1019999999999</c:v>
                </c:pt>
                <c:pt idx="48">
                  <c:v>3870.6080000000002</c:v>
                </c:pt>
                <c:pt idx="49">
                  <c:v>3953.203</c:v>
                </c:pt>
                <c:pt idx="50">
                  <c:v>4029.9659999999999</c:v>
                </c:pt>
                <c:pt idx="51">
                  <c:v>4101.5820000000003</c:v>
                </c:pt>
                <c:pt idx="52">
                  <c:v>4167.9319999999998</c:v>
                </c:pt>
                <c:pt idx="53">
                  <c:v>4229.1490000000003</c:v>
                </c:pt>
                <c:pt idx="54">
                  <c:v>4287.402</c:v>
                </c:pt>
                <c:pt idx="55">
                  <c:v>4342.7709999999997</c:v>
                </c:pt>
                <c:pt idx="56">
                  <c:v>4365.4380000000001</c:v>
                </c:pt>
                <c:pt idx="57">
                  <c:v>4396.59</c:v>
                </c:pt>
                <c:pt idx="58">
                  <c:v>4439.92</c:v>
                </c:pt>
                <c:pt idx="59">
                  <c:v>4456.4780000000001</c:v>
                </c:pt>
                <c:pt idx="60">
                  <c:v>4432.942</c:v>
                </c:pt>
                <c:pt idx="61">
                  <c:v>4390.1890000000003</c:v>
                </c:pt>
                <c:pt idx="62">
                  <c:v>4343.2629999999999</c:v>
                </c:pt>
                <c:pt idx="63">
                  <c:v>4283.4570000000003</c:v>
                </c:pt>
                <c:pt idx="64">
                  <c:v>4234.3490000000002</c:v>
                </c:pt>
                <c:pt idx="65">
                  <c:v>4210.6229999999996</c:v>
                </c:pt>
                <c:pt idx="66">
                  <c:v>4226.9620000000004</c:v>
                </c:pt>
                <c:pt idx="67">
                  <c:v>4227.415</c:v>
                </c:pt>
                <c:pt idx="68">
                  <c:v>4214.5540000000001</c:v>
                </c:pt>
                <c:pt idx="69">
                  <c:v>4210.7809999999999</c:v>
                </c:pt>
                <c:pt idx="70">
                  <c:v>4222.6210000000001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9DC-4B80-AD62-48021C2BB957}"/>
            </c:ext>
          </c:extLst>
        </c:ser>
        <c:ser>
          <c:idx val="17"/>
          <c:order val="17"/>
          <c:tx>
            <c:strRef>
              <c:f>Sheet1!$S$1</c:f>
              <c:strCache>
                <c:ptCount val="1"/>
                <c:pt idx="0">
                  <c:v>17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Sheet1!$S$2:$S$72</c:f>
              <c:numCache>
                <c:formatCode>0.000</c:formatCode>
                <c:ptCount val="71"/>
                <c:pt idx="0">
                  <c:v>2223.7379999999998</c:v>
                </c:pt>
                <c:pt idx="1">
                  <c:v>2194.0549999999998</c:v>
                </c:pt>
                <c:pt idx="2">
                  <c:v>2190.8139999999999</c:v>
                </c:pt>
                <c:pt idx="3">
                  <c:v>2197.9960000000001</c:v>
                </c:pt>
                <c:pt idx="4">
                  <c:v>2214.7750000000001</c:v>
                </c:pt>
                <c:pt idx="5">
                  <c:v>2256.79</c:v>
                </c:pt>
                <c:pt idx="6">
                  <c:v>2338.1080000000002</c:v>
                </c:pt>
                <c:pt idx="7">
                  <c:v>2432.444</c:v>
                </c:pt>
                <c:pt idx="8">
                  <c:v>2524.9229999999998</c:v>
                </c:pt>
                <c:pt idx="9">
                  <c:v>2614.3319999999999</c:v>
                </c:pt>
                <c:pt idx="10">
                  <c:v>2719.0529999999999</c:v>
                </c:pt>
                <c:pt idx="11">
                  <c:v>2868.0590000000002</c:v>
                </c:pt>
                <c:pt idx="12">
                  <c:v>3032.6419999999998</c:v>
                </c:pt>
                <c:pt idx="13">
                  <c:v>3195.3519999999999</c:v>
                </c:pt>
                <c:pt idx="14">
                  <c:v>3358.884</c:v>
                </c:pt>
                <c:pt idx="15">
                  <c:v>3494.7190000000001</c:v>
                </c:pt>
                <c:pt idx="16">
                  <c:v>3576.614</c:v>
                </c:pt>
                <c:pt idx="17">
                  <c:v>3645.4389999999999</c:v>
                </c:pt>
                <c:pt idx="18">
                  <c:v>3723.3409999999999</c:v>
                </c:pt>
                <c:pt idx="19">
                  <c:v>3806.491</c:v>
                </c:pt>
                <c:pt idx="20">
                  <c:v>3898.9079999999999</c:v>
                </c:pt>
                <c:pt idx="21">
                  <c:v>3992.99</c:v>
                </c:pt>
                <c:pt idx="22">
                  <c:v>4077.4580000000001</c:v>
                </c:pt>
                <c:pt idx="23">
                  <c:v>4150.8919999999998</c:v>
                </c:pt>
                <c:pt idx="24">
                  <c:v>4216.3689999999997</c:v>
                </c:pt>
                <c:pt idx="25">
                  <c:v>4260.8609999999999</c:v>
                </c:pt>
                <c:pt idx="26">
                  <c:v>4280.8180000000002</c:v>
                </c:pt>
                <c:pt idx="27">
                  <c:v>4285.1000000000004</c:v>
                </c:pt>
                <c:pt idx="28">
                  <c:v>4290.8069999999998</c:v>
                </c:pt>
                <c:pt idx="29">
                  <c:v>4298.1270000000004</c:v>
                </c:pt>
                <c:pt idx="30">
                  <c:v>4276.8969999999999</c:v>
                </c:pt>
                <c:pt idx="31">
                  <c:v>4195.5889999999999</c:v>
                </c:pt>
                <c:pt idx="32">
                  <c:v>4092.2379999999998</c:v>
                </c:pt>
                <c:pt idx="33">
                  <c:v>3992.7890000000002</c:v>
                </c:pt>
                <c:pt idx="34">
                  <c:v>3893.8939999999998</c:v>
                </c:pt>
                <c:pt idx="35">
                  <c:v>3809.0509999999999</c:v>
                </c:pt>
                <c:pt idx="36">
                  <c:v>3740.54</c:v>
                </c:pt>
                <c:pt idx="37">
                  <c:v>3689.4740000000002</c:v>
                </c:pt>
                <c:pt idx="38">
                  <c:v>3643.4830000000002</c:v>
                </c:pt>
                <c:pt idx="39">
                  <c:v>3605.1869999999999</c:v>
                </c:pt>
                <c:pt idx="40">
                  <c:v>3579.5450000000001</c:v>
                </c:pt>
                <c:pt idx="41">
                  <c:v>3552.2539999999999</c:v>
                </c:pt>
                <c:pt idx="42">
                  <c:v>3546.712</c:v>
                </c:pt>
                <c:pt idx="43">
                  <c:v>3560.1019999999999</c:v>
                </c:pt>
                <c:pt idx="44">
                  <c:v>3594.087</c:v>
                </c:pt>
                <c:pt idx="45">
                  <c:v>3647.9389999999999</c:v>
                </c:pt>
                <c:pt idx="46">
                  <c:v>3695.2869999999998</c:v>
                </c:pt>
                <c:pt idx="47">
                  <c:v>3756.9589999999998</c:v>
                </c:pt>
                <c:pt idx="48">
                  <c:v>3830.7069999999999</c:v>
                </c:pt>
                <c:pt idx="49">
                  <c:v>3911.7460000000001</c:v>
                </c:pt>
                <c:pt idx="50">
                  <c:v>3992.0390000000002</c:v>
                </c:pt>
                <c:pt idx="51">
                  <c:v>4067.2159999999999</c:v>
                </c:pt>
                <c:pt idx="52">
                  <c:v>4133.07</c:v>
                </c:pt>
                <c:pt idx="53">
                  <c:v>4196.7120000000004</c:v>
                </c:pt>
                <c:pt idx="54">
                  <c:v>4259.3649999999998</c:v>
                </c:pt>
                <c:pt idx="55">
                  <c:v>4320.7470000000003</c:v>
                </c:pt>
                <c:pt idx="56">
                  <c:v>4347.8220000000001</c:v>
                </c:pt>
                <c:pt idx="57">
                  <c:v>4378.1710000000003</c:v>
                </c:pt>
                <c:pt idx="58">
                  <c:v>4414.9570000000003</c:v>
                </c:pt>
                <c:pt idx="59">
                  <c:v>4460.848</c:v>
                </c:pt>
                <c:pt idx="60">
                  <c:v>4479.6350000000002</c:v>
                </c:pt>
                <c:pt idx="61">
                  <c:v>4469.5020000000004</c:v>
                </c:pt>
                <c:pt idx="62">
                  <c:v>4423.4719999999998</c:v>
                </c:pt>
                <c:pt idx="63">
                  <c:v>4372.2150000000001</c:v>
                </c:pt>
                <c:pt idx="64">
                  <c:v>4307.3220000000001</c:v>
                </c:pt>
                <c:pt idx="65">
                  <c:v>4252.6059999999998</c:v>
                </c:pt>
                <c:pt idx="66">
                  <c:v>4248.32</c:v>
                </c:pt>
                <c:pt idx="67">
                  <c:v>4258.32</c:v>
                </c:pt>
                <c:pt idx="68">
                  <c:v>4253.4440000000004</c:v>
                </c:pt>
                <c:pt idx="69">
                  <c:v>4236.4040000000005</c:v>
                </c:pt>
                <c:pt idx="70">
                  <c:v>4228.53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9DC-4B80-AD62-48021C2BB957}"/>
            </c:ext>
          </c:extLst>
        </c:ser>
        <c:ser>
          <c:idx val="18"/>
          <c:order val="18"/>
          <c:tx>
            <c:strRef>
              <c:f>Sheet1!$T$1</c:f>
              <c:strCache>
                <c:ptCount val="1"/>
                <c:pt idx="0">
                  <c:v>18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Sheet1!$T$2:$T$72</c:f>
              <c:numCache>
                <c:formatCode>0.000</c:formatCode>
                <c:ptCount val="71"/>
                <c:pt idx="0">
                  <c:v>2257.2109999999998</c:v>
                </c:pt>
                <c:pt idx="1">
                  <c:v>2205.6610000000001</c:v>
                </c:pt>
                <c:pt idx="2">
                  <c:v>2181.31</c:v>
                </c:pt>
                <c:pt idx="3">
                  <c:v>2181.0770000000002</c:v>
                </c:pt>
                <c:pt idx="4">
                  <c:v>2189.44</c:v>
                </c:pt>
                <c:pt idx="5">
                  <c:v>2207.0039999999999</c:v>
                </c:pt>
                <c:pt idx="6">
                  <c:v>2263.221</c:v>
                </c:pt>
                <c:pt idx="7">
                  <c:v>2338.8739999999998</c:v>
                </c:pt>
                <c:pt idx="8">
                  <c:v>2428.9490000000001</c:v>
                </c:pt>
                <c:pt idx="9">
                  <c:v>2518.029</c:v>
                </c:pt>
                <c:pt idx="10">
                  <c:v>2603.8649999999998</c:v>
                </c:pt>
                <c:pt idx="11">
                  <c:v>2725.4479999999999</c:v>
                </c:pt>
                <c:pt idx="12">
                  <c:v>2874.3150000000001</c:v>
                </c:pt>
                <c:pt idx="13">
                  <c:v>3037.7689999999998</c:v>
                </c:pt>
                <c:pt idx="14">
                  <c:v>3197.5610000000001</c:v>
                </c:pt>
                <c:pt idx="15">
                  <c:v>3357.087</c:v>
                </c:pt>
                <c:pt idx="16">
                  <c:v>3472.8490000000002</c:v>
                </c:pt>
                <c:pt idx="17">
                  <c:v>3555.2220000000002</c:v>
                </c:pt>
                <c:pt idx="18">
                  <c:v>3629.5309999999999</c:v>
                </c:pt>
                <c:pt idx="19">
                  <c:v>3713.442</c:v>
                </c:pt>
                <c:pt idx="20">
                  <c:v>3804.203</c:v>
                </c:pt>
                <c:pt idx="21">
                  <c:v>3905.4960000000001</c:v>
                </c:pt>
                <c:pt idx="22">
                  <c:v>3996.5070000000001</c:v>
                </c:pt>
                <c:pt idx="23">
                  <c:v>4081.4870000000001</c:v>
                </c:pt>
                <c:pt idx="24">
                  <c:v>4156.6729999999998</c:v>
                </c:pt>
                <c:pt idx="25">
                  <c:v>4224.2690000000002</c:v>
                </c:pt>
                <c:pt idx="26">
                  <c:v>4272.6099999999997</c:v>
                </c:pt>
                <c:pt idx="27">
                  <c:v>4298.2380000000003</c:v>
                </c:pt>
                <c:pt idx="28">
                  <c:v>4307.5739999999996</c:v>
                </c:pt>
                <c:pt idx="29">
                  <c:v>4316.1620000000003</c:v>
                </c:pt>
                <c:pt idx="30">
                  <c:v>4325.05</c:v>
                </c:pt>
                <c:pt idx="31">
                  <c:v>4285.5789999999997</c:v>
                </c:pt>
                <c:pt idx="32">
                  <c:v>4205.8320000000003</c:v>
                </c:pt>
                <c:pt idx="33">
                  <c:v>4105.0770000000002</c:v>
                </c:pt>
                <c:pt idx="34">
                  <c:v>4008.0390000000002</c:v>
                </c:pt>
                <c:pt idx="35">
                  <c:v>3911.6979999999999</c:v>
                </c:pt>
                <c:pt idx="36">
                  <c:v>3823.3470000000002</c:v>
                </c:pt>
                <c:pt idx="37">
                  <c:v>3757.4929999999999</c:v>
                </c:pt>
                <c:pt idx="38">
                  <c:v>3708.4229999999998</c:v>
                </c:pt>
                <c:pt idx="39">
                  <c:v>3664.4810000000002</c:v>
                </c:pt>
                <c:pt idx="40">
                  <c:v>3628.3409999999999</c:v>
                </c:pt>
                <c:pt idx="41">
                  <c:v>3586.7049999999999</c:v>
                </c:pt>
                <c:pt idx="42">
                  <c:v>3564.1489999999999</c:v>
                </c:pt>
                <c:pt idx="43">
                  <c:v>3565.8580000000002</c:v>
                </c:pt>
                <c:pt idx="44">
                  <c:v>3587.585</c:v>
                </c:pt>
                <c:pt idx="45">
                  <c:v>3630.654</c:v>
                </c:pt>
                <c:pt idx="46">
                  <c:v>3674.1709999999998</c:v>
                </c:pt>
                <c:pt idx="47">
                  <c:v>3727.3760000000002</c:v>
                </c:pt>
                <c:pt idx="48">
                  <c:v>3794.194</c:v>
                </c:pt>
                <c:pt idx="49">
                  <c:v>3868.5650000000001</c:v>
                </c:pt>
                <c:pt idx="50">
                  <c:v>3947.7739999999999</c:v>
                </c:pt>
                <c:pt idx="51">
                  <c:v>4027.2310000000002</c:v>
                </c:pt>
                <c:pt idx="52">
                  <c:v>4097.28</c:v>
                </c:pt>
                <c:pt idx="53">
                  <c:v>4160.5609999999997</c:v>
                </c:pt>
                <c:pt idx="54">
                  <c:v>4225.8729999999996</c:v>
                </c:pt>
                <c:pt idx="55">
                  <c:v>4292.0829999999996</c:v>
                </c:pt>
                <c:pt idx="56">
                  <c:v>4322.9350000000004</c:v>
                </c:pt>
                <c:pt idx="57">
                  <c:v>4356.5450000000001</c:v>
                </c:pt>
                <c:pt idx="58">
                  <c:v>4392.7030000000004</c:v>
                </c:pt>
                <c:pt idx="59">
                  <c:v>4432.4679999999998</c:v>
                </c:pt>
                <c:pt idx="60">
                  <c:v>4479.55</c:v>
                </c:pt>
                <c:pt idx="61">
                  <c:v>4518.3789999999999</c:v>
                </c:pt>
                <c:pt idx="62">
                  <c:v>4506.2380000000003</c:v>
                </c:pt>
                <c:pt idx="63">
                  <c:v>4455.8580000000002</c:v>
                </c:pt>
                <c:pt idx="64">
                  <c:v>4399.5379999999996</c:v>
                </c:pt>
                <c:pt idx="65">
                  <c:v>4329.317</c:v>
                </c:pt>
                <c:pt idx="66">
                  <c:v>4292.3530000000001</c:v>
                </c:pt>
                <c:pt idx="67">
                  <c:v>4282.973</c:v>
                </c:pt>
                <c:pt idx="68">
                  <c:v>4287.6220000000003</c:v>
                </c:pt>
                <c:pt idx="69">
                  <c:v>4278.6180000000004</c:v>
                </c:pt>
                <c:pt idx="70">
                  <c:v>4257.7790000000005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9DC-4B80-AD62-48021C2BB957}"/>
            </c:ext>
          </c:extLst>
        </c:ser>
        <c:ser>
          <c:idx val="19"/>
          <c:order val="19"/>
          <c:tx>
            <c:strRef>
              <c:f>Sheet1!$U$1</c:f>
              <c:strCache>
                <c:ptCount val="1"/>
                <c:pt idx="0">
                  <c:v>19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Sheet1!$U$2:$U$72</c:f>
              <c:numCache>
                <c:formatCode>0.000</c:formatCode>
                <c:ptCount val="71"/>
                <c:pt idx="0">
                  <c:v>2305.335</c:v>
                </c:pt>
                <c:pt idx="1">
                  <c:v>2241.0830000000001</c:v>
                </c:pt>
                <c:pt idx="2">
                  <c:v>2192.8820000000001</c:v>
                </c:pt>
                <c:pt idx="3">
                  <c:v>2170.107</c:v>
                </c:pt>
                <c:pt idx="4">
                  <c:v>2171.2640000000001</c:v>
                </c:pt>
                <c:pt idx="5">
                  <c:v>2180.558</c:v>
                </c:pt>
                <c:pt idx="6">
                  <c:v>2217.241</c:v>
                </c:pt>
                <c:pt idx="7">
                  <c:v>2267.6410000000001</c:v>
                </c:pt>
                <c:pt idx="8">
                  <c:v>2338.741</c:v>
                </c:pt>
                <c:pt idx="9">
                  <c:v>2425.5659999999998</c:v>
                </c:pt>
                <c:pt idx="10">
                  <c:v>2511.5</c:v>
                </c:pt>
                <c:pt idx="11">
                  <c:v>2611.6469999999999</c:v>
                </c:pt>
                <c:pt idx="12">
                  <c:v>2733.0920000000001</c:v>
                </c:pt>
                <c:pt idx="13">
                  <c:v>2880.7750000000001</c:v>
                </c:pt>
                <c:pt idx="14">
                  <c:v>3041.4319999999998</c:v>
                </c:pt>
                <c:pt idx="15">
                  <c:v>3197.5129999999999</c:v>
                </c:pt>
                <c:pt idx="16">
                  <c:v>3339.3989999999999</c:v>
                </c:pt>
                <c:pt idx="17">
                  <c:v>3448.6860000000001</c:v>
                </c:pt>
                <c:pt idx="18">
                  <c:v>3532.1179999999999</c:v>
                </c:pt>
                <c:pt idx="19">
                  <c:v>3613.0189999999998</c:v>
                </c:pt>
                <c:pt idx="20">
                  <c:v>3703.8629999999998</c:v>
                </c:pt>
                <c:pt idx="21">
                  <c:v>3814.7359999999999</c:v>
                </c:pt>
                <c:pt idx="22">
                  <c:v>3910.194</c:v>
                </c:pt>
                <c:pt idx="23">
                  <c:v>3999.8820000000001</c:v>
                </c:pt>
                <c:pt idx="24">
                  <c:v>4087.018</c:v>
                </c:pt>
                <c:pt idx="25">
                  <c:v>4164.3530000000001</c:v>
                </c:pt>
                <c:pt idx="26">
                  <c:v>4234.3100000000004</c:v>
                </c:pt>
                <c:pt idx="27">
                  <c:v>4287.2510000000002</c:v>
                </c:pt>
                <c:pt idx="28">
                  <c:v>4317.326</c:v>
                </c:pt>
                <c:pt idx="29">
                  <c:v>4329.7780000000002</c:v>
                </c:pt>
                <c:pt idx="30">
                  <c:v>4340.1310000000003</c:v>
                </c:pt>
                <c:pt idx="31">
                  <c:v>4334.0810000000001</c:v>
                </c:pt>
                <c:pt idx="32">
                  <c:v>4293.7730000000001</c:v>
                </c:pt>
                <c:pt idx="33">
                  <c:v>4215.1310000000003</c:v>
                </c:pt>
                <c:pt idx="34">
                  <c:v>4117.05</c:v>
                </c:pt>
                <c:pt idx="35">
                  <c:v>4022.4589999999998</c:v>
                </c:pt>
                <c:pt idx="36">
                  <c:v>3922.4349999999999</c:v>
                </c:pt>
                <c:pt idx="37">
                  <c:v>3837.4760000000001</c:v>
                </c:pt>
                <c:pt idx="38">
                  <c:v>3774.1770000000001</c:v>
                </c:pt>
                <c:pt idx="39">
                  <c:v>3727.0610000000001</c:v>
                </c:pt>
                <c:pt idx="40">
                  <c:v>3685.2979999999998</c:v>
                </c:pt>
                <c:pt idx="41">
                  <c:v>3633.6619999999998</c:v>
                </c:pt>
                <c:pt idx="42">
                  <c:v>3594.0810000000001</c:v>
                </c:pt>
                <c:pt idx="43">
                  <c:v>3577.1840000000002</c:v>
                </c:pt>
                <c:pt idx="44">
                  <c:v>3587.442</c:v>
                </c:pt>
                <c:pt idx="45">
                  <c:v>3618.0819999999999</c:v>
                </c:pt>
                <c:pt idx="46">
                  <c:v>3658.7860000000001</c:v>
                </c:pt>
                <c:pt idx="47">
                  <c:v>3704.6320000000001</c:v>
                </c:pt>
                <c:pt idx="48">
                  <c:v>3760.7370000000001</c:v>
                </c:pt>
                <c:pt idx="49">
                  <c:v>3828.7060000000001</c:v>
                </c:pt>
                <c:pt idx="50">
                  <c:v>3901.373</c:v>
                </c:pt>
                <c:pt idx="51">
                  <c:v>3980.1790000000001</c:v>
                </c:pt>
                <c:pt idx="52">
                  <c:v>4055.3020000000001</c:v>
                </c:pt>
                <c:pt idx="53">
                  <c:v>4123.38</c:v>
                </c:pt>
                <c:pt idx="54">
                  <c:v>4188.4319999999998</c:v>
                </c:pt>
                <c:pt idx="55">
                  <c:v>4257.5159999999996</c:v>
                </c:pt>
                <c:pt idx="56">
                  <c:v>4293.0330000000004</c:v>
                </c:pt>
                <c:pt idx="57">
                  <c:v>4328.7780000000002</c:v>
                </c:pt>
                <c:pt idx="58">
                  <c:v>4367.0559999999996</c:v>
                </c:pt>
                <c:pt idx="59">
                  <c:v>4406.38</c:v>
                </c:pt>
                <c:pt idx="60">
                  <c:v>4447.7640000000001</c:v>
                </c:pt>
                <c:pt idx="61">
                  <c:v>4518.6450000000004</c:v>
                </c:pt>
                <c:pt idx="62">
                  <c:v>4557.3010000000004</c:v>
                </c:pt>
                <c:pt idx="63">
                  <c:v>4542.0590000000002</c:v>
                </c:pt>
                <c:pt idx="64">
                  <c:v>4486.5820000000003</c:v>
                </c:pt>
                <c:pt idx="65">
                  <c:v>4424.9470000000001</c:v>
                </c:pt>
                <c:pt idx="66">
                  <c:v>4369.2870000000003</c:v>
                </c:pt>
                <c:pt idx="67">
                  <c:v>4329.0259999999998</c:v>
                </c:pt>
                <c:pt idx="68">
                  <c:v>4315.558</c:v>
                </c:pt>
                <c:pt idx="69">
                  <c:v>4316.0590000000002</c:v>
                </c:pt>
                <c:pt idx="70">
                  <c:v>4303.3069999999998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9DC-4B80-AD62-48021C2BB957}"/>
            </c:ext>
          </c:extLst>
        </c:ser>
        <c:ser>
          <c:idx val="20"/>
          <c:order val="20"/>
          <c:tx>
            <c:strRef>
              <c:f>Sheet1!$V$1</c:f>
              <c:strCache>
                <c:ptCount val="1"/>
                <c:pt idx="0">
                  <c:v>20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Sheet1!$V$2:$V$72</c:f>
              <c:numCache>
                <c:formatCode>0.000</c:formatCode>
                <c:ptCount val="71"/>
                <c:pt idx="0">
                  <c:v>2355.9160000000002</c:v>
                </c:pt>
                <c:pt idx="1">
                  <c:v>2292.3980000000001</c:v>
                </c:pt>
                <c:pt idx="2">
                  <c:v>2230.3310000000001</c:v>
                </c:pt>
                <c:pt idx="3">
                  <c:v>2181.6550000000002</c:v>
                </c:pt>
                <c:pt idx="4">
                  <c:v>2158.8240000000001</c:v>
                </c:pt>
                <c:pt idx="5">
                  <c:v>2161.1239999999998</c:v>
                </c:pt>
                <c:pt idx="6">
                  <c:v>2194.5279999999998</c:v>
                </c:pt>
                <c:pt idx="7">
                  <c:v>2225.5079999999998</c:v>
                </c:pt>
                <c:pt idx="8">
                  <c:v>2271.1869999999999</c:v>
                </c:pt>
                <c:pt idx="9">
                  <c:v>2338.7130000000002</c:v>
                </c:pt>
                <c:pt idx="10">
                  <c:v>2422.529</c:v>
                </c:pt>
                <c:pt idx="11">
                  <c:v>2520.5459999999998</c:v>
                </c:pt>
                <c:pt idx="12">
                  <c:v>2620.6260000000002</c:v>
                </c:pt>
                <c:pt idx="13">
                  <c:v>2740.93</c:v>
                </c:pt>
                <c:pt idx="14">
                  <c:v>2885.8470000000002</c:v>
                </c:pt>
                <c:pt idx="15">
                  <c:v>3042.9470000000001</c:v>
                </c:pt>
                <c:pt idx="16">
                  <c:v>3188.386</c:v>
                </c:pt>
                <c:pt idx="17">
                  <c:v>3319.5120000000002</c:v>
                </c:pt>
                <c:pt idx="18">
                  <c:v>3422.8670000000002</c:v>
                </c:pt>
                <c:pt idx="19">
                  <c:v>3508.4340000000002</c:v>
                </c:pt>
                <c:pt idx="20">
                  <c:v>3596.8209999999999</c:v>
                </c:pt>
                <c:pt idx="21">
                  <c:v>3719.9079999999999</c:v>
                </c:pt>
                <c:pt idx="22">
                  <c:v>3823.4189999999999</c:v>
                </c:pt>
                <c:pt idx="23">
                  <c:v>3914.752</c:v>
                </c:pt>
                <c:pt idx="24">
                  <c:v>4004.73</c:v>
                </c:pt>
                <c:pt idx="25">
                  <c:v>4094.4169999999999</c:v>
                </c:pt>
                <c:pt idx="26">
                  <c:v>4173.4480000000003</c:v>
                </c:pt>
                <c:pt idx="27">
                  <c:v>4247.2190000000001</c:v>
                </c:pt>
                <c:pt idx="28">
                  <c:v>4303.5550000000003</c:v>
                </c:pt>
                <c:pt idx="29">
                  <c:v>4336.1400000000003</c:v>
                </c:pt>
                <c:pt idx="30">
                  <c:v>4350.5860000000002</c:v>
                </c:pt>
                <c:pt idx="31">
                  <c:v>4351.049</c:v>
                </c:pt>
                <c:pt idx="32">
                  <c:v>4342.6120000000001</c:v>
                </c:pt>
                <c:pt idx="33">
                  <c:v>4301</c:v>
                </c:pt>
                <c:pt idx="34">
                  <c:v>4223.5420000000004</c:v>
                </c:pt>
                <c:pt idx="35">
                  <c:v>4128.1760000000004</c:v>
                </c:pt>
                <c:pt idx="36">
                  <c:v>4029.37</c:v>
                </c:pt>
                <c:pt idx="37">
                  <c:v>3933</c:v>
                </c:pt>
                <c:pt idx="38">
                  <c:v>3851.328</c:v>
                </c:pt>
                <c:pt idx="39">
                  <c:v>3790.5439999999999</c:v>
                </c:pt>
                <c:pt idx="40">
                  <c:v>3745.5140000000001</c:v>
                </c:pt>
                <c:pt idx="41">
                  <c:v>3690.73</c:v>
                </c:pt>
                <c:pt idx="42">
                  <c:v>3639.2069999999999</c:v>
                </c:pt>
                <c:pt idx="43">
                  <c:v>3602.614</c:v>
                </c:pt>
                <c:pt idx="44">
                  <c:v>3592.6619999999998</c:v>
                </c:pt>
                <c:pt idx="45">
                  <c:v>3612.029</c:v>
                </c:pt>
                <c:pt idx="46">
                  <c:v>3650.2489999999998</c:v>
                </c:pt>
                <c:pt idx="47">
                  <c:v>3691.1280000000002</c:v>
                </c:pt>
                <c:pt idx="48">
                  <c:v>3736.357</c:v>
                </c:pt>
                <c:pt idx="49">
                  <c:v>3791.3969999999999</c:v>
                </c:pt>
                <c:pt idx="50">
                  <c:v>3858.223</c:v>
                </c:pt>
                <c:pt idx="51">
                  <c:v>3930.62</c:v>
                </c:pt>
                <c:pt idx="52">
                  <c:v>4005.5419999999999</c:v>
                </c:pt>
                <c:pt idx="53">
                  <c:v>4079.4549999999999</c:v>
                </c:pt>
                <c:pt idx="54">
                  <c:v>4149.8590000000004</c:v>
                </c:pt>
                <c:pt idx="55">
                  <c:v>4218.7640000000001</c:v>
                </c:pt>
                <c:pt idx="56">
                  <c:v>4258.442</c:v>
                </c:pt>
                <c:pt idx="57">
                  <c:v>4297.6139999999996</c:v>
                </c:pt>
                <c:pt idx="58">
                  <c:v>4336.3950000000004</c:v>
                </c:pt>
                <c:pt idx="59">
                  <c:v>4376.7139999999999</c:v>
                </c:pt>
                <c:pt idx="60">
                  <c:v>4417.8549999999996</c:v>
                </c:pt>
                <c:pt idx="61">
                  <c:v>4485.9110000000001</c:v>
                </c:pt>
                <c:pt idx="62">
                  <c:v>4557.9170000000004</c:v>
                </c:pt>
                <c:pt idx="63">
                  <c:v>4595.3010000000004</c:v>
                </c:pt>
                <c:pt idx="64">
                  <c:v>4576.1869999999999</c:v>
                </c:pt>
                <c:pt idx="65">
                  <c:v>4515.3530000000001</c:v>
                </c:pt>
                <c:pt idx="66">
                  <c:v>4463.8500000000004</c:v>
                </c:pt>
                <c:pt idx="67">
                  <c:v>4406.1279999999997</c:v>
                </c:pt>
                <c:pt idx="68">
                  <c:v>4363.6099999999997</c:v>
                </c:pt>
                <c:pt idx="69">
                  <c:v>4347.2719999999999</c:v>
                </c:pt>
                <c:pt idx="70">
                  <c:v>4344.0039999999999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9DC-4B80-AD62-48021C2BB957}"/>
            </c:ext>
          </c:extLst>
        </c:ser>
        <c:ser>
          <c:idx val="21"/>
          <c:order val="21"/>
          <c:tx>
            <c:strRef>
              <c:f>Sheet1!$W$1</c:f>
              <c:strCache>
                <c:ptCount val="1"/>
                <c:pt idx="0">
                  <c:v>21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Sheet1!$W$2:$W$72</c:f>
              <c:numCache>
                <c:formatCode>0.000</c:formatCode>
                <c:ptCount val="71"/>
                <c:pt idx="0">
                  <c:v>2409.587</c:v>
                </c:pt>
                <c:pt idx="1">
                  <c:v>2346.0920000000001</c:v>
                </c:pt>
                <c:pt idx="2">
                  <c:v>2284.9479999999999</c:v>
                </c:pt>
                <c:pt idx="3">
                  <c:v>2221.1590000000001</c:v>
                </c:pt>
                <c:pt idx="4">
                  <c:v>2170.346</c:v>
                </c:pt>
                <c:pt idx="5">
                  <c:v>2147.2150000000001</c:v>
                </c:pt>
                <c:pt idx="6">
                  <c:v>2178.8609999999999</c:v>
                </c:pt>
                <c:pt idx="7">
                  <c:v>2206.5529999999999</c:v>
                </c:pt>
                <c:pt idx="8">
                  <c:v>2232.9169999999999</c:v>
                </c:pt>
                <c:pt idx="9">
                  <c:v>2274.8319999999999</c:v>
                </c:pt>
                <c:pt idx="10">
                  <c:v>2339.0160000000001</c:v>
                </c:pt>
                <c:pt idx="11">
                  <c:v>2432.8270000000002</c:v>
                </c:pt>
                <c:pt idx="12">
                  <c:v>2530.748</c:v>
                </c:pt>
                <c:pt idx="13">
                  <c:v>2629.7930000000001</c:v>
                </c:pt>
                <c:pt idx="14">
                  <c:v>2747.4490000000001</c:v>
                </c:pt>
                <c:pt idx="15">
                  <c:v>2888.884</c:v>
                </c:pt>
                <c:pt idx="16">
                  <c:v>3041.6669999999999</c:v>
                </c:pt>
                <c:pt idx="17">
                  <c:v>3177.1689999999999</c:v>
                </c:pt>
                <c:pt idx="18">
                  <c:v>3298.029</c:v>
                </c:pt>
                <c:pt idx="19">
                  <c:v>3396.4859999999999</c:v>
                </c:pt>
                <c:pt idx="20">
                  <c:v>3485.0540000000001</c:v>
                </c:pt>
                <c:pt idx="21">
                  <c:v>3617.9569999999999</c:v>
                </c:pt>
                <c:pt idx="22">
                  <c:v>3734.145</c:v>
                </c:pt>
                <c:pt idx="23">
                  <c:v>3831.962</c:v>
                </c:pt>
                <c:pt idx="24">
                  <c:v>3920.75</c:v>
                </c:pt>
                <c:pt idx="25">
                  <c:v>4011.4090000000001</c:v>
                </c:pt>
                <c:pt idx="26">
                  <c:v>4102.2870000000003</c:v>
                </c:pt>
                <c:pt idx="27">
                  <c:v>4185.3710000000001</c:v>
                </c:pt>
                <c:pt idx="28">
                  <c:v>4261.7759999999998</c:v>
                </c:pt>
                <c:pt idx="29">
                  <c:v>4319.5829999999996</c:v>
                </c:pt>
                <c:pt idx="30">
                  <c:v>4353.5460000000003</c:v>
                </c:pt>
                <c:pt idx="31">
                  <c:v>4362.9970000000003</c:v>
                </c:pt>
                <c:pt idx="32">
                  <c:v>4361.4579999999996</c:v>
                </c:pt>
                <c:pt idx="33">
                  <c:v>4350.1629999999996</c:v>
                </c:pt>
                <c:pt idx="34">
                  <c:v>4307.3230000000003</c:v>
                </c:pt>
                <c:pt idx="35">
                  <c:v>4231.0889999999999</c:v>
                </c:pt>
                <c:pt idx="36">
                  <c:v>4131.2510000000002</c:v>
                </c:pt>
                <c:pt idx="37">
                  <c:v>4036.1060000000002</c:v>
                </c:pt>
                <c:pt idx="38">
                  <c:v>3943.2829999999999</c:v>
                </c:pt>
                <c:pt idx="39">
                  <c:v>3864.8580000000002</c:v>
                </c:pt>
                <c:pt idx="40">
                  <c:v>3806.7260000000001</c:v>
                </c:pt>
                <c:pt idx="41">
                  <c:v>3750.6759999999999</c:v>
                </c:pt>
                <c:pt idx="42">
                  <c:v>3696.3910000000001</c:v>
                </c:pt>
                <c:pt idx="43">
                  <c:v>3645.922</c:v>
                </c:pt>
                <c:pt idx="44">
                  <c:v>3613.605</c:v>
                </c:pt>
                <c:pt idx="45">
                  <c:v>3611.1379999999999</c:v>
                </c:pt>
                <c:pt idx="46">
                  <c:v>3647.7510000000002</c:v>
                </c:pt>
                <c:pt idx="47">
                  <c:v>3686.6179999999999</c:v>
                </c:pt>
                <c:pt idx="48">
                  <c:v>3724.7330000000002</c:v>
                </c:pt>
                <c:pt idx="49">
                  <c:v>3765.395</c:v>
                </c:pt>
                <c:pt idx="50">
                  <c:v>3817.1129999999998</c:v>
                </c:pt>
                <c:pt idx="51">
                  <c:v>3884.2809999999999</c:v>
                </c:pt>
                <c:pt idx="52">
                  <c:v>3952.9070000000002</c:v>
                </c:pt>
                <c:pt idx="53">
                  <c:v>4027.0369999999998</c:v>
                </c:pt>
                <c:pt idx="54">
                  <c:v>4103.9830000000002</c:v>
                </c:pt>
                <c:pt idx="55">
                  <c:v>4178.7790000000005</c:v>
                </c:pt>
                <c:pt idx="56">
                  <c:v>4219.7430000000004</c:v>
                </c:pt>
                <c:pt idx="57">
                  <c:v>4262.97</c:v>
                </c:pt>
                <c:pt idx="58">
                  <c:v>4303.9560000000001</c:v>
                </c:pt>
                <c:pt idx="59">
                  <c:v>4343.1620000000003</c:v>
                </c:pt>
                <c:pt idx="60">
                  <c:v>4384.183</c:v>
                </c:pt>
                <c:pt idx="61">
                  <c:v>4454.9189999999999</c:v>
                </c:pt>
                <c:pt idx="62">
                  <c:v>4524.2349999999997</c:v>
                </c:pt>
                <c:pt idx="63">
                  <c:v>4596.268</c:v>
                </c:pt>
                <c:pt idx="64">
                  <c:v>4631.5870000000004</c:v>
                </c:pt>
                <c:pt idx="65">
                  <c:v>4608.3209999999999</c:v>
                </c:pt>
                <c:pt idx="66">
                  <c:v>4553.0619999999999</c:v>
                </c:pt>
                <c:pt idx="67">
                  <c:v>4499.5540000000001</c:v>
                </c:pt>
                <c:pt idx="68">
                  <c:v>4440.8410000000003</c:v>
                </c:pt>
                <c:pt idx="69">
                  <c:v>4397.3100000000004</c:v>
                </c:pt>
                <c:pt idx="70">
                  <c:v>4378.4859999999999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9DC-4B80-AD62-48021C2BB957}"/>
            </c:ext>
          </c:extLst>
        </c:ser>
        <c:ser>
          <c:idx val="22"/>
          <c:order val="22"/>
          <c:tx>
            <c:strRef>
              <c:f>Sheet1!$X$1</c:f>
              <c:strCache>
                <c:ptCount val="1"/>
                <c:pt idx="0">
                  <c:v>22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Sheet1!$X$2:$X$72</c:f>
              <c:numCache>
                <c:formatCode>0.000</c:formatCode>
                <c:ptCount val="71"/>
                <c:pt idx="0">
                  <c:v>2458.7289999999998</c:v>
                </c:pt>
                <c:pt idx="1">
                  <c:v>2403.1559999999999</c:v>
                </c:pt>
                <c:pt idx="2">
                  <c:v>2341.8739999999998</c:v>
                </c:pt>
                <c:pt idx="3">
                  <c:v>2279.12</c:v>
                </c:pt>
                <c:pt idx="4">
                  <c:v>2211.9079999999999</c:v>
                </c:pt>
                <c:pt idx="5">
                  <c:v>2158.7080000000001</c:v>
                </c:pt>
                <c:pt idx="6">
                  <c:v>2169.056</c:v>
                </c:pt>
                <c:pt idx="7">
                  <c:v>2194.67</c:v>
                </c:pt>
                <c:pt idx="8">
                  <c:v>2217.7240000000002</c:v>
                </c:pt>
                <c:pt idx="9">
                  <c:v>2240.42</c:v>
                </c:pt>
                <c:pt idx="10">
                  <c:v>2278.797</c:v>
                </c:pt>
                <c:pt idx="11">
                  <c:v>2350.6080000000002</c:v>
                </c:pt>
                <c:pt idx="12">
                  <c:v>2444.241</c:v>
                </c:pt>
                <c:pt idx="13">
                  <c:v>2541.1320000000001</c:v>
                </c:pt>
                <c:pt idx="14">
                  <c:v>2637.6950000000002</c:v>
                </c:pt>
                <c:pt idx="15">
                  <c:v>2752.0320000000002</c:v>
                </c:pt>
                <c:pt idx="16">
                  <c:v>2895.884</c:v>
                </c:pt>
                <c:pt idx="17">
                  <c:v>3038.402</c:v>
                </c:pt>
                <c:pt idx="18">
                  <c:v>3164.4229999999998</c:v>
                </c:pt>
                <c:pt idx="19">
                  <c:v>3276.002</c:v>
                </c:pt>
                <c:pt idx="20">
                  <c:v>3370.3989999999999</c:v>
                </c:pt>
                <c:pt idx="21">
                  <c:v>3511.5169999999998</c:v>
                </c:pt>
                <c:pt idx="22">
                  <c:v>3637.3290000000002</c:v>
                </c:pt>
                <c:pt idx="23">
                  <c:v>3748.239</c:v>
                </c:pt>
                <c:pt idx="24">
                  <c:v>3841.9140000000002</c:v>
                </c:pt>
                <c:pt idx="25">
                  <c:v>3928.5439999999999</c:v>
                </c:pt>
                <c:pt idx="26">
                  <c:v>4017.627</c:v>
                </c:pt>
                <c:pt idx="27">
                  <c:v>4112.9369999999999</c:v>
                </c:pt>
                <c:pt idx="28">
                  <c:v>4198.9170000000004</c:v>
                </c:pt>
                <c:pt idx="29">
                  <c:v>4276.0550000000003</c:v>
                </c:pt>
                <c:pt idx="30">
                  <c:v>4334.2039999999997</c:v>
                </c:pt>
                <c:pt idx="31">
                  <c:v>4367.2430000000004</c:v>
                </c:pt>
                <c:pt idx="32">
                  <c:v>4374.8890000000001</c:v>
                </c:pt>
                <c:pt idx="33">
                  <c:v>4370.88</c:v>
                </c:pt>
                <c:pt idx="34">
                  <c:v>4356.8</c:v>
                </c:pt>
                <c:pt idx="35">
                  <c:v>4312.7669999999998</c:v>
                </c:pt>
                <c:pt idx="36">
                  <c:v>4229.8040000000001</c:v>
                </c:pt>
                <c:pt idx="37">
                  <c:v>4134.1490000000003</c:v>
                </c:pt>
                <c:pt idx="38">
                  <c:v>4042.5529999999999</c:v>
                </c:pt>
                <c:pt idx="39">
                  <c:v>3953.2359999999999</c:v>
                </c:pt>
                <c:pt idx="40">
                  <c:v>3878.1990000000001</c:v>
                </c:pt>
                <c:pt idx="41">
                  <c:v>3811.0810000000001</c:v>
                </c:pt>
                <c:pt idx="42">
                  <c:v>3756.0709999999999</c:v>
                </c:pt>
                <c:pt idx="43">
                  <c:v>3703.2429999999999</c:v>
                </c:pt>
                <c:pt idx="44">
                  <c:v>3655.1280000000002</c:v>
                </c:pt>
                <c:pt idx="45">
                  <c:v>3627.6030000000001</c:v>
                </c:pt>
                <c:pt idx="46">
                  <c:v>3650.4850000000001</c:v>
                </c:pt>
                <c:pt idx="47">
                  <c:v>3687.672</c:v>
                </c:pt>
                <c:pt idx="48">
                  <c:v>3724.2550000000001</c:v>
                </c:pt>
                <c:pt idx="49">
                  <c:v>3755.6610000000001</c:v>
                </c:pt>
                <c:pt idx="50">
                  <c:v>3789.5239999999999</c:v>
                </c:pt>
                <c:pt idx="51">
                  <c:v>3839.6840000000002</c:v>
                </c:pt>
                <c:pt idx="52">
                  <c:v>3903.4580000000001</c:v>
                </c:pt>
                <c:pt idx="53">
                  <c:v>3971.3789999999999</c:v>
                </c:pt>
                <c:pt idx="54">
                  <c:v>4048.9070000000002</c:v>
                </c:pt>
                <c:pt idx="55">
                  <c:v>4130.9269999999997</c:v>
                </c:pt>
                <c:pt idx="56">
                  <c:v>4179.8329999999996</c:v>
                </c:pt>
                <c:pt idx="57">
                  <c:v>4224.2920000000004</c:v>
                </c:pt>
                <c:pt idx="58">
                  <c:v>4269.2430000000004</c:v>
                </c:pt>
                <c:pt idx="59">
                  <c:v>4309.451</c:v>
                </c:pt>
                <c:pt idx="60">
                  <c:v>4347.7560000000003</c:v>
                </c:pt>
                <c:pt idx="61">
                  <c:v>4419.8639999999996</c:v>
                </c:pt>
                <c:pt idx="62">
                  <c:v>4492.1559999999999</c:v>
                </c:pt>
                <c:pt idx="63">
                  <c:v>4561.6409999999996</c:v>
                </c:pt>
                <c:pt idx="64">
                  <c:v>4632.9040000000005</c:v>
                </c:pt>
                <c:pt idx="65">
                  <c:v>4665.8519999999999</c:v>
                </c:pt>
                <c:pt idx="66">
                  <c:v>4644.5420000000004</c:v>
                </c:pt>
                <c:pt idx="67">
                  <c:v>4587.5039999999999</c:v>
                </c:pt>
                <c:pt idx="68">
                  <c:v>4533.085</c:v>
                </c:pt>
                <c:pt idx="69">
                  <c:v>4474.6570000000002</c:v>
                </c:pt>
                <c:pt idx="70">
                  <c:v>4430.5039999999999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9DC-4B80-AD62-48021C2BB957}"/>
            </c:ext>
          </c:extLst>
        </c:ser>
        <c:ser>
          <c:idx val="23"/>
          <c:order val="23"/>
          <c:tx>
            <c:strRef>
              <c:f>Sheet1!$Y$1</c:f>
              <c:strCache>
                <c:ptCount val="1"/>
                <c:pt idx="0">
                  <c:v>23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Sheet1!$Y$2:$Y$72</c:f>
              <c:numCache>
                <c:formatCode>0.000</c:formatCode>
                <c:ptCount val="71"/>
                <c:pt idx="0">
                  <c:v>2497.712</c:v>
                </c:pt>
                <c:pt idx="1">
                  <c:v>2454.607</c:v>
                </c:pt>
                <c:pt idx="2">
                  <c:v>2402.4560000000001</c:v>
                </c:pt>
                <c:pt idx="3">
                  <c:v>2339.3220000000001</c:v>
                </c:pt>
                <c:pt idx="4">
                  <c:v>2273.2190000000001</c:v>
                </c:pt>
                <c:pt idx="5">
                  <c:v>2202.326</c:v>
                </c:pt>
                <c:pt idx="6">
                  <c:v>2182.3229999999999</c:v>
                </c:pt>
                <c:pt idx="7">
                  <c:v>2188.9810000000002</c:v>
                </c:pt>
                <c:pt idx="8">
                  <c:v>2209.6280000000002</c:v>
                </c:pt>
                <c:pt idx="9">
                  <c:v>2228.9870000000001</c:v>
                </c:pt>
                <c:pt idx="10">
                  <c:v>2248.2379999999998</c:v>
                </c:pt>
                <c:pt idx="11">
                  <c:v>2290.9459999999999</c:v>
                </c:pt>
                <c:pt idx="12">
                  <c:v>2363.2739999999999</c:v>
                </c:pt>
                <c:pt idx="13">
                  <c:v>2455.8319999999999</c:v>
                </c:pt>
                <c:pt idx="14">
                  <c:v>2550.297</c:v>
                </c:pt>
                <c:pt idx="15">
                  <c:v>2643.7359999999999</c:v>
                </c:pt>
                <c:pt idx="16">
                  <c:v>2764.9</c:v>
                </c:pt>
                <c:pt idx="17">
                  <c:v>2901.0079999999998</c:v>
                </c:pt>
                <c:pt idx="18">
                  <c:v>3033.674</c:v>
                </c:pt>
                <c:pt idx="19">
                  <c:v>3151.1480000000001</c:v>
                </c:pt>
                <c:pt idx="20">
                  <c:v>3254.2570000000001</c:v>
                </c:pt>
                <c:pt idx="21">
                  <c:v>3399.6570000000002</c:v>
                </c:pt>
                <c:pt idx="22">
                  <c:v>3536.261</c:v>
                </c:pt>
                <c:pt idx="23">
                  <c:v>3656.558</c:v>
                </c:pt>
                <c:pt idx="24">
                  <c:v>3763.712</c:v>
                </c:pt>
                <c:pt idx="25">
                  <c:v>3853.6289999999999</c:v>
                </c:pt>
                <c:pt idx="26">
                  <c:v>3934.2649999999999</c:v>
                </c:pt>
                <c:pt idx="27">
                  <c:v>4026.57</c:v>
                </c:pt>
                <c:pt idx="28">
                  <c:v>4125.1840000000002</c:v>
                </c:pt>
                <c:pt idx="29">
                  <c:v>4212.1899999999996</c:v>
                </c:pt>
                <c:pt idx="30">
                  <c:v>4288.9399999999996</c:v>
                </c:pt>
                <c:pt idx="31">
                  <c:v>4349.3339999999998</c:v>
                </c:pt>
                <c:pt idx="32">
                  <c:v>4380.4129999999996</c:v>
                </c:pt>
                <c:pt idx="33">
                  <c:v>4385.79</c:v>
                </c:pt>
                <c:pt idx="34">
                  <c:v>4379.3860000000004</c:v>
                </c:pt>
                <c:pt idx="35">
                  <c:v>4362.5510000000004</c:v>
                </c:pt>
                <c:pt idx="36">
                  <c:v>4309.68</c:v>
                </c:pt>
                <c:pt idx="37">
                  <c:v>4228.3410000000003</c:v>
                </c:pt>
                <c:pt idx="38">
                  <c:v>4136.7520000000004</c:v>
                </c:pt>
                <c:pt idx="39">
                  <c:v>4048.66</c:v>
                </c:pt>
                <c:pt idx="40">
                  <c:v>3962.9949999999999</c:v>
                </c:pt>
                <c:pt idx="41">
                  <c:v>3884.1039999999998</c:v>
                </c:pt>
                <c:pt idx="42">
                  <c:v>3815.6759999999999</c:v>
                </c:pt>
                <c:pt idx="43">
                  <c:v>3762.6790000000001</c:v>
                </c:pt>
                <c:pt idx="44">
                  <c:v>3712.6239999999998</c:v>
                </c:pt>
                <c:pt idx="45">
                  <c:v>3667.3710000000001</c:v>
                </c:pt>
                <c:pt idx="46">
                  <c:v>3669.2049999999999</c:v>
                </c:pt>
                <c:pt idx="47">
                  <c:v>3694.0340000000001</c:v>
                </c:pt>
                <c:pt idx="48">
                  <c:v>3728.8670000000002</c:v>
                </c:pt>
                <c:pt idx="49">
                  <c:v>3759.22</c:v>
                </c:pt>
                <c:pt idx="50">
                  <c:v>3781.6930000000002</c:v>
                </c:pt>
                <c:pt idx="51">
                  <c:v>3809.9580000000001</c:v>
                </c:pt>
                <c:pt idx="52">
                  <c:v>3855.4479999999999</c:v>
                </c:pt>
                <c:pt idx="53">
                  <c:v>3918.8679999999999</c:v>
                </c:pt>
                <c:pt idx="54">
                  <c:v>3990.2260000000001</c:v>
                </c:pt>
                <c:pt idx="55">
                  <c:v>4073.163</c:v>
                </c:pt>
                <c:pt idx="56">
                  <c:v>4133.1329999999998</c:v>
                </c:pt>
                <c:pt idx="57">
                  <c:v>4184.4229999999998</c:v>
                </c:pt>
                <c:pt idx="58">
                  <c:v>4230.5709999999999</c:v>
                </c:pt>
                <c:pt idx="59">
                  <c:v>4274.6779999999999</c:v>
                </c:pt>
                <c:pt idx="60">
                  <c:v>4312.7910000000002</c:v>
                </c:pt>
                <c:pt idx="61">
                  <c:v>4381.8040000000001</c:v>
                </c:pt>
                <c:pt idx="62">
                  <c:v>4455.7150000000001</c:v>
                </c:pt>
                <c:pt idx="63">
                  <c:v>4528.4830000000002</c:v>
                </c:pt>
                <c:pt idx="64">
                  <c:v>4597.3469999999998</c:v>
                </c:pt>
                <c:pt idx="65">
                  <c:v>4667.5200000000004</c:v>
                </c:pt>
                <c:pt idx="66">
                  <c:v>4700.3559999999998</c:v>
                </c:pt>
                <c:pt idx="67">
                  <c:v>4677.4269999999997</c:v>
                </c:pt>
                <c:pt idx="68">
                  <c:v>4619.7309999999998</c:v>
                </c:pt>
                <c:pt idx="69">
                  <c:v>4565.701</c:v>
                </c:pt>
                <c:pt idx="70">
                  <c:v>4507.9579999999996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9DC-4B80-AD62-48021C2BB957}"/>
            </c:ext>
          </c:extLst>
        </c:ser>
        <c:ser>
          <c:idx val="24"/>
          <c:order val="24"/>
          <c:tx>
            <c:strRef>
              <c:f>Sheet1!$Z$1</c:f>
              <c:strCache>
                <c:ptCount val="1"/>
                <c:pt idx="0">
                  <c:v>24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Sheet1!$Z$2:$Z$72</c:f>
              <c:numCache>
                <c:formatCode>0.000</c:formatCode>
                <c:ptCount val="71"/>
                <c:pt idx="0">
                  <c:v>2527.7809999999999</c:v>
                </c:pt>
                <c:pt idx="1">
                  <c:v>2494.0360000000001</c:v>
                </c:pt>
                <c:pt idx="2">
                  <c:v>2456.3330000000001</c:v>
                </c:pt>
                <c:pt idx="3">
                  <c:v>2403.4679999999998</c:v>
                </c:pt>
                <c:pt idx="4">
                  <c:v>2336.6999999999998</c:v>
                </c:pt>
                <c:pt idx="5">
                  <c:v>2266.9830000000002</c:v>
                </c:pt>
                <c:pt idx="6">
                  <c:v>2224.1709999999998</c:v>
                </c:pt>
                <c:pt idx="7">
                  <c:v>2204.0129999999999</c:v>
                </c:pt>
                <c:pt idx="8">
                  <c:v>2208.0549999999998</c:v>
                </c:pt>
                <c:pt idx="9">
                  <c:v>2224.674</c:v>
                </c:pt>
                <c:pt idx="10">
                  <c:v>2240.56</c:v>
                </c:pt>
                <c:pt idx="11">
                  <c:v>2259.8589999999999</c:v>
                </c:pt>
                <c:pt idx="12">
                  <c:v>2304.145</c:v>
                </c:pt>
                <c:pt idx="13">
                  <c:v>2376.1170000000002</c:v>
                </c:pt>
                <c:pt idx="14">
                  <c:v>2466.2460000000001</c:v>
                </c:pt>
                <c:pt idx="15">
                  <c:v>2557.6579999999999</c:v>
                </c:pt>
                <c:pt idx="16">
                  <c:v>2658.1680000000001</c:v>
                </c:pt>
                <c:pt idx="17">
                  <c:v>2775.9839999999999</c:v>
                </c:pt>
                <c:pt idx="18">
                  <c:v>2904.7310000000002</c:v>
                </c:pt>
                <c:pt idx="19">
                  <c:v>3028.4319999999998</c:v>
                </c:pt>
                <c:pt idx="20">
                  <c:v>3138.1410000000001</c:v>
                </c:pt>
                <c:pt idx="21">
                  <c:v>3282.2820000000002</c:v>
                </c:pt>
                <c:pt idx="22">
                  <c:v>3427.248</c:v>
                </c:pt>
                <c:pt idx="23">
                  <c:v>3560.8609999999999</c:v>
                </c:pt>
                <c:pt idx="24">
                  <c:v>3677.1309999999999</c:v>
                </c:pt>
                <c:pt idx="25">
                  <c:v>3780.9160000000002</c:v>
                </c:pt>
                <c:pt idx="26">
                  <c:v>3860.5770000000002</c:v>
                </c:pt>
                <c:pt idx="27">
                  <c:v>3942.6559999999999</c:v>
                </c:pt>
                <c:pt idx="28">
                  <c:v>4037.0749999999998</c:v>
                </c:pt>
                <c:pt idx="29">
                  <c:v>4137.1610000000001</c:v>
                </c:pt>
                <c:pt idx="30">
                  <c:v>4224.0879999999997</c:v>
                </c:pt>
                <c:pt idx="31">
                  <c:v>4305.57</c:v>
                </c:pt>
                <c:pt idx="32">
                  <c:v>4363.9340000000002</c:v>
                </c:pt>
                <c:pt idx="33">
                  <c:v>4392.5860000000002</c:v>
                </c:pt>
                <c:pt idx="34">
                  <c:v>4395.7709999999997</c:v>
                </c:pt>
                <c:pt idx="35">
                  <c:v>4387.0029999999997</c:v>
                </c:pt>
                <c:pt idx="36">
                  <c:v>4361.6289999999999</c:v>
                </c:pt>
                <c:pt idx="37">
                  <c:v>4306.4129999999996</c:v>
                </c:pt>
                <c:pt idx="38">
                  <c:v>4226.576</c:v>
                </c:pt>
                <c:pt idx="39">
                  <c:v>4139.0050000000001</c:v>
                </c:pt>
                <c:pt idx="40">
                  <c:v>4054.5680000000002</c:v>
                </c:pt>
                <c:pt idx="41">
                  <c:v>3973.808</c:v>
                </c:pt>
                <c:pt idx="42">
                  <c:v>3890.25</c:v>
                </c:pt>
                <c:pt idx="43">
                  <c:v>3821.5039999999999</c:v>
                </c:pt>
                <c:pt idx="44">
                  <c:v>3771.855</c:v>
                </c:pt>
                <c:pt idx="45">
                  <c:v>3725.0909999999999</c:v>
                </c:pt>
                <c:pt idx="46">
                  <c:v>3708.884</c:v>
                </c:pt>
                <c:pt idx="47">
                  <c:v>3715.0309999999999</c:v>
                </c:pt>
                <c:pt idx="48">
                  <c:v>3738.864</c:v>
                </c:pt>
                <c:pt idx="49">
                  <c:v>3767.3890000000001</c:v>
                </c:pt>
                <c:pt idx="50">
                  <c:v>3789.279</c:v>
                </c:pt>
                <c:pt idx="51">
                  <c:v>3802.125</c:v>
                </c:pt>
                <c:pt idx="52">
                  <c:v>3823.6320000000001</c:v>
                </c:pt>
                <c:pt idx="53">
                  <c:v>3867.4960000000001</c:v>
                </c:pt>
                <c:pt idx="54">
                  <c:v>3934.6550000000002</c:v>
                </c:pt>
                <c:pt idx="55">
                  <c:v>4011.4270000000001</c:v>
                </c:pt>
                <c:pt idx="56">
                  <c:v>4077.9169999999999</c:v>
                </c:pt>
                <c:pt idx="57">
                  <c:v>4138.835</c:v>
                </c:pt>
                <c:pt idx="58">
                  <c:v>4190.7269999999999</c:v>
                </c:pt>
                <c:pt idx="59">
                  <c:v>4236.018</c:v>
                </c:pt>
                <c:pt idx="60">
                  <c:v>4277.9740000000002</c:v>
                </c:pt>
                <c:pt idx="61">
                  <c:v>4345.1220000000003</c:v>
                </c:pt>
                <c:pt idx="62">
                  <c:v>4416.0190000000002</c:v>
                </c:pt>
                <c:pt idx="63">
                  <c:v>4490.6620000000003</c:v>
                </c:pt>
                <c:pt idx="64">
                  <c:v>4563.1220000000003</c:v>
                </c:pt>
                <c:pt idx="65">
                  <c:v>4631.0479999999998</c:v>
                </c:pt>
                <c:pt idx="66">
                  <c:v>4700.2470000000003</c:v>
                </c:pt>
                <c:pt idx="67">
                  <c:v>4731.4809999999998</c:v>
                </c:pt>
                <c:pt idx="68">
                  <c:v>4708.0540000000001</c:v>
                </c:pt>
                <c:pt idx="69">
                  <c:v>4651.027</c:v>
                </c:pt>
                <c:pt idx="70">
                  <c:v>4597.7929999999997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9DC-4B80-AD62-48021C2BB957}"/>
            </c:ext>
          </c:extLst>
        </c:ser>
        <c:ser>
          <c:idx val="25"/>
          <c:order val="25"/>
          <c:tx>
            <c:strRef>
              <c:f>Sheet1!$AA$1</c:f>
              <c:strCache>
                <c:ptCount val="1"/>
                <c:pt idx="0">
                  <c:v>25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Sheet1!$AA$2:$AA$72</c:f>
              <c:numCache>
                <c:formatCode>0.000</c:formatCode>
                <c:ptCount val="71"/>
                <c:pt idx="0">
                  <c:v>2558.2109999999998</c:v>
                </c:pt>
                <c:pt idx="1">
                  <c:v>2523.3359999999998</c:v>
                </c:pt>
                <c:pt idx="2">
                  <c:v>2496.299</c:v>
                </c:pt>
                <c:pt idx="3">
                  <c:v>2459.8110000000001</c:v>
                </c:pt>
                <c:pt idx="4">
                  <c:v>2404.415</c:v>
                </c:pt>
                <c:pt idx="5">
                  <c:v>2333.741</c:v>
                </c:pt>
                <c:pt idx="6">
                  <c:v>2284.7739999999999</c:v>
                </c:pt>
                <c:pt idx="7">
                  <c:v>2244.0500000000002</c:v>
                </c:pt>
                <c:pt idx="8">
                  <c:v>2224.8440000000001</c:v>
                </c:pt>
                <c:pt idx="9">
                  <c:v>2227.2150000000001</c:v>
                </c:pt>
                <c:pt idx="10">
                  <c:v>2240.0300000000002</c:v>
                </c:pt>
                <c:pt idx="11">
                  <c:v>2250.9110000000001</c:v>
                </c:pt>
                <c:pt idx="12">
                  <c:v>2272.5169999999998</c:v>
                </c:pt>
                <c:pt idx="13">
                  <c:v>2317.5149999999999</c:v>
                </c:pt>
                <c:pt idx="14">
                  <c:v>2387.8200000000002</c:v>
                </c:pt>
                <c:pt idx="15">
                  <c:v>2474.9140000000002</c:v>
                </c:pt>
                <c:pt idx="16">
                  <c:v>2570.7919999999999</c:v>
                </c:pt>
                <c:pt idx="17">
                  <c:v>2670.886</c:v>
                </c:pt>
                <c:pt idx="18">
                  <c:v>2785.7260000000001</c:v>
                </c:pt>
                <c:pt idx="19">
                  <c:v>2907.9560000000001</c:v>
                </c:pt>
                <c:pt idx="20">
                  <c:v>3023.4450000000002</c:v>
                </c:pt>
                <c:pt idx="21">
                  <c:v>3162.2649999999999</c:v>
                </c:pt>
                <c:pt idx="22">
                  <c:v>3308.6990000000001</c:v>
                </c:pt>
                <c:pt idx="23">
                  <c:v>3454.6950000000002</c:v>
                </c:pt>
                <c:pt idx="24">
                  <c:v>3586.7689999999998</c:v>
                </c:pt>
                <c:pt idx="25">
                  <c:v>3699.4</c:v>
                </c:pt>
                <c:pt idx="26">
                  <c:v>3789.9430000000002</c:v>
                </c:pt>
                <c:pt idx="27">
                  <c:v>3870.1469999999999</c:v>
                </c:pt>
                <c:pt idx="28">
                  <c:v>3952.5770000000002</c:v>
                </c:pt>
                <c:pt idx="29">
                  <c:v>4047.3139999999999</c:v>
                </c:pt>
                <c:pt idx="30">
                  <c:v>4147.7839999999997</c:v>
                </c:pt>
                <c:pt idx="31">
                  <c:v>4242.058</c:v>
                </c:pt>
                <c:pt idx="32">
                  <c:v>4321.67</c:v>
                </c:pt>
                <c:pt idx="33">
                  <c:v>4377.5379999999996</c:v>
                </c:pt>
                <c:pt idx="34">
                  <c:v>4403.8419999999996</c:v>
                </c:pt>
                <c:pt idx="35">
                  <c:v>4404.8639999999996</c:v>
                </c:pt>
                <c:pt idx="36">
                  <c:v>4390.6289999999999</c:v>
                </c:pt>
                <c:pt idx="37">
                  <c:v>4360.5280000000002</c:v>
                </c:pt>
                <c:pt idx="38">
                  <c:v>4302.8389999999999</c:v>
                </c:pt>
                <c:pt idx="39">
                  <c:v>4224.4520000000002</c:v>
                </c:pt>
                <c:pt idx="40">
                  <c:v>4141.0540000000001</c:v>
                </c:pt>
                <c:pt idx="41">
                  <c:v>4072.1190000000001</c:v>
                </c:pt>
                <c:pt idx="42">
                  <c:v>3984.8620000000001</c:v>
                </c:pt>
                <c:pt idx="43">
                  <c:v>3897.652</c:v>
                </c:pt>
                <c:pt idx="44">
                  <c:v>3829.942</c:v>
                </c:pt>
                <c:pt idx="45">
                  <c:v>3784.1660000000002</c:v>
                </c:pt>
                <c:pt idx="46">
                  <c:v>3764.8609999999999</c:v>
                </c:pt>
                <c:pt idx="47">
                  <c:v>3754.6669999999999</c:v>
                </c:pt>
                <c:pt idx="48">
                  <c:v>3762.1480000000001</c:v>
                </c:pt>
                <c:pt idx="49">
                  <c:v>3781.02</c:v>
                </c:pt>
                <c:pt idx="50">
                  <c:v>3800.9929999999999</c:v>
                </c:pt>
                <c:pt idx="51">
                  <c:v>3811.0419999999999</c:v>
                </c:pt>
                <c:pt idx="52">
                  <c:v>3815.8119999999999</c:v>
                </c:pt>
                <c:pt idx="53">
                  <c:v>3833.6219999999998</c:v>
                </c:pt>
                <c:pt idx="54">
                  <c:v>3879.9209999999998</c:v>
                </c:pt>
                <c:pt idx="55">
                  <c:v>3952.7660000000001</c:v>
                </c:pt>
                <c:pt idx="56">
                  <c:v>4019.5189999999998</c:v>
                </c:pt>
                <c:pt idx="57">
                  <c:v>4086.1170000000002</c:v>
                </c:pt>
                <c:pt idx="58">
                  <c:v>4146.232</c:v>
                </c:pt>
                <c:pt idx="59">
                  <c:v>4196.2070000000003</c:v>
                </c:pt>
                <c:pt idx="60">
                  <c:v>4239.3429999999998</c:v>
                </c:pt>
                <c:pt idx="61">
                  <c:v>4308.4889999999996</c:v>
                </c:pt>
                <c:pt idx="62">
                  <c:v>4377.6180000000004</c:v>
                </c:pt>
                <c:pt idx="63">
                  <c:v>4449.3379999999997</c:v>
                </c:pt>
                <c:pt idx="64">
                  <c:v>4523.9350000000004</c:v>
                </c:pt>
                <c:pt idx="65">
                  <c:v>4595.7719999999999</c:v>
                </c:pt>
                <c:pt idx="66">
                  <c:v>4661.9219999999996</c:v>
                </c:pt>
                <c:pt idx="67">
                  <c:v>4729.5959999999995</c:v>
                </c:pt>
                <c:pt idx="68">
                  <c:v>4760.3220000000001</c:v>
                </c:pt>
                <c:pt idx="69">
                  <c:v>4737.732</c:v>
                </c:pt>
                <c:pt idx="70">
                  <c:v>4681.7920000000004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9DC-4B80-AD62-48021C2BB957}"/>
            </c:ext>
          </c:extLst>
        </c:ser>
        <c:ser>
          <c:idx val="26"/>
          <c:order val="26"/>
          <c:tx>
            <c:strRef>
              <c:f>Sheet1!$AB$1</c:f>
              <c:strCache>
                <c:ptCount val="1"/>
                <c:pt idx="0">
                  <c:v>26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Sheet1!$AB$2:$AB$72</c:f>
              <c:numCache>
                <c:formatCode>0.000</c:formatCode>
                <c:ptCount val="71"/>
                <c:pt idx="0">
                  <c:v>2590.0219999999999</c:v>
                </c:pt>
                <c:pt idx="1">
                  <c:v>2553.201</c:v>
                </c:pt>
                <c:pt idx="2">
                  <c:v>2524.902</c:v>
                </c:pt>
                <c:pt idx="3">
                  <c:v>2500.3440000000001</c:v>
                </c:pt>
                <c:pt idx="4">
                  <c:v>2463.2280000000001</c:v>
                </c:pt>
                <c:pt idx="5">
                  <c:v>2405.0230000000001</c:v>
                </c:pt>
                <c:pt idx="6">
                  <c:v>2347.6170000000002</c:v>
                </c:pt>
                <c:pt idx="7">
                  <c:v>2300.5430000000001</c:v>
                </c:pt>
                <c:pt idx="8">
                  <c:v>2263.058</c:v>
                </c:pt>
                <c:pt idx="9">
                  <c:v>2245.7600000000002</c:v>
                </c:pt>
                <c:pt idx="10">
                  <c:v>2246.6840000000002</c:v>
                </c:pt>
                <c:pt idx="11">
                  <c:v>2249.0949999999998</c:v>
                </c:pt>
                <c:pt idx="12">
                  <c:v>2262.2919999999999</c:v>
                </c:pt>
                <c:pt idx="13">
                  <c:v>2285.3449999999998</c:v>
                </c:pt>
                <c:pt idx="14">
                  <c:v>2329.7750000000001</c:v>
                </c:pt>
                <c:pt idx="15">
                  <c:v>2397.8310000000001</c:v>
                </c:pt>
                <c:pt idx="16">
                  <c:v>2487.3829999999998</c:v>
                </c:pt>
                <c:pt idx="17">
                  <c:v>2582.2660000000001</c:v>
                </c:pt>
                <c:pt idx="18">
                  <c:v>2682.3130000000001</c:v>
                </c:pt>
                <c:pt idx="19">
                  <c:v>2794.9850000000001</c:v>
                </c:pt>
                <c:pt idx="20">
                  <c:v>2911.4209999999998</c:v>
                </c:pt>
                <c:pt idx="21">
                  <c:v>3043.998</c:v>
                </c:pt>
                <c:pt idx="22">
                  <c:v>3184.8429999999998</c:v>
                </c:pt>
                <c:pt idx="23">
                  <c:v>3334.9789999999998</c:v>
                </c:pt>
                <c:pt idx="24">
                  <c:v>3483.4119999999998</c:v>
                </c:pt>
                <c:pt idx="25">
                  <c:v>3614.3380000000002</c:v>
                </c:pt>
                <c:pt idx="26">
                  <c:v>3710.5070000000001</c:v>
                </c:pt>
                <c:pt idx="27">
                  <c:v>3801.5410000000002</c:v>
                </c:pt>
                <c:pt idx="28">
                  <c:v>3881.2170000000001</c:v>
                </c:pt>
                <c:pt idx="29">
                  <c:v>3962.2359999999999</c:v>
                </c:pt>
                <c:pt idx="30">
                  <c:v>4056.2269999999999</c:v>
                </c:pt>
                <c:pt idx="31">
                  <c:v>4167.1880000000001</c:v>
                </c:pt>
                <c:pt idx="32">
                  <c:v>4259.5069999999996</c:v>
                </c:pt>
                <c:pt idx="33">
                  <c:v>4336.7820000000002</c:v>
                </c:pt>
                <c:pt idx="34">
                  <c:v>4390.2280000000001</c:v>
                </c:pt>
                <c:pt idx="35">
                  <c:v>4414.2089999999998</c:v>
                </c:pt>
                <c:pt idx="36">
                  <c:v>4412.7879999999996</c:v>
                </c:pt>
                <c:pt idx="37">
                  <c:v>4394.08</c:v>
                </c:pt>
                <c:pt idx="38">
                  <c:v>4359.1180000000004</c:v>
                </c:pt>
                <c:pt idx="39">
                  <c:v>4298.8999999999996</c:v>
                </c:pt>
                <c:pt idx="40">
                  <c:v>4222.1180000000004</c:v>
                </c:pt>
                <c:pt idx="41">
                  <c:v>4165.1059999999998</c:v>
                </c:pt>
                <c:pt idx="42">
                  <c:v>4089.9050000000002</c:v>
                </c:pt>
                <c:pt idx="43">
                  <c:v>3997.1970000000001</c:v>
                </c:pt>
                <c:pt idx="44">
                  <c:v>3907.7159999999999</c:v>
                </c:pt>
                <c:pt idx="45">
                  <c:v>3841.56</c:v>
                </c:pt>
                <c:pt idx="46">
                  <c:v>3822.3780000000002</c:v>
                </c:pt>
                <c:pt idx="47">
                  <c:v>3808.9639999999999</c:v>
                </c:pt>
                <c:pt idx="48">
                  <c:v>3801.7539999999999</c:v>
                </c:pt>
                <c:pt idx="49">
                  <c:v>3806.5770000000002</c:v>
                </c:pt>
                <c:pt idx="50">
                  <c:v>3818.2359999999999</c:v>
                </c:pt>
                <c:pt idx="51">
                  <c:v>3823.85</c:v>
                </c:pt>
                <c:pt idx="52">
                  <c:v>3826.047</c:v>
                </c:pt>
                <c:pt idx="53">
                  <c:v>3825.8229999999999</c:v>
                </c:pt>
                <c:pt idx="54">
                  <c:v>3843.991</c:v>
                </c:pt>
                <c:pt idx="55">
                  <c:v>3894.6390000000001</c:v>
                </c:pt>
                <c:pt idx="56">
                  <c:v>3964.1770000000001</c:v>
                </c:pt>
                <c:pt idx="57">
                  <c:v>4031.0050000000001</c:v>
                </c:pt>
                <c:pt idx="58">
                  <c:v>4095.9940000000001</c:v>
                </c:pt>
                <c:pt idx="59">
                  <c:v>4152.8140000000003</c:v>
                </c:pt>
                <c:pt idx="60">
                  <c:v>4199.5829999999996</c:v>
                </c:pt>
                <c:pt idx="61">
                  <c:v>4267.7709999999997</c:v>
                </c:pt>
                <c:pt idx="62">
                  <c:v>4339.1670000000004</c:v>
                </c:pt>
                <c:pt idx="63">
                  <c:v>4409.2250000000004</c:v>
                </c:pt>
                <c:pt idx="64">
                  <c:v>4480.9970000000003</c:v>
                </c:pt>
                <c:pt idx="65">
                  <c:v>4555.2359999999999</c:v>
                </c:pt>
                <c:pt idx="66">
                  <c:v>4624.5290000000005</c:v>
                </c:pt>
                <c:pt idx="67">
                  <c:v>4689.4399999999996</c:v>
                </c:pt>
                <c:pt idx="68">
                  <c:v>4756.66</c:v>
                </c:pt>
                <c:pt idx="69">
                  <c:v>4788.2049999999999</c:v>
                </c:pt>
                <c:pt idx="70">
                  <c:v>4766.8720000000003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9DC-4B80-AD62-48021C2BB957}"/>
            </c:ext>
          </c:extLst>
        </c:ser>
        <c:ser>
          <c:idx val="27"/>
          <c:order val="27"/>
          <c:tx>
            <c:strRef>
              <c:f>Sheet1!$AC$1</c:f>
              <c:strCache>
                <c:ptCount val="1"/>
                <c:pt idx="0">
                  <c:v>27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Sheet1!$AC$2:$AC$72</c:f>
              <c:numCache>
                <c:formatCode>0.000</c:formatCode>
                <c:ptCount val="71"/>
                <c:pt idx="0">
                  <c:v>2600.8249999999998</c:v>
                </c:pt>
                <c:pt idx="1">
                  <c:v>2584.357</c:v>
                </c:pt>
                <c:pt idx="2">
                  <c:v>2554.277</c:v>
                </c:pt>
                <c:pt idx="3">
                  <c:v>2528.2689999999998</c:v>
                </c:pt>
                <c:pt idx="4">
                  <c:v>2504.3270000000002</c:v>
                </c:pt>
                <c:pt idx="5">
                  <c:v>2466.3009999999999</c:v>
                </c:pt>
                <c:pt idx="6">
                  <c:v>2414.576</c:v>
                </c:pt>
                <c:pt idx="7">
                  <c:v>2359.4110000000001</c:v>
                </c:pt>
                <c:pt idx="8">
                  <c:v>2315.4189999999999</c:v>
                </c:pt>
                <c:pt idx="9">
                  <c:v>2282.1529999999998</c:v>
                </c:pt>
                <c:pt idx="10">
                  <c:v>2266.989</c:v>
                </c:pt>
                <c:pt idx="11">
                  <c:v>2254.3560000000002</c:v>
                </c:pt>
                <c:pt idx="12">
                  <c:v>2259.192</c:v>
                </c:pt>
                <c:pt idx="13">
                  <c:v>2273.8420000000001</c:v>
                </c:pt>
                <c:pt idx="14">
                  <c:v>2297.0770000000002</c:v>
                </c:pt>
                <c:pt idx="15">
                  <c:v>2340.3809999999999</c:v>
                </c:pt>
                <c:pt idx="16">
                  <c:v>2409.7710000000002</c:v>
                </c:pt>
                <c:pt idx="17">
                  <c:v>2498.2460000000001</c:v>
                </c:pt>
                <c:pt idx="18">
                  <c:v>2592.491</c:v>
                </c:pt>
                <c:pt idx="19">
                  <c:v>2693.2719999999999</c:v>
                </c:pt>
                <c:pt idx="20">
                  <c:v>2804.4740000000002</c:v>
                </c:pt>
                <c:pt idx="21">
                  <c:v>2928.31</c:v>
                </c:pt>
                <c:pt idx="22">
                  <c:v>3063.067</c:v>
                </c:pt>
                <c:pt idx="23">
                  <c:v>3207.2910000000002</c:v>
                </c:pt>
                <c:pt idx="24">
                  <c:v>3362.482</c:v>
                </c:pt>
                <c:pt idx="25">
                  <c:v>3513.7440000000001</c:v>
                </c:pt>
                <c:pt idx="26">
                  <c:v>3628.415</c:v>
                </c:pt>
                <c:pt idx="27">
                  <c:v>3724.1320000000001</c:v>
                </c:pt>
                <c:pt idx="28">
                  <c:v>3814.616</c:v>
                </c:pt>
                <c:pt idx="29">
                  <c:v>3892.03</c:v>
                </c:pt>
                <c:pt idx="30">
                  <c:v>3970.5949999999998</c:v>
                </c:pt>
                <c:pt idx="31">
                  <c:v>4077.5729999999999</c:v>
                </c:pt>
                <c:pt idx="32">
                  <c:v>4186.0789999999997</c:v>
                </c:pt>
                <c:pt idx="33">
                  <c:v>4275.9809999999998</c:v>
                </c:pt>
                <c:pt idx="34">
                  <c:v>4350.99</c:v>
                </c:pt>
                <c:pt idx="35">
                  <c:v>4402.0339999999997</c:v>
                </c:pt>
                <c:pt idx="36">
                  <c:v>4427.1350000000002</c:v>
                </c:pt>
                <c:pt idx="37">
                  <c:v>4420.5370000000003</c:v>
                </c:pt>
                <c:pt idx="38">
                  <c:v>4397.2219999999998</c:v>
                </c:pt>
                <c:pt idx="39">
                  <c:v>4357.3360000000002</c:v>
                </c:pt>
                <c:pt idx="40">
                  <c:v>4294.7430000000004</c:v>
                </c:pt>
                <c:pt idx="41">
                  <c:v>4253.4170000000004</c:v>
                </c:pt>
                <c:pt idx="42">
                  <c:v>4189.3890000000001</c:v>
                </c:pt>
                <c:pt idx="43">
                  <c:v>4109</c:v>
                </c:pt>
                <c:pt idx="44">
                  <c:v>4012.2620000000002</c:v>
                </c:pt>
                <c:pt idx="45">
                  <c:v>3921.0279999999998</c:v>
                </c:pt>
                <c:pt idx="46">
                  <c:v>3878.241</c:v>
                </c:pt>
                <c:pt idx="47">
                  <c:v>3864.989</c:v>
                </c:pt>
                <c:pt idx="48">
                  <c:v>3854.3879999999999</c:v>
                </c:pt>
                <c:pt idx="49">
                  <c:v>3846.123</c:v>
                </c:pt>
                <c:pt idx="50">
                  <c:v>3846.029</c:v>
                </c:pt>
                <c:pt idx="51">
                  <c:v>3842.297</c:v>
                </c:pt>
                <c:pt idx="52">
                  <c:v>3839.93</c:v>
                </c:pt>
                <c:pt idx="53">
                  <c:v>3837.366</c:v>
                </c:pt>
                <c:pt idx="54">
                  <c:v>3836.2109999999998</c:v>
                </c:pt>
                <c:pt idx="55">
                  <c:v>3856.6329999999998</c:v>
                </c:pt>
                <c:pt idx="56">
                  <c:v>3909.6579999999999</c:v>
                </c:pt>
                <c:pt idx="57">
                  <c:v>3978.9349999999999</c:v>
                </c:pt>
                <c:pt idx="58">
                  <c:v>4044.1460000000002</c:v>
                </c:pt>
                <c:pt idx="59">
                  <c:v>4105.0659999999998</c:v>
                </c:pt>
                <c:pt idx="60">
                  <c:v>4157.3140000000003</c:v>
                </c:pt>
                <c:pt idx="61">
                  <c:v>4225.6949999999997</c:v>
                </c:pt>
                <c:pt idx="62">
                  <c:v>4296.357</c:v>
                </c:pt>
                <c:pt idx="63">
                  <c:v>4368.9589999999998</c:v>
                </c:pt>
                <c:pt idx="64">
                  <c:v>4439.1869999999999</c:v>
                </c:pt>
                <c:pt idx="65">
                  <c:v>4510.7070000000003</c:v>
                </c:pt>
                <c:pt idx="66">
                  <c:v>4581.6679999999997</c:v>
                </c:pt>
                <c:pt idx="67">
                  <c:v>4649.9579999999996</c:v>
                </c:pt>
                <c:pt idx="68">
                  <c:v>4714.6949999999997</c:v>
                </c:pt>
                <c:pt idx="69">
                  <c:v>4782.7690000000002</c:v>
                </c:pt>
                <c:pt idx="70">
                  <c:v>4815.5469999999996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9DC-4B80-AD62-48021C2BB957}"/>
            </c:ext>
          </c:extLst>
        </c:ser>
        <c:ser>
          <c:idx val="28"/>
          <c:order val="28"/>
          <c:tx>
            <c:strRef>
              <c:f>Sheet1!$AD$1</c:f>
              <c:strCache>
                <c:ptCount val="1"/>
                <c:pt idx="0">
                  <c:v>28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Sheet1!$AD$2:$AD$72</c:f>
              <c:numCache>
                <c:formatCode>0.000</c:formatCode>
                <c:ptCount val="71"/>
                <c:pt idx="0">
                  <c:v>2581.308</c:v>
                </c:pt>
                <c:pt idx="1">
                  <c:v>2594.645</c:v>
                </c:pt>
                <c:pt idx="2">
                  <c:v>2584.8519999999999</c:v>
                </c:pt>
                <c:pt idx="3">
                  <c:v>2557.1729999999998</c:v>
                </c:pt>
                <c:pt idx="4">
                  <c:v>2531.5720000000001</c:v>
                </c:pt>
                <c:pt idx="5">
                  <c:v>2507.962</c:v>
                </c:pt>
                <c:pt idx="6">
                  <c:v>2472.5160000000001</c:v>
                </c:pt>
                <c:pt idx="7">
                  <c:v>2421.9830000000002</c:v>
                </c:pt>
                <c:pt idx="8">
                  <c:v>2370.2930000000001</c:v>
                </c:pt>
                <c:pt idx="9">
                  <c:v>2330.3879999999999</c:v>
                </c:pt>
                <c:pt idx="10">
                  <c:v>2301.5659999999998</c:v>
                </c:pt>
                <c:pt idx="11">
                  <c:v>2273.1880000000001</c:v>
                </c:pt>
                <c:pt idx="12">
                  <c:v>2263.0630000000001</c:v>
                </c:pt>
                <c:pt idx="13">
                  <c:v>2269.4549999999999</c:v>
                </c:pt>
                <c:pt idx="14">
                  <c:v>2284.3000000000002</c:v>
                </c:pt>
                <c:pt idx="15">
                  <c:v>2307.1779999999999</c:v>
                </c:pt>
                <c:pt idx="16">
                  <c:v>2351.0880000000002</c:v>
                </c:pt>
                <c:pt idx="17">
                  <c:v>2420.1509999999998</c:v>
                </c:pt>
                <c:pt idx="18">
                  <c:v>2507.9</c:v>
                </c:pt>
                <c:pt idx="19">
                  <c:v>2602.2669999999998</c:v>
                </c:pt>
                <c:pt idx="20">
                  <c:v>2704.4540000000002</c:v>
                </c:pt>
                <c:pt idx="21">
                  <c:v>2817.6010000000001</c:v>
                </c:pt>
                <c:pt idx="22">
                  <c:v>2943.7759999999998</c:v>
                </c:pt>
                <c:pt idx="23">
                  <c:v>3082.0129999999999</c:v>
                </c:pt>
                <c:pt idx="24">
                  <c:v>3230.9169999999999</c:v>
                </c:pt>
                <c:pt idx="25">
                  <c:v>3391.5439999999999</c:v>
                </c:pt>
                <c:pt idx="26">
                  <c:v>3527.2089999999998</c:v>
                </c:pt>
                <c:pt idx="27">
                  <c:v>3644.9540000000002</c:v>
                </c:pt>
                <c:pt idx="28">
                  <c:v>3739.2049999999999</c:v>
                </c:pt>
                <c:pt idx="29">
                  <c:v>3827.4369999999999</c:v>
                </c:pt>
                <c:pt idx="30">
                  <c:v>3901.5650000000001</c:v>
                </c:pt>
                <c:pt idx="31">
                  <c:v>3991.4870000000001</c:v>
                </c:pt>
                <c:pt idx="32">
                  <c:v>4098.415</c:v>
                </c:pt>
                <c:pt idx="33">
                  <c:v>4204.0119999999997</c:v>
                </c:pt>
                <c:pt idx="34">
                  <c:v>4291.5640000000003</c:v>
                </c:pt>
                <c:pt idx="35">
                  <c:v>4364.3230000000003</c:v>
                </c:pt>
                <c:pt idx="36">
                  <c:v>4417.1580000000004</c:v>
                </c:pt>
                <c:pt idx="37">
                  <c:v>4439.8919999999998</c:v>
                </c:pt>
                <c:pt idx="38">
                  <c:v>4427.9790000000003</c:v>
                </c:pt>
                <c:pt idx="39">
                  <c:v>4399.9849999999997</c:v>
                </c:pt>
                <c:pt idx="40">
                  <c:v>4355.33</c:v>
                </c:pt>
                <c:pt idx="41">
                  <c:v>4329.076</c:v>
                </c:pt>
                <c:pt idx="42">
                  <c:v>4284.9409999999998</c:v>
                </c:pt>
                <c:pt idx="43">
                  <c:v>4215.0069999999996</c:v>
                </c:pt>
                <c:pt idx="44">
                  <c:v>4130.902</c:v>
                </c:pt>
                <c:pt idx="45">
                  <c:v>4030.6709999999998</c:v>
                </c:pt>
                <c:pt idx="46">
                  <c:v>3955.1370000000002</c:v>
                </c:pt>
                <c:pt idx="47">
                  <c:v>3919.3850000000002</c:v>
                </c:pt>
                <c:pt idx="48">
                  <c:v>3908.9360000000001</c:v>
                </c:pt>
                <c:pt idx="49">
                  <c:v>3897.0540000000001</c:v>
                </c:pt>
                <c:pt idx="50">
                  <c:v>3885.4650000000001</c:v>
                </c:pt>
                <c:pt idx="51">
                  <c:v>3870.59</c:v>
                </c:pt>
                <c:pt idx="52">
                  <c:v>3859.549</c:v>
                </c:pt>
                <c:pt idx="53">
                  <c:v>3852.3090000000002</c:v>
                </c:pt>
                <c:pt idx="54">
                  <c:v>3849.0590000000002</c:v>
                </c:pt>
                <c:pt idx="55">
                  <c:v>3848.8690000000001</c:v>
                </c:pt>
                <c:pt idx="56">
                  <c:v>3873.72</c:v>
                </c:pt>
                <c:pt idx="57">
                  <c:v>3927.9760000000001</c:v>
                </c:pt>
                <c:pt idx="58">
                  <c:v>3995.3270000000002</c:v>
                </c:pt>
                <c:pt idx="59">
                  <c:v>4056.4940000000001</c:v>
                </c:pt>
                <c:pt idx="60">
                  <c:v>4112.0780000000004</c:v>
                </c:pt>
                <c:pt idx="61">
                  <c:v>4181.2160000000003</c:v>
                </c:pt>
                <c:pt idx="62">
                  <c:v>4251.9610000000002</c:v>
                </c:pt>
                <c:pt idx="63">
                  <c:v>4324.0659999999998</c:v>
                </c:pt>
                <c:pt idx="64">
                  <c:v>4397.125</c:v>
                </c:pt>
                <c:pt idx="65">
                  <c:v>4467.2179999999998</c:v>
                </c:pt>
                <c:pt idx="66">
                  <c:v>4534.915</c:v>
                </c:pt>
                <c:pt idx="67">
                  <c:v>4604.8</c:v>
                </c:pt>
                <c:pt idx="68">
                  <c:v>4673.1400000000003</c:v>
                </c:pt>
                <c:pt idx="69">
                  <c:v>4739.0039999999999</c:v>
                </c:pt>
                <c:pt idx="70">
                  <c:v>4808.3389999999999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9DC-4B80-AD62-48021C2BB957}"/>
            </c:ext>
          </c:extLst>
        </c:ser>
        <c:ser>
          <c:idx val="29"/>
          <c:order val="29"/>
          <c:tx>
            <c:strRef>
              <c:f>Sheet1!$AE$1</c:f>
              <c:strCache>
                <c:ptCount val="1"/>
                <c:pt idx="0">
                  <c:v>29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Sheet1!$AE$2:$AE$72</c:f>
              <c:numCache>
                <c:formatCode>0.000</c:formatCode>
                <c:ptCount val="71"/>
                <c:pt idx="0">
                  <c:v>2541.674</c:v>
                </c:pt>
                <c:pt idx="1">
                  <c:v>2575.011</c:v>
                </c:pt>
                <c:pt idx="2">
                  <c:v>2594.652</c:v>
                </c:pt>
                <c:pt idx="3">
                  <c:v>2587.1889999999999</c:v>
                </c:pt>
                <c:pt idx="4">
                  <c:v>2560.0030000000002</c:v>
                </c:pt>
                <c:pt idx="5">
                  <c:v>2534.5219999999999</c:v>
                </c:pt>
                <c:pt idx="6">
                  <c:v>2512.7449999999999</c:v>
                </c:pt>
                <c:pt idx="7">
                  <c:v>2476.5320000000002</c:v>
                </c:pt>
                <c:pt idx="8">
                  <c:v>2428.4549999999999</c:v>
                </c:pt>
                <c:pt idx="9">
                  <c:v>2381.2730000000001</c:v>
                </c:pt>
                <c:pt idx="10">
                  <c:v>2345.683</c:v>
                </c:pt>
                <c:pt idx="11">
                  <c:v>2306.317</c:v>
                </c:pt>
                <c:pt idx="12">
                  <c:v>2280.4299999999998</c:v>
                </c:pt>
                <c:pt idx="13">
                  <c:v>2271.9360000000001</c:v>
                </c:pt>
                <c:pt idx="14">
                  <c:v>2278.6280000000002</c:v>
                </c:pt>
                <c:pt idx="15">
                  <c:v>2293.136</c:v>
                </c:pt>
                <c:pt idx="16">
                  <c:v>2315.9459999999999</c:v>
                </c:pt>
                <c:pt idx="17">
                  <c:v>2360.2719999999999</c:v>
                </c:pt>
                <c:pt idx="18">
                  <c:v>2429.3620000000001</c:v>
                </c:pt>
                <c:pt idx="19">
                  <c:v>2517.12</c:v>
                </c:pt>
                <c:pt idx="20">
                  <c:v>2612.2559999999999</c:v>
                </c:pt>
                <c:pt idx="21">
                  <c:v>2714.0770000000002</c:v>
                </c:pt>
                <c:pt idx="22">
                  <c:v>2829.3620000000001</c:v>
                </c:pt>
                <c:pt idx="23">
                  <c:v>2959.127</c:v>
                </c:pt>
                <c:pt idx="24">
                  <c:v>3102.0909999999999</c:v>
                </c:pt>
                <c:pt idx="25">
                  <c:v>3256.0369999999998</c:v>
                </c:pt>
                <c:pt idx="26">
                  <c:v>3398.7330000000002</c:v>
                </c:pt>
                <c:pt idx="27">
                  <c:v>3543.067</c:v>
                </c:pt>
                <c:pt idx="28">
                  <c:v>3662.91</c:v>
                </c:pt>
                <c:pt idx="29">
                  <c:v>3754.029</c:v>
                </c:pt>
                <c:pt idx="30">
                  <c:v>3838.9989999999998</c:v>
                </c:pt>
                <c:pt idx="31">
                  <c:v>3918.34</c:v>
                </c:pt>
                <c:pt idx="32">
                  <c:v>4011.8850000000002</c:v>
                </c:pt>
                <c:pt idx="33">
                  <c:v>4118.317</c:v>
                </c:pt>
                <c:pt idx="34">
                  <c:v>4221.067</c:v>
                </c:pt>
                <c:pt idx="35">
                  <c:v>4306.2839999999997</c:v>
                </c:pt>
                <c:pt idx="36">
                  <c:v>4376.9620000000004</c:v>
                </c:pt>
                <c:pt idx="37">
                  <c:v>4432.116</c:v>
                </c:pt>
                <c:pt idx="38">
                  <c:v>4452.3419999999996</c:v>
                </c:pt>
                <c:pt idx="39">
                  <c:v>4435.0379999999996</c:v>
                </c:pt>
                <c:pt idx="40">
                  <c:v>4402.518</c:v>
                </c:pt>
                <c:pt idx="41">
                  <c:v>4385.99</c:v>
                </c:pt>
                <c:pt idx="42">
                  <c:v>4363.6310000000003</c:v>
                </c:pt>
                <c:pt idx="43">
                  <c:v>4317.8209999999999</c:v>
                </c:pt>
                <c:pt idx="44">
                  <c:v>4243.5050000000001</c:v>
                </c:pt>
                <c:pt idx="45">
                  <c:v>4156.2569999999996</c:v>
                </c:pt>
                <c:pt idx="46">
                  <c:v>4060.886</c:v>
                </c:pt>
                <c:pt idx="47">
                  <c:v>3993.7979999999998</c:v>
                </c:pt>
                <c:pt idx="48">
                  <c:v>3961.8809999999999</c:v>
                </c:pt>
                <c:pt idx="49">
                  <c:v>3950.0830000000001</c:v>
                </c:pt>
                <c:pt idx="50">
                  <c:v>3934.6280000000002</c:v>
                </c:pt>
                <c:pt idx="51">
                  <c:v>3909.2750000000001</c:v>
                </c:pt>
                <c:pt idx="52">
                  <c:v>3888.2959999999998</c:v>
                </c:pt>
                <c:pt idx="53">
                  <c:v>3873.0819999999999</c:v>
                </c:pt>
                <c:pt idx="54">
                  <c:v>3865.0619999999999</c:v>
                </c:pt>
                <c:pt idx="55">
                  <c:v>3863.029</c:v>
                </c:pt>
                <c:pt idx="56">
                  <c:v>3865.538</c:v>
                </c:pt>
                <c:pt idx="57">
                  <c:v>3894.0740000000001</c:v>
                </c:pt>
                <c:pt idx="58">
                  <c:v>3947.9079999999999</c:v>
                </c:pt>
                <c:pt idx="59">
                  <c:v>4010.9380000000001</c:v>
                </c:pt>
                <c:pt idx="60">
                  <c:v>4066.808</c:v>
                </c:pt>
                <c:pt idx="61">
                  <c:v>4134.0290000000005</c:v>
                </c:pt>
                <c:pt idx="62">
                  <c:v>4205.2669999999998</c:v>
                </c:pt>
                <c:pt idx="63">
                  <c:v>4277.357</c:v>
                </c:pt>
                <c:pt idx="64">
                  <c:v>4350.1620000000003</c:v>
                </c:pt>
                <c:pt idx="65">
                  <c:v>4423.3779999999997</c:v>
                </c:pt>
                <c:pt idx="66">
                  <c:v>4489.4470000000001</c:v>
                </c:pt>
                <c:pt idx="67">
                  <c:v>4555.8540000000003</c:v>
                </c:pt>
                <c:pt idx="68">
                  <c:v>4625.7079999999996</c:v>
                </c:pt>
                <c:pt idx="69">
                  <c:v>4695.3879999999999</c:v>
                </c:pt>
                <c:pt idx="70">
                  <c:v>4762.78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9DC-4B80-AD62-48021C2BB957}"/>
            </c:ext>
          </c:extLst>
        </c:ser>
        <c:ser>
          <c:idx val="30"/>
          <c:order val="30"/>
          <c:tx>
            <c:strRef>
              <c:f>Sheet1!$AF$1</c:f>
              <c:strCache>
                <c:ptCount val="1"/>
                <c:pt idx="0">
                  <c:v>30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Sheet1!$AF$2:$AF$72</c:f>
              <c:numCache>
                <c:formatCode>0.000</c:formatCode>
                <c:ptCount val="71"/>
                <c:pt idx="0">
                  <c:v>2500.721</c:v>
                </c:pt>
                <c:pt idx="1">
                  <c:v>2535.4670000000001</c:v>
                </c:pt>
                <c:pt idx="2">
                  <c:v>2574.8530000000001</c:v>
                </c:pt>
                <c:pt idx="3">
                  <c:v>2596.5059999999999</c:v>
                </c:pt>
                <c:pt idx="4">
                  <c:v>2589.4580000000001</c:v>
                </c:pt>
                <c:pt idx="5">
                  <c:v>2562.4749999999999</c:v>
                </c:pt>
                <c:pt idx="6">
                  <c:v>2539.0770000000002</c:v>
                </c:pt>
                <c:pt idx="7">
                  <c:v>2515.2910000000002</c:v>
                </c:pt>
                <c:pt idx="8">
                  <c:v>2479.5929999999998</c:v>
                </c:pt>
                <c:pt idx="9">
                  <c:v>2435.0320000000002</c:v>
                </c:pt>
                <c:pt idx="10">
                  <c:v>2392.587</c:v>
                </c:pt>
                <c:pt idx="11">
                  <c:v>2349.011</c:v>
                </c:pt>
                <c:pt idx="12">
                  <c:v>2312.125</c:v>
                </c:pt>
                <c:pt idx="13">
                  <c:v>2287.8389999999999</c:v>
                </c:pt>
                <c:pt idx="14">
                  <c:v>2279.7150000000001</c:v>
                </c:pt>
                <c:pt idx="15">
                  <c:v>2286.183</c:v>
                </c:pt>
                <c:pt idx="16">
                  <c:v>2299.538</c:v>
                </c:pt>
                <c:pt idx="17">
                  <c:v>2323.212</c:v>
                </c:pt>
                <c:pt idx="18">
                  <c:v>2368.3139999999999</c:v>
                </c:pt>
                <c:pt idx="19">
                  <c:v>2438.152</c:v>
                </c:pt>
                <c:pt idx="20">
                  <c:v>2526.547</c:v>
                </c:pt>
                <c:pt idx="21">
                  <c:v>2618.64</c:v>
                </c:pt>
                <c:pt idx="22">
                  <c:v>2722.386</c:v>
                </c:pt>
                <c:pt idx="23">
                  <c:v>2841.0149999999999</c:v>
                </c:pt>
                <c:pt idx="24">
                  <c:v>2975.5639999999999</c:v>
                </c:pt>
                <c:pt idx="25">
                  <c:v>3123.6019999999999</c:v>
                </c:pt>
                <c:pt idx="26">
                  <c:v>3253.6640000000002</c:v>
                </c:pt>
                <c:pt idx="27">
                  <c:v>3408.2310000000002</c:v>
                </c:pt>
                <c:pt idx="28">
                  <c:v>3560.3029999999999</c:v>
                </c:pt>
                <c:pt idx="29">
                  <c:v>3680.6239999999998</c:v>
                </c:pt>
                <c:pt idx="30">
                  <c:v>3767.6190000000001</c:v>
                </c:pt>
                <c:pt idx="31">
                  <c:v>3849.4850000000001</c:v>
                </c:pt>
                <c:pt idx="32">
                  <c:v>3934.625</c:v>
                </c:pt>
                <c:pt idx="33">
                  <c:v>4031.36</c:v>
                </c:pt>
                <c:pt idx="34">
                  <c:v>4137.3599999999997</c:v>
                </c:pt>
                <c:pt idx="35">
                  <c:v>4237.2740000000003</c:v>
                </c:pt>
                <c:pt idx="36">
                  <c:v>4313.6059999999998</c:v>
                </c:pt>
                <c:pt idx="37">
                  <c:v>4389.4380000000001</c:v>
                </c:pt>
                <c:pt idx="38">
                  <c:v>4446.7690000000002</c:v>
                </c:pt>
                <c:pt idx="39">
                  <c:v>4464.4059999999999</c:v>
                </c:pt>
                <c:pt idx="40">
                  <c:v>4441.8590000000004</c:v>
                </c:pt>
                <c:pt idx="41">
                  <c:v>4425.25</c:v>
                </c:pt>
                <c:pt idx="42">
                  <c:v>4416.8770000000004</c:v>
                </c:pt>
                <c:pt idx="43">
                  <c:v>4399.5659999999998</c:v>
                </c:pt>
                <c:pt idx="44">
                  <c:v>4353.6530000000002</c:v>
                </c:pt>
                <c:pt idx="45">
                  <c:v>4275.5600000000004</c:v>
                </c:pt>
                <c:pt idx="46">
                  <c:v>4181.7389999999996</c:v>
                </c:pt>
                <c:pt idx="47">
                  <c:v>4095.7759999999998</c:v>
                </c:pt>
                <c:pt idx="48">
                  <c:v>4033.8319999999999</c:v>
                </c:pt>
                <c:pt idx="49">
                  <c:v>4001.5369999999998</c:v>
                </c:pt>
                <c:pt idx="50">
                  <c:v>3986.0709999999999</c:v>
                </c:pt>
                <c:pt idx="51">
                  <c:v>3956.8429999999998</c:v>
                </c:pt>
                <c:pt idx="52">
                  <c:v>3926.1570000000002</c:v>
                </c:pt>
                <c:pt idx="53">
                  <c:v>3902.2530000000002</c:v>
                </c:pt>
                <c:pt idx="54">
                  <c:v>3886.989</c:v>
                </c:pt>
                <c:pt idx="55">
                  <c:v>3880.1</c:v>
                </c:pt>
                <c:pt idx="56">
                  <c:v>3877.625</c:v>
                </c:pt>
                <c:pt idx="57">
                  <c:v>3885.4679999999998</c:v>
                </c:pt>
                <c:pt idx="58">
                  <c:v>3916.029</c:v>
                </c:pt>
                <c:pt idx="59">
                  <c:v>3967.0709999999999</c:v>
                </c:pt>
                <c:pt idx="60">
                  <c:v>4024.538</c:v>
                </c:pt>
                <c:pt idx="61">
                  <c:v>4086.9769999999999</c:v>
                </c:pt>
                <c:pt idx="62">
                  <c:v>4156.125</c:v>
                </c:pt>
                <c:pt idx="63">
                  <c:v>4228.4560000000001</c:v>
                </c:pt>
                <c:pt idx="64">
                  <c:v>4301.1589999999997</c:v>
                </c:pt>
                <c:pt idx="65">
                  <c:v>4374.37</c:v>
                </c:pt>
                <c:pt idx="66">
                  <c:v>4443.7960000000003</c:v>
                </c:pt>
                <c:pt idx="67">
                  <c:v>4508.4390000000003</c:v>
                </c:pt>
                <c:pt idx="68">
                  <c:v>4574.5929999999998</c:v>
                </c:pt>
                <c:pt idx="69">
                  <c:v>4645.6909999999998</c:v>
                </c:pt>
                <c:pt idx="70">
                  <c:v>4717.1099999999997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9DC-4B80-AD62-48021C2BB957}"/>
            </c:ext>
          </c:extLst>
        </c:ser>
        <c:ser>
          <c:idx val="31"/>
          <c:order val="31"/>
          <c:tx>
            <c:strRef>
              <c:f>Sheet1!$AG$1</c:f>
              <c:strCache>
                <c:ptCount val="1"/>
                <c:pt idx="0">
                  <c:v>31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Sheet1!$AG$2:$AG$72</c:f>
              <c:numCache>
                <c:formatCode>0.000</c:formatCode>
                <c:ptCount val="71"/>
                <c:pt idx="0">
                  <c:v>2453.83</c:v>
                </c:pt>
                <c:pt idx="1">
                  <c:v>2494.2809999999999</c:v>
                </c:pt>
                <c:pt idx="2">
                  <c:v>2535.3049999999998</c:v>
                </c:pt>
                <c:pt idx="3">
                  <c:v>2576.5279999999998</c:v>
                </c:pt>
                <c:pt idx="4">
                  <c:v>2598.2919999999999</c:v>
                </c:pt>
                <c:pt idx="5">
                  <c:v>2591.3629999999998</c:v>
                </c:pt>
                <c:pt idx="6">
                  <c:v>2566.4160000000002</c:v>
                </c:pt>
                <c:pt idx="7">
                  <c:v>2541.3710000000001</c:v>
                </c:pt>
                <c:pt idx="8">
                  <c:v>2516.87</c:v>
                </c:pt>
                <c:pt idx="9">
                  <c:v>2482.7640000000001</c:v>
                </c:pt>
                <c:pt idx="10">
                  <c:v>2441.9520000000002</c:v>
                </c:pt>
                <c:pt idx="11">
                  <c:v>2394.3829999999998</c:v>
                </c:pt>
                <c:pt idx="12">
                  <c:v>2353.415</c:v>
                </c:pt>
                <c:pt idx="13">
                  <c:v>2318.1010000000001</c:v>
                </c:pt>
                <c:pt idx="14">
                  <c:v>2294.1460000000002</c:v>
                </c:pt>
                <c:pt idx="15">
                  <c:v>2285.8760000000002</c:v>
                </c:pt>
                <c:pt idx="16">
                  <c:v>2289.9389999999999</c:v>
                </c:pt>
                <c:pt idx="17">
                  <c:v>2304.444</c:v>
                </c:pt>
                <c:pt idx="18">
                  <c:v>2329.3539999999998</c:v>
                </c:pt>
                <c:pt idx="19">
                  <c:v>2375.9479999999999</c:v>
                </c:pt>
                <c:pt idx="20">
                  <c:v>2447.1439999999998</c:v>
                </c:pt>
                <c:pt idx="21">
                  <c:v>2529.4070000000002</c:v>
                </c:pt>
                <c:pt idx="22">
                  <c:v>2623.7559999999999</c:v>
                </c:pt>
                <c:pt idx="23">
                  <c:v>2730.5940000000001</c:v>
                </c:pt>
                <c:pt idx="24">
                  <c:v>2853.712</c:v>
                </c:pt>
                <c:pt idx="25">
                  <c:v>2993.3719999999998</c:v>
                </c:pt>
                <c:pt idx="26">
                  <c:v>3112.2570000000001</c:v>
                </c:pt>
                <c:pt idx="27">
                  <c:v>3253.511</c:v>
                </c:pt>
                <c:pt idx="28">
                  <c:v>3419.0540000000001</c:v>
                </c:pt>
                <c:pt idx="29">
                  <c:v>3577.3029999999999</c:v>
                </c:pt>
                <c:pt idx="30">
                  <c:v>3697.1260000000002</c:v>
                </c:pt>
                <c:pt idx="31">
                  <c:v>3772.098</c:v>
                </c:pt>
                <c:pt idx="32">
                  <c:v>3859.482</c:v>
                </c:pt>
                <c:pt idx="33">
                  <c:v>3950.0030000000002</c:v>
                </c:pt>
                <c:pt idx="34">
                  <c:v>4049.9960000000001</c:v>
                </c:pt>
                <c:pt idx="35">
                  <c:v>4155.5720000000001</c:v>
                </c:pt>
                <c:pt idx="36">
                  <c:v>4239.8220000000001</c:v>
                </c:pt>
                <c:pt idx="37">
                  <c:v>4320.768</c:v>
                </c:pt>
                <c:pt idx="38">
                  <c:v>4401.6130000000003</c:v>
                </c:pt>
                <c:pt idx="39">
                  <c:v>4461.0339999999997</c:v>
                </c:pt>
                <c:pt idx="40">
                  <c:v>4476.2219999999998</c:v>
                </c:pt>
                <c:pt idx="41">
                  <c:v>4457.1819999999998</c:v>
                </c:pt>
                <c:pt idx="42">
                  <c:v>4448.2160000000003</c:v>
                </c:pt>
                <c:pt idx="43">
                  <c:v>4449.1620000000003</c:v>
                </c:pt>
                <c:pt idx="44">
                  <c:v>4438.5069999999996</c:v>
                </c:pt>
                <c:pt idx="45">
                  <c:v>4393.1459999999997</c:v>
                </c:pt>
                <c:pt idx="46">
                  <c:v>4296.26</c:v>
                </c:pt>
                <c:pt idx="47">
                  <c:v>4212.0339999999997</c:v>
                </c:pt>
                <c:pt idx="48">
                  <c:v>4132.0659999999998</c:v>
                </c:pt>
                <c:pt idx="49">
                  <c:v>4070.97</c:v>
                </c:pt>
                <c:pt idx="50">
                  <c:v>4035.97</c:v>
                </c:pt>
                <c:pt idx="51">
                  <c:v>4006.8829999999998</c:v>
                </c:pt>
                <c:pt idx="52">
                  <c:v>3972.0410000000002</c:v>
                </c:pt>
                <c:pt idx="53">
                  <c:v>3939.2550000000001</c:v>
                </c:pt>
                <c:pt idx="54">
                  <c:v>3916.585</c:v>
                </c:pt>
                <c:pt idx="55">
                  <c:v>3903.192</c:v>
                </c:pt>
                <c:pt idx="56">
                  <c:v>3892.78</c:v>
                </c:pt>
                <c:pt idx="57">
                  <c:v>3895.4920000000002</c:v>
                </c:pt>
                <c:pt idx="58">
                  <c:v>3906.9949999999999</c:v>
                </c:pt>
                <c:pt idx="59">
                  <c:v>3937.223</c:v>
                </c:pt>
                <c:pt idx="60">
                  <c:v>3984.2440000000001</c:v>
                </c:pt>
                <c:pt idx="61">
                  <c:v>4042.8420000000001</c:v>
                </c:pt>
                <c:pt idx="62">
                  <c:v>4107.2879999999996</c:v>
                </c:pt>
                <c:pt idx="63">
                  <c:v>4177.3680000000004</c:v>
                </c:pt>
                <c:pt idx="64">
                  <c:v>4250.0709999999999</c:v>
                </c:pt>
                <c:pt idx="65">
                  <c:v>4323.0950000000003</c:v>
                </c:pt>
                <c:pt idx="66">
                  <c:v>4392.9160000000002</c:v>
                </c:pt>
                <c:pt idx="67">
                  <c:v>4461.009</c:v>
                </c:pt>
                <c:pt idx="68">
                  <c:v>4525.2520000000004</c:v>
                </c:pt>
                <c:pt idx="69">
                  <c:v>4592.4189999999999</c:v>
                </c:pt>
                <c:pt idx="70">
                  <c:v>4665.1549999999997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9DC-4B80-AD62-48021C2BB957}"/>
            </c:ext>
          </c:extLst>
        </c:ser>
        <c:ser>
          <c:idx val="32"/>
          <c:order val="32"/>
          <c:tx>
            <c:strRef>
              <c:f>Sheet1!$AH$1</c:f>
              <c:strCache>
                <c:ptCount val="1"/>
                <c:pt idx="0">
                  <c:v>32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Sheet1!$AH$2:$AH$72</c:f>
              <c:numCache>
                <c:formatCode>0.000</c:formatCode>
                <c:ptCount val="71"/>
                <c:pt idx="0">
                  <c:v>2415.0619999999999</c:v>
                </c:pt>
                <c:pt idx="1">
                  <c:v>2446.8380000000002</c:v>
                </c:pt>
                <c:pt idx="2">
                  <c:v>2493.7890000000002</c:v>
                </c:pt>
                <c:pt idx="3">
                  <c:v>2536.9470000000001</c:v>
                </c:pt>
                <c:pt idx="4">
                  <c:v>2578.1370000000002</c:v>
                </c:pt>
                <c:pt idx="5">
                  <c:v>2599.712</c:v>
                </c:pt>
                <c:pt idx="6">
                  <c:v>2594.6559999999999</c:v>
                </c:pt>
                <c:pt idx="7">
                  <c:v>2568.0709999999999</c:v>
                </c:pt>
                <c:pt idx="8">
                  <c:v>2542.6880000000001</c:v>
                </c:pt>
                <c:pt idx="9">
                  <c:v>2518.5590000000002</c:v>
                </c:pt>
                <c:pt idx="10">
                  <c:v>2486.2860000000001</c:v>
                </c:pt>
                <c:pt idx="11">
                  <c:v>2442.0940000000001</c:v>
                </c:pt>
                <c:pt idx="12">
                  <c:v>2397.2730000000001</c:v>
                </c:pt>
                <c:pt idx="13">
                  <c:v>2357.9870000000001</c:v>
                </c:pt>
                <c:pt idx="14">
                  <c:v>2322.9589999999998</c:v>
                </c:pt>
                <c:pt idx="15">
                  <c:v>2298.8240000000001</c:v>
                </c:pt>
                <c:pt idx="16">
                  <c:v>2286.5259999999998</c:v>
                </c:pt>
                <c:pt idx="17">
                  <c:v>2292.2040000000002</c:v>
                </c:pt>
                <c:pt idx="18">
                  <c:v>2308.2359999999999</c:v>
                </c:pt>
                <c:pt idx="19">
                  <c:v>2335.096</c:v>
                </c:pt>
                <c:pt idx="20">
                  <c:v>2383.7779999999998</c:v>
                </c:pt>
                <c:pt idx="21">
                  <c:v>2446.0610000000001</c:v>
                </c:pt>
                <c:pt idx="22">
                  <c:v>2531.0410000000002</c:v>
                </c:pt>
                <c:pt idx="23">
                  <c:v>2628.777</c:v>
                </c:pt>
                <c:pt idx="24">
                  <c:v>2739.8040000000001</c:v>
                </c:pt>
                <c:pt idx="25">
                  <c:v>2867.72</c:v>
                </c:pt>
                <c:pt idx="26">
                  <c:v>2972.16</c:v>
                </c:pt>
                <c:pt idx="27">
                  <c:v>3103.04</c:v>
                </c:pt>
                <c:pt idx="28">
                  <c:v>3254.6179999999999</c:v>
                </c:pt>
                <c:pt idx="29">
                  <c:v>3429.6460000000002</c:v>
                </c:pt>
                <c:pt idx="30">
                  <c:v>3593.1239999999998</c:v>
                </c:pt>
                <c:pt idx="31">
                  <c:v>3695.018</c:v>
                </c:pt>
                <c:pt idx="32">
                  <c:v>3776.09</c:v>
                </c:pt>
                <c:pt idx="33">
                  <c:v>3868.585</c:v>
                </c:pt>
                <c:pt idx="34">
                  <c:v>3964.5569999999998</c:v>
                </c:pt>
                <c:pt idx="35">
                  <c:v>4067.82</c:v>
                </c:pt>
                <c:pt idx="36">
                  <c:v>4152.7939999999999</c:v>
                </c:pt>
                <c:pt idx="37">
                  <c:v>4242.2139999999999</c:v>
                </c:pt>
                <c:pt idx="38">
                  <c:v>4327.6329999999998</c:v>
                </c:pt>
                <c:pt idx="39">
                  <c:v>4413.402</c:v>
                </c:pt>
                <c:pt idx="40">
                  <c:v>4475.049</c:v>
                </c:pt>
                <c:pt idx="41">
                  <c:v>4483.4949999999999</c:v>
                </c:pt>
                <c:pt idx="42">
                  <c:v>4472.7479999999996</c:v>
                </c:pt>
                <c:pt idx="43">
                  <c:v>4472.5940000000001</c:v>
                </c:pt>
                <c:pt idx="44">
                  <c:v>4484.4859999999999</c:v>
                </c:pt>
                <c:pt idx="45">
                  <c:v>4481.1840000000002</c:v>
                </c:pt>
                <c:pt idx="46">
                  <c:v>4408.8950000000004</c:v>
                </c:pt>
                <c:pt idx="47">
                  <c:v>4321.9049999999997</c:v>
                </c:pt>
                <c:pt idx="48">
                  <c:v>4243.7610000000004</c:v>
                </c:pt>
                <c:pt idx="49">
                  <c:v>4165.3850000000002</c:v>
                </c:pt>
                <c:pt idx="50">
                  <c:v>4102.7969999999996</c:v>
                </c:pt>
                <c:pt idx="51">
                  <c:v>4055.4470000000001</c:v>
                </c:pt>
                <c:pt idx="52">
                  <c:v>4020.5839999999998</c:v>
                </c:pt>
                <c:pt idx="53">
                  <c:v>3983.4119999999998</c:v>
                </c:pt>
                <c:pt idx="54">
                  <c:v>3952.7350000000001</c:v>
                </c:pt>
                <c:pt idx="55">
                  <c:v>3933.232</c:v>
                </c:pt>
                <c:pt idx="56">
                  <c:v>3913.7959999999998</c:v>
                </c:pt>
                <c:pt idx="57">
                  <c:v>3908.7440000000001</c:v>
                </c:pt>
                <c:pt idx="58">
                  <c:v>3914.96</c:v>
                </c:pt>
                <c:pt idx="59">
                  <c:v>3927.7620000000002</c:v>
                </c:pt>
                <c:pt idx="60">
                  <c:v>3956.444</c:v>
                </c:pt>
                <c:pt idx="61">
                  <c:v>4000.636</c:v>
                </c:pt>
                <c:pt idx="62">
                  <c:v>4061.2849999999999</c:v>
                </c:pt>
                <c:pt idx="63">
                  <c:v>4126.7539999999999</c:v>
                </c:pt>
                <c:pt idx="64">
                  <c:v>4197.0540000000001</c:v>
                </c:pt>
                <c:pt idx="65">
                  <c:v>4269.8429999999998</c:v>
                </c:pt>
                <c:pt idx="66">
                  <c:v>4339.7380000000003</c:v>
                </c:pt>
                <c:pt idx="67">
                  <c:v>4408.2920000000004</c:v>
                </c:pt>
                <c:pt idx="68">
                  <c:v>4476.0680000000002</c:v>
                </c:pt>
                <c:pt idx="69">
                  <c:v>4541.165</c:v>
                </c:pt>
                <c:pt idx="70">
                  <c:v>4609.7340000000004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9DC-4B80-AD62-48021C2BB957}"/>
            </c:ext>
          </c:extLst>
        </c:ser>
        <c:ser>
          <c:idx val="33"/>
          <c:order val="33"/>
          <c:tx>
            <c:strRef>
              <c:f>Sheet1!$AI$1</c:f>
              <c:strCache>
                <c:ptCount val="1"/>
                <c:pt idx="0">
                  <c:v>33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Sheet1!$AI$2:$AI$72</c:f>
              <c:numCache>
                <c:formatCode>0.000</c:formatCode>
                <c:ptCount val="71"/>
                <c:pt idx="0">
                  <c:v>2393.038</c:v>
                </c:pt>
                <c:pt idx="1">
                  <c:v>2407.6460000000002</c:v>
                </c:pt>
                <c:pt idx="2">
                  <c:v>2445.6819999999998</c:v>
                </c:pt>
                <c:pt idx="3">
                  <c:v>2495.0720000000001</c:v>
                </c:pt>
                <c:pt idx="4">
                  <c:v>2538.5230000000001</c:v>
                </c:pt>
                <c:pt idx="5">
                  <c:v>2579.3809999999999</c:v>
                </c:pt>
                <c:pt idx="6">
                  <c:v>2602.183</c:v>
                </c:pt>
                <c:pt idx="7">
                  <c:v>2595.6390000000001</c:v>
                </c:pt>
                <c:pt idx="8">
                  <c:v>2568.7379999999998</c:v>
                </c:pt>
                <c:pt idx="9">
                  <c:v>2544.1170000000002</c:v>
                </c:pt>
                <c:pt idx="10">
                  <c:v>2520.6060000000002</c:v>
                </c:pt>
                <c:pt idx="11">
                  <c:v>2485.0909999999999</c:v>
                </c:pt>
                <c:pt idx="12">
                  <c:v>2443.3510000000001</c:v>
                </c:pt>
                <c:pt idx="13">
                  <c:v>2400.3339999999998</c:v>
                </c:pt>
                <c:pt idx="14">
                  <c:v>2361.4229999999998</c:v>
                </c:pt>
                <c:pt idx="15">
                  <c:v>2326.1709999999998</c:v>
                </c:pt>
                <c:pt idx="16">
                  <c:v>2297.48</c:v>
                </c:pt>
                <c:pt idx="17">
                  <c:v>2285.6819999999998</c:v>
                </c:pt>
                <c:pt idx="18">
                  <c:v>2293.3589999999999</c:v>
                </c:pt>
                <c:pt idx="19">
                  <c:v>2311.6329999999998</c:v>
                </c:pt>
                <c:pt idx="20">
                  <c:v>2341.0320000000002</c:v>
                </c:pt>
                <c:pt idx="21">
                  <c:v>2380.2910000000002</c:v>
                </c:pt>
                <c:pt idx="22">
                  <c:v>2443.7910000000002</c:v>
                </c:pt>
                <c:pt idx="23">
                  <c:v>2532.585</c:v>
                </c:pt>
                <c:pt idx="24">
                  <c:v>2634.7640000000001</c:v>
                </c:pt>
                <c:pt idx="25">
                  <c:v>2750.2730000000001</c:v>
                </c:pt>
                <c:pt idx="26">
                  <c:v>2841.3809999999999</c:v>
                </c:pt>
                <c:pt idx="27">
                  <c:v>2952.9870000000001</c:v>
                </c:pt>
                <c:pt idx="28">
                  <c:v>3095.0250000000001</c:v>
                </c:pt>
                <c:pt idx="29">
                  <c:v>3255.5</c:v>
                </c:pt>
                <c:pt idx="30">
                  <c:v>3439.1</c:v>
                </c:pt>
                <c:pt idx="31">
                  <c:v>3587.1610000000001</c:v>
                </c:pt>
                <c:pt idx="32">
                  <c:v>3692.4259999999999</c:v>
                </c:pt>
                <c:pt idx="33">
                  <c:v>3779.2049999999999</c:v>
                </c:pt>
                <c:pt idx="34">
                  <c:v>3876.884</c:v>
                </c:pt>
                <c:pt idx="35">
                  <c:v>3978.3209999999999</c:v>
                </c:pt>
                <c:pt idx="36">
                  <c:v>4062.326</c:v>
                </c:pt>
                <c:pt idx="37">
                  <c:v>4149.866</c:v>
                </c:pt>
                <c:pt idx="38">
                  <c:v>4244.3149999999996</c:v>
                </c:pt>
                <c:pt idx="39">
                  <c:v>4334.12</c:v>
                </c:pt>
                <c:pt idx="40">
                  <c:v>4424.9440000000004</c:v>
                </c:pt>
                <c:pt idx="41">
                  <c:v>4476.3310000000001</c:v>
                </c:pt>
                <c:pt idx="42">
                  <c:v>4491.0190000000002</c:v>
                </c:pt>
                <c:pt idx="43">
                  <c:v>4489.7359999999999</c:v>
                </c:pt>
                <c:pt idx="44">
                  <c:v>4500.027</c:v>
                </c:pt>
                <c:pt idx="45">
                  <c:v>4523.5789999999997</c:v>
                </c:pt>
                <c:pt idx="46">
                  <c:v>4492.5659999999998</c:v>
                </c:pt>
                <c:pt idx="47">
                  <c:v>4429.7179999999998</c:v>
                </c:pt>
                <c:pt idx="48">
                  <c:v>4349.0110000000004</c:v>
                </c:pt>
                <c:pt idx="49">
                  <c:v>4272.4309999999996</c:v>
                </c:pt>
                <c:pt idx="50">
                  <c:v>4193.2730000000001</c:v>
                </c:pt>
                <c:pt idx="51">
                  <c:v>4120.6149999999998</c:v>
                </c:pt>
                <c:pt idx="52">
                  <c:v>4067.7249999999999</c:v>
                </c:pt>
                <c:pt idx="53">
                  <c:v>4030.4140000000002</c:v>
                </c:pt>
                <c:pt idx="54">
                  <c:v>3995.1729999999998</c:v>
                </c:pt>
                <c:pt idx="55">
                  <c:v>3968.55</c:v>
                </c:pt>
                <c:pt idx="56">
                  <c:v>3941.7710000000002</c:v>
                </c:pt>
                <c:pt idx="57">
                  <c:v>3927.7040000000002</c:v>
                </c:pt>
                <c:pt idx="58">
                  <c:v>3926.3139999999999</c:v>
                </c:pt>
                <c:pt idx="59">
                  <c:v>3933.663</c:v>
                </c:pt>
                <c:pt idx="60">
                  <c:v>3946.558</c:v>
                </c:pt>
                <c:pt idx="61">
                  <c:v>3971.0340000000001</c:v>
                </c:pt>
                <c:pt idx="62">
                  <c:v>4017.163</c:v>
                </c:pt>
                <c:pt idx="63">
                  <c:v>4078.8919999999998</c:v>
                </c:pt>
                <c:pt idx="64">
                  <c:v>4144.6840000000002</c:v>
                </c:pt>
                <c:pt idx="65">
                  <c:v>4214.9229999999998</c:v>
                </c:pt>
                <c:pt idx="66">
                  <c:v>4284.7280000000001</c:v>
                </c:pt>
                <c:pt idx="67">
                  <c:v>4353.2479999999996</c:v>
                </c:pt>
                <c:pt idx="68">
                  <c:v>4421.54</c:v>
                </c:pt>
                <c:pt idx="69">
                  <c:v>4490.2370000000001</c:v>
                </c:pt>
                <c:pt idx="70">
                  <c:v>4556.5730000000003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9DC-4B80-AD62-48021C2BB957}"/>
            </c:ext>
          </c:extLst>
        </c:ser>
        <c:ser>
          <c:idx val="34"/>
          <c:order val="34"/>
          <c:tx>
            <c:strRef>
              <c:f>Sheet1!$AJ$1</c:f>
              <c:strCache>
                <c:ptCount val="1"/>
                <c:pt idx="0">
                  <c:v>34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Sheet1!$AJ$2:$AJ$72</c:f>
              <c:numCache>
                <c:formatCode>0.000</c:formatCode>
                <c:ptCount val="71"/>
                <c:pt idx="0">
                  <c:v>2380.817</c:v>
                </c:pt>
                <c:pt idx="1">
                  <c:v>2385.4639999999999</c:v>
                </c:pt>
                <c:pt idx="2">
                  <c:v>2405.9740000000002</c:v>
                </c:pt>
                <c:pt idx="3">
                  <c:v>2446.2669999999998</c:v>
                </c:pt>
                <c:pt idx="4">
                  <c:v>2496.288</c:v>
                </c:pt>
                <c:pt idx="5">
                  <c:v>2539.7420000000002</c:v>
                </c:pt>
                <c:pt idx="6">
                  <c:v>2580.6370000000002</c:v>
                </c:pt>
                <c:pt idx="7">
                  <c:v>2602.3359999999998</c:v>
                </c:pt>
                <c:pt idx="8">
                  <c:v>2595.6219999999998</c:v>
                </c:pt>
                <c:pt idx="9">
                  <c:v>2569.5189999999998</c:v>
                </c:pt>
                <c:pt idx="10">
                  <c:v>2545.9070000000002</c:v>
                </c:pt>
                <c:pt idx="11">
                  <c:v>2518.5859999999998</c:v>
                </c:pt>
                <c:pt idx="12">
                  <c:v>2485.0300000000002</c:v>
                </c:pt>
                <c:pt idx="13">
                  <c:v>2444.779</c:v>
                </c:pt>
                <c:pt idx="14">
                  <c:v>2402.2379999999998</c:v>
                </c:pt>
                <c:pt idx="15">
                  <c:v>2363.1889999999999</c:v>
                </c:pt>
                <c:pt idx="16">
                  <c:v>2324.694</c:v>
                </c:pt>
                <c:pt idx="17">
                  <c:v>2294.6329999999998</c:v>
                </c:pt>
                <c:pt idx="18">
                  <c:v>2283.7339999999999</c:v>
                </c:pt>
                <c:pt idx="19">
                  <c:v>2294.125</c:v>
                </c:pt>
                <c:pt idx="20">
                  <c:v>2315.2240000000002</c:v>
                </c:pt>
                <c:pt idx="21">
                  <c:v>2337.5259999999998</c:v>
                </c:pt>
                <c:pt idx="22">
                  <c:v>2375.652</c:v>
                </c:pt>
                <c:pt idx="23">
                  <c:v>2441.4380000000001</c:v>
                </c:pt>
                <c:pt idx="24">
                  <c:v>2535.0619999999999</c:v>
                </c:pt>
                <c:pt idx="25">
                  <c:v>2641.9589999999998</c:v>
                </c:pt>
                <c:pt idx="26">
                  <c:v>2726.5140000000001</c:v>
                </c:pt>
                <c:pt idx="27">
                  <c:v>2816.9949999999999</c:v>
                </c:pt>
                <c:pt idx="28">
                  <c:v>2934.9549999999999</c:v>
                </c:pt>
                <c:pt idx="29">
                  <c:v>3086.7869999999998</c:v>
                </c:pt>
                <c:pt idx="30">
                  <c:v>3255.2950000000001</c:v>
                </c:pt>
                <c:pt idx="31">
                  <c:v>3433.7919999999999</c:v>
                </c:pt>
                <c:pt idx="32">
                  <c:v>3580.721</c:v>
                </c:pt>
                <c:pt idx="33">
                  <c:v>3688.9740000000002</c:v>
                </c:pt>
                <c:pt idx="34">
                  <c:v>3781.5360000000001</c:v>
                </c:pt>
                <c:pt idx="35">
                  <c:v>3884.4180000000001</c:v>
                </c:pt>
                <c:pt idx="36">
                  <c:v>3974.5</c:v>
                </c:pt>
                <c:pt idx="37">
                  <c:v>4056.6860000000001</c:v>
                </c:pt>
                <c:pt idx="38">
                  <c:v>4146.652</c:v>
                </c:pt>
                <c:pt idx="39">
                  <c:v>4246.0439999999999</c:v>
                </c:pt>
                <c:pt idx="40">
                  <c:v>4340.3620000000001</c:v>
                </c:pt>
                <c:pt idx="41">
                  <c:v>4424.05</c:v>
                </c:pt>
                <c:pt idx="42">
                  <c:v>4477.8680000000004</c:v>
                </c:pt>
                <c:pt idx="43">
                  <c:v>4499.9759999999997</c:v>
                </c:pt>
                <c:pt idx="44">
                  <c:v>4509.7879999999996</c:v>
                </c:pt>
                <c:pt idx="45">
                  <c:v>4531.2290000000003</c:v>
                </c:pt>
                <c:pt idx="46">
                  <c:v>4531.6440000000002</c:v>
                </c:pt>
                <c:pt idx="47">
                  <c:v>4509.1180000000004</c:v>
                </c:pt>
                <c:pt idx="48">
                  <c:v>4452.0309999999999</c:v>
                </c:pt>
                <c:pt idx="49">
                  <c:v>4372.9790000000003</c:v>
                </c:pt>
                <c:pt idx="50">
                  <c:v>4295.5349999999999</c:v>
                </c:pt>
                <c:pt idx="51">
                  <c:v>4209.0420000000004</c:v>
                </c:pt>
                <c:pt idx="52">
                  <c:v>4131.1149999999998</c:v>
                </c:pt>
                <c:pt idx="53">
                  <c:v>4076.0859999999998</c:v>
                </c:pt>
                <c:pt idx="54">
                  <c:v>4040.64</c:v>
                </c:pt>
                <c:pt idx="55">
                  <c:v>4009.297</c:v>
                </c:pt>
                <c:pt idx="56">
                  <c:v>3975.3159999999998</c:v>
                </c:pt>
                <c:pt idx="57">
                  <c:v>3953.6390000000001</c:v>
                </c:pt>
                <c:pt idx="58">
                  <c:v>3943.2240000000002</c:v>
                </c:pt>
                <c:pt idx="59">
                  <c:v>3943.1170000000002</c:v>
                </c:pt>
                <c:pt idx="60">
                  <c:v>3950.393</c:v>
                </c:pt>
                <c:pt idx="61">
                  <c:v>3959.5079999999998</c:v>
                </c:pt>
                <c:pt idx="62">
                  <c:v>3985.7570000000001</c:v>
                </c:pt>
                <c:pt idx="63">
                  <c:v>4032.8629999999998</c:v>
                </c:pt>
                <c:pt idx="64">
                  <c:v>4094.98</c:v>
                </c:pt>
                <c:pt idx="65">
                  <c:v>4160.82</c:v>
                </c:pt>
                <c:pt idx="66">
                  <c:v>4228.2539999999999</c:v>
                </c:pt>
                <c:pt idx="67">
                  <c:v>4296.518</c:v>
                </c:pt>
                <c:pt idx="68">
                  <c:v>4364.6580000000004</c:v>
                </c:pt>
                <c:pt idx="69">
                  <c:v>4433.9089999999997</c:v>
                </c:pt>
                <c:pt idx="70">
                  <c:v>4503.9070000000002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9DC-4B80-AD62-48021C2BB957}"/>
            </c:ext>
          </c:extLst>
        </c:ser>
        <c:ser>
          <c:idx val="35"/>
          <c:order val="35"/>
          <c:tx>
            <c:strRef>
              <c:f>Sheet1!$AK$1</c:f>
              <c:strCache>
                <c:ptCount val="1"/>
                <c:pt idx="0">
                  <c:v>35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Sheet1!$AK$2:$AK$72</c:f>
              <c:numCache>
                <c:formatCode>0.000</c:formatCode>
                <c:ptCount val="71"/>
                <c:pt idx="0">
                  <c:v>2362.8049999999998</c:v>
                </c:pt>
                <c:pt idx="1">
                  <c:v>2373.1170000000002</c:v>
                </c:pt>
                <c:pt idx="2">
                  <c:v>2383.5810000000001</c:v>
                </c:pt>
                <c:pt idx="3">
                  <c:v>2406.0140000000001</c:v>
                </c:pt>
                <c:pt idx="4">
                  <c:v>2446.7849999999999</c:v>
                </c:pt>
                <c:pt idx="5">
                  <c:v>2497.1529999999998</c:v>
                </c:pt>
                <c:pt idx="6">
                  <c:v>2539.5839999999998</c:v>
                </c:pt>
                <c:pt idx="7">
                  <c:v>2579.5929999999998</c:v>
                </c:pt>
                <c:pt idx="8">
                  <c:v>2601.4879999999998</c:v>
                </c:pt>
                <c:pt idx="9">
                  <c:v>2595.7220000000002</c:v>
                </c:pt>
                <c:pt idx="10">
                  <c:v>2570.6660000000002</c:v>
                </c:pt>
                <c:pt idx="11">
                  <c:v>2543.3890000000001</c:v>
                </c:pt>
                <c:pt idx="12">
                  <c:v>2517.7150000000001</c:v>
                </c:pt>
                <c:pt idx="13">
                  <c:v>2485.1410000000001</c:v>
                </c:pt>
                <c:pt idx="14">
                  <c:v>2445.029</c:v>
                </c:pt>
                <c:pt idx="15">
                  <c:v>2402.4450000000002</c:v>
                </c:pt>
                <c:pt idx="16">
                  <c:v>2362.7289999999998</c:v>
                </c:pt>
                <c:pt idx="17">
                  <c:v>2321.6979999999999</c:v>
                </c:pt>
                <c:pt idx="18">
                  <c:v>2290.6759999999999</c:v>
                </c:pt>
                <c:pt idx="19">
                  <c:v>2281.3980000000001</c:v>
                </c:pt>
                <c:pt idx="20">
                  <c:v>2295.085</c:v>
                </c:pt>
                <c:pt idx="21">
                  <c:v>2313.1860000000001</c:v>
                </c:pt>
                <c:pt idx="22">
                  <c:v>2332.89</c:v>
                </c:pt>
                <c:pt idx="23">
                  <c:v>2370.9319999999998</c:v>
                </c:pt>
                <c:pt idx="24">
                  <c:v>2439.9850000000001</c:v>
                </c:pt>
                <c:pt idx="25">
                  <c:v>2538.6999999999998</c:v>
                </c:pt>
                <c:pt idx="26">
                  <c:v>2625.529</c:v>
                </c:pt>
                <c:pt idx="27">
                  <c:v>2704.63</c:v>
                </c:pt>
                <c:pt idx="28">
                  <c:v>2793.6959999999999</c:v>
                </c:pt>
                <c:pt idx="29">
                  <c:v>2916.7049999999999</c:v>
                </c:pt>
                <c:pt idx="30">
                  <c:v>3077.5140000000001</c:v>
                </c:pt>
                <c:pt idx="31">
                  <c:v>3253.45</c:v>
                </c:pt>
                <c:pt idx="32">
                  <c:v>3428.0219999999999</c:v>
                </c:pt>
                <c:pt idx="33">
                  <c:v>3573.4459999999999</c:v>
                </c:pt>
                <c:pt idx="34">
                  <c:v>3684.7579999999998</c:v>
                </c:pt>
                <c:pt idx="35">
                  <c:v>3783.125</c:v>
                </c:pt>
                <c:pt idx="36">
                  <c:v>3884.886</c:v>
                </c:pt>
                <c:pt idx="37">
                  <c:v>3970.538</c:v>
                </c:pt>
                <c:pt idx="38">
                  <c:v>4050.768</c:v>
                </c:pt>
                <c:pt idx="39">
                  <c:v>4143.0730000000003</c:v>
                </c:pt>
                <c:pt idx="40">
                  <c:v>4247.5330000000004</c:v>
                </c:pt>
                <c:pt idx="41">
                  <c:v>4339.6530000000002</c:v>
                </c:pt>
                <c:pt idx="42">
                  <c:v>4423.4110000000001</c:v>
                </c:pt>
                <c:pt idx="43">
                  <c:v>4480.8370000000004</c:v>
                </c:pt>
                <c:pt idx="44">
                  <c:v>4512.0029999999997</c:v>
                </c:pt>
                <c:pt idx="45">
                  <c:v>4533.6059999999998</c:v>
                </c:pt>
                <c:pt idx="46">
                  <c:v>4536.768</c:v>
                </c:pt>
                <c:pt idx="47">
                  <c:v>4544.924</c:v>
                </c:pt>
                <c:pt idx="48">
                  <c:v>4527.1790000000001</c:v>
                </c:pt>
                <c:pt idx="49">
                  <c:v>4471.1239999999998</c:v>
                </c:pt>
                <c:pt idx="50">
                  <c:v>4391.2539999999999</c:v>
                </c:pt>
                <c:pt idx="51">
                  <c:v>4309.0280000000002</c:v>
                </c:pt>
                <c:pt idx="52">
                  <c:v>4217.3310000000001</c:v>
                </c:pt>
                <c:pt idx="53">
                  <c:v>4137.6379999999999</c:v>
                </c:pt>
                <c:pt idx="54">
                  <c:v>4084.8510000000001</c:v>
                </c:pt>
                <c:pt idx="55">
                  <c:v>4053.2570000000001</c:v>
                </c:pt>
                <c:pt idx="56">
                  <c:v>4014.4580000000001</c:v>
                </c:pt>
                <c:pt idx="57">
                  <c:v>3985.4409999999998</c:v>
                </c:pt>
                <c:pt idx="58">
                  <c:v>3967.1280000000002</c:v>
                </c:pt>
                <c:pt idx="59">
                  <c:v>3957.97</c:v>
                </c:pt>
                <c:pt idx="60">
                  <c:v>3957.9389999999999</c:v>
                </c:pt>
                <c:pt idx="61">
                  <c:v>3961.8090000000002</c:v>
                </c:pt>
                <c:pt idx="62">
                  <c:v>3972.5889999999999</c:v>
                </c:pt>
                <c:pt idx="63">
                  <c:v>3999.6590000000001</c:v>
                </c:pt>
                <c:pt idx="64">
                  <c:v>4047.0610000000001</c:v>
                </c:pt>
                <c:pt idx="65">
                  <c:v>4109.2969999999996</c:v>
                </c:pt>
                <c:pt idx="66">
                  <c:v>4172.74</c:v>
                </c:pt>
                <c:pt idx="67">
                  <c:v>4238.5290000000005</c:v>
                </c:pt>
                <c:pt idx="68">
                  <c:v>4306.2340000000004</c:v>
                </c:pt>
                <c:pt idx="69">
                  <c:v>4375.2</c:v>
                </c:pt>
                <c:pt idx="70">
                  <c:v>4445.7889999999998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9DC-4B80-AD62-48021C2BB957}"/>
            </c:ext>
          </c:extLst>
        </c:ser>
        <c:ser>
          <c:idx val="36"/>
          <c:order val="36"/>
          <c:tx>
            <c:strRef>
              <c:f>Sheet1!$AL$1</c:f>
              <c:strCache>
                <c:ptCount val="1"/>
                <c:pt idx="0">
                  <c:v>36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Sheet1!$AL$2:$AL$72</c:f>
              <c:numCache>
                <c:formatCode>0.000</c:formatCode>
                <c:ptCount val="71"/>
                <c:pt idx="0">
                  <c:v>2342.0830000000001</c:v>
                </c:pt>
                <c:pt idx="1">
                  <c:v>2355.1709999999998</c:v>
                </c:pt>
                <c:pt idx="2">
                  <c:v>2371.078</c:v>
                </c:pt>
                <c:pt idx="3">
                  <c:v>2383.395</c:v>
                </c:pt>
                <c:pt idx="4">
                  <c:v>2405.989</c:v>
                </c:pt>
                <c:pt idx="5">
                  <c:v>2446.9569999999999</c:v>
                </c:pt>
                <c:pt idx="6">
                  <c:v>2495.8919999999998</c:v>
                </c:pt>
                <c:pt idx="7">
                  <c:v>2537.1619999999998</c:v>
                </c:pt>
                <c:pt idx="8">
                  <c:v>2577.5569999999998</c:v>
                </c:pt>
                <c:pt idx="9">
                  <c:v>2600.7550000000001</c:v>
                </c:pt>
                <c:pt idx="10">
                  <c:v>2596.19</c:v>
                </c:pt>
                <c:pt idx="11">
                  <c:v>2567.5839999999998</c:v>
                </c:pt>
                <c:pt idx="12">
                  <c:v>2542.0320000000002</c:v>
                </c:pt>
                <c:pt idx="13">
                  <c:v>2517.0169999999998</c:v>
                </c:pt>
                <c:pt idx="14">
                  <c:v>2484.0549999999998</c:v>
                </c:pt>
                <c:pt idx="15">
                  <c:v>2443.556</c:v>
                </c:pt>
                <c:pt idx="16">
                  <c:v>2402.73</c:v>
                </c:pt>
                <c:pt idx="17">
                  <c:v>2360.7280000000001</c:v>
                </c:pt>
                <c:pt idx="18">
                  <c:v>2317.58</c:v>
                </c:pt>
                <c:pt idx="19">
                  <c:v>2286.3330000000001</c:v>
                </c:pt>
                <c:pt idx="20">
                  <c:v>2279.2600000000002</c:v>
                </c:pt>
                <c:pt idx="21">
                  <c:v>2294.3290000000002</c:v>
                </c:pt>
                <c:pt idx="22">
                  <c:v>2310.0279999999998</c:v>
                </c:pt>
                <c:pt idx="23">
                  <c:v>2328.1729999999998</c:v>
                </c:pt>
                <c:pt idx="24">
                  <c:v>2367.087</c:v>
                </c:pt>
                <c:pt idx="25">
                  <c:v>2439.6489999999999</c:v>
                </c:pt>
                <c:pt idx="26">
                  <c:v>2528.748</c:v>
                </c:pt>
                <c:pt idx="27">
                  <c:v>2610.8969999999999</c:v>
                </c:pt>
                <c:pt idx="28">
                  <c:v>2683.79</c:v>
                </c:pt>
                <c:pt idx="29">
                  <c:v>2770.1849999999999</c:v>
                </c:pt>
                <c:pt idx="30">
                  <c:v>2897.4690000000001</c:v>
                </c:pt>
                <c:pt idx="31">
                  <c:v>3078.596</c:v>
                </c:pt>
                <c:pt idx="32">
                  <c:v>3251.165</c:v>
                </c:pt>
                <c:pt idx="33">
                  <c:v>3421.4490000000001</c:v>
                </c:pt>
                <c:pt idx="34">
                  <c:v>3565.43</c:v>
                </c:pt>
                <c:pt idx="35">
                  <c:v>3679.8240000000001</c:v>
                </c:pt>
                <c:pt idx="36">
                  <c:v>3787.2620000000002</c:v>
                </c:pt>
                <c:pt idx="37">
                  <c:v>3885.2220000000002</c:v>
                </c:pt>
                <c:pt idx="38">
                  <c:v>3966.3049999999998</c:v>
                </c:pt>
                <c:pt idx="39">
                  <c:v>4044.4929999999999</c:v>
                </c:pt>
                <c:pt idx="40">
                  <c:v>4139.2610000000004</c:v>
                </c:pt>
                <c:pt idx="41">
                  <c:v>4246.4139999999998</c:v>
                </c:pt>
                <c:pt idx="42">
                  <c:v>4339.1930000000002</c:v>
                </c:pt>
                <c:pt idx="43">
                  <c:v>4424.1869999999999</c:v>
                </c:pt>
                <c:pt idx="44">
                  <c:v>4486.8609999999999</c:v>
                </c:pt>
                <c:pt idx="45">
                  <c:v>4527.7839999999997</c:v>
                </c:pt>
                <c:pt idx="46">
                  <c:v>4536.6270000000004</c:v>
                </c:pt>
                <c:pt idx="47">
                  <c:v>4547.53</c:v>
                </c:pt>
                <c:pt idx="48">
                  <c:v>4559.7209999999995</c:v>
                </c:pt>
                <c:pt idx="49">
                  <c:v>4541.9620000000004</c:v>
                </c:pt>
                <c:pt idx="50">
                  <c:v>4484.4040000000005</c:v>
                </c:pt>
                <c:pt idx="51">
                  <c:v>4402.45</c:v>
                </c:pt>
                <c:pt idx="52">
                  <c:v>4314.8580000000002</c:v>
                </c:pt>
                <c:pt idx="53">
                  <c:v>4221.5640000000003</c:v>
                </c:pt>
                <c:pt idx="54">
                  <c:v>4144.5730000000003</c:v>
                </c:pt>
                <c:pt idx="55">
                  <c:v>4096.0349999999999</c:v>
                </c:pt>
                <c:pt idx="56">
                  <c:v>4056.616</c:v>
                </c:pt>
                <c:pt idx="57">
                  <c:v>4023.0129999999999</c:v>
                </c:pt>
                <c:pt idx="58">
                  <c:v>3997.1990000000001</c:v>
                </c:pt>
                <c:pt idx="59">
                  <c:v>3979.8380000000002</c:v>
                </c:pt>
                <c:pt idx="60">
                  <c:v>3970.73</c:v>
                </c:pt>
                <c:pt idx="61">
                  <c:v>3967.8110000000001</c:v>
                </c:pt>
                <c:pt idx="62">
                  <c:v>3973.3539999999998</c:v>
                </c:pt>
                <c:pt idx="63">
                  <c:v>3984.8490000000002</c:v>
                </c:pt>
                <c:pt idx="64">
                  <c:v>4012.0709999999999</c:v>
                </c:pt>
                <c:pt idx="65">
                  <c:v>4059.51</c:v>
                </c:pt>
                <c:pt idx="66">
                  <c:v>4119.8100000000004</c:v>
                </c:pt>
                <c:pt idx="67">
                  <c:v>4181.6440000000002</c:v>
                </c:pt>
                <c:pt idx="68">
                  <c:v>4246.759</c:v>
                </c:pt>
                <c:pt idx="69">
                  <c:v>4315.098</c:v>
                </c:pt>
                <c:pt idx="70">
                  <c:v>4385.26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9DC-4B80-AD62-48021C2BB957}"/>
            </c:ext>
          </c:extLst>
        </c:ser>
        <c:ser>
          <c:idx val="37"/>
          <c:order val="37"/>
          <c:tx>
            <c:strRef>
              <c:f>Sheet1!$AM$1</c:f>
              <c:strCache>
                <c:ptCount val="1"/>
                <c:pt idx="0">
                  <c:v>37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Sheet1!$AM$2:$AM$72</c:f>
              <c:numCache>
                <c:formatCode>0.000</c:formatCode>
                <c:ptCount val="71"/>
                <c:pt idx="0">
                  <c:v>2317.6309999999999</c:v>
                </c:pt>
                <c:pt idx="1">
                  <c:v>2335.3150000000001</c:v>
                </c:pt>
                <c:pt idx="2">
                  <c:v>2353.1559999999999</c:v>
                </c:pt>
                <c:pt idx="3">
                  <c:v>2370.7260000000001</c:v>
                </c:pt>
                <c:pt idx="4">
                  <c:v>2383.143</c:v>
                </c:pt>
                <c:pt idx="5">
                  <c:v>2405.6219999999998</c:v>
                </c:pt>
                <c:pt idx="6">
                  <c:v>2444.9169999999999</c:v>
                </c:pt>
                <c:pt idx="7">
                  <c:v>2492.404</c:v>
                </c:pt>
                <c:pt idx="8">
                  <c:v>2533.7649999999999</c:v>
                </c:pt>
                <c:pt idx="9">
                  <c:v>2575.6370000000002</c:v>
                </c:pt>
                <c:pt idx="10">
                  <c:v>2600.3939999999998</c:v>
                </c:pt>
                <c:pt idx="11">
                  <c:v>2592.5340000000001</c:v>
                </c:pt>
                <c:pt idx="12">
                  <c:v>2565.6729999999998</c:v>
                </c:pt>
                <c:pt idx="13">
                  <c:v>2540.8490000000002</c:v>
                </c:pt>
                <c:pt idx="14">
                  <c:v>2515.1060000000002</c:v>
                </c:pt>
                <c:pt idx="15">
                  <c:v>2481.223</c:v>
                </c:pt>
                <c:pt idx="16">
                  <c:v>2444.6460000000002</c:v>
                </c:pt>
                <c:pt idx="17">
                  <c:v>2401.4479999999999</c:v>
                </c:pt>
                <c:pt idx="18">
                  <c:v>2357.585</c:v>
                </c:pt>
                <c:pt idx="19">
                  <c:v>2313.0709999999999</c:v>
                </c:pt>
                <c:pt idx="20">
                  <c:v>2282.1889999999999</c:v>
                </c:pt>
                <c:pt idx="21">
                  <c:v>2280.02</c:v>
                </c:pt>
                <c:pt idx="22">
                  <c:v>2292.4609999999998</c:v>
                </c:pt>
                <c:pt idx="23">
                  <c:v>2306.79</c:v>
                </c:pt>
                <c:pt idx="24">
                  <c:v>2324.317</c:v>
                </c:pt>
                <c:pt idx="25">
                  <c:v>2364.3229999999999</c:v>
                </c:pt>
                <c:pt idx="26">
                  <c:v>2436.8519999999999</c:v>
                </c:pt>
                <c:pt idx="27">
                  <c:v>2520.5230000000001</c:v>
                </c:pt>
                <c:pt idx="28">
                  <c:v>2597.2739999999999</c:v>
                </c:pt>
                <c:pt idx="29">
                  <c:v>2662.7460000000001</c:v>
                </c:pt>
                <c:pt idx="30">
                  <c:v>2745.7330000000002</c:v>
                </c:pt>
                <c:pt idx="31">
                  <c:v>2901.7689999999998</c:v>
                </c:pt>
                <c:pt idx="32">
                  <c:v>3079.259</c:v>
                </c:pt>
                <c:pt idx="33">
                  <c:v>3248.1149999999998</c:v>
                </c:pt>
                <c:pt idx="34">
                  <c:v>3414.17</c:v>
                </c:pt>
                <c:pt idx="35">
                  <c:v>3556.7269999999999</c:v>
                </c:pt>
                <c:pt idx="36">
                  <c:v>3688.02</c:v>
                </c:pt>
                <c:pt idx="37">
                  <c:v>3791.2719999999999</c:v>
                </c:pt>
                <c:pt idx="38">
                  <c:v>3885.2939999999999</c:v>
                </c:pt>
                <c:pt idx="39">
                  <c:v>3961.721</c:v>
                </c:pt>
                <c:pt idx="40">
                  <c:v>4037.989</c:v>
                </c:pt>
                <c:pt idx="41">
                  <c:v>4138.04</c:v>
                </c:pt>
                <c:pt idx="42">
                  <c:v>4245.5389999999998</c:v>
                </c:pt>
                <c:pt idx="43">
                  <c:v>4340.1210000000001</c:v>
                </c:pt>
                <c:pt idx="44">
                  <c:v>4427.9759999999997</c:v>
                </c:pt>
                <c:pt idx="45">
                  <c:v>4496.6080000000002</c:v>
                </c:pt>
                <c:pt idx="46">
                  <c:v>4528.3850000000002</c:v>
                </c:pt>
                <c:pt idx="47">
                  <c:v>4544.8710000000001</c:v>
                </c:pt>
                <c:pt idx="48">
                  <c:v>4559.8040000000001</c:v>
                </c:pt>
                <c:pt idx="49">
                  <c:v>4571.2120000000004</c:v>
                </c:pt>
                <c:pt idx="50">
                  <c:v>4550.8419999999996</c:v>
                </c:pt>
                <c:pt idx="51">
                  <c:v>4493.2160000000003</c:v>
                </c:pt>
                <c:pt idx="52">
                  <c:v>4405.8130000000001</c:v>
                </c:pt>
                <c:pt idx="53">
                  <c:v>4316.5389999999998</c:v>
                </c:pt>
                <c:pt idx="54">
                  <c:v>4226.22</c:v>
                </c:pt>
                <c:pt idx="55">
                  <c:v>4153.9669999999996</c:v>
                </c:pt>
                <c:pt idx="56">
                  <c:v>4097.5140000000001</c:v>
                </c:pt>
                <c:pt idx="57">
                  <c:v>4063.4050000000002</c:v>
                </c:pt>
                <c:pt idx="58">
                  <c:v>4033.2150000000001</c:v>
                </c:pt>
                <c:pt idx="59">
                  <c:v>4008.1709999999998</c:v>
                </c:pt>
                <c:pt idx="60">
                  <c:v>3990.549</c:v>
                </c:pt>
                <c:pt idx="61">
                  <c:v>3979.0529999999999</c:v>
                </c:pt>
                <c:pt idx="62">
                  <c:v>3977.8110000000001</c:v>
                </c:pt>
                <c:pt idx="63">
                  <c:v>3984.078</c:v>
                </c:pt>
                <c:pt idx="64">
                  <c:v>3995.6260000000002</c:v>
                </c:pt>
                <c:pt idx="65">
                  <c:v>4022.7510000000002</c:v>
                </c:pt>
                <c:pt idx="66">
                  <c:v>4068.6260000000002</c:v>
                </c:pt>
                <c:pt idx="67">
                  <c:v>4127.3440000000001</c:v>
                </c:pt>
                <c:pt idx="68">
                  <c:v>4188.5290000000005</c:v>
                </c:pt>
                <c:pt idx="69">
                  <c:v>4254.1490000000003</c:v>
                </c:pt>
                <c:pt idx="70">
                  <c:v>4323.4859999999999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9DC-4B80-AD62-48021C2BB957}"/>
            </c:ext>
          </c:extLst>
        </c:ser>
        <c:ser>
          <c:idx val="38"/>
          <c:order val="38"/>
          <c:tx>
            <c:strRef>
              <c:f>Sheet1!$AN$1</c:f>
              <c:strCache>
                <c:ptCount val="1"/>
                <c:pt idx="0">
                  <c:v>38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Sheet1!$AN$2:$AN$72</c:f>
              <c:numCache>
                <c:formatCode>0.000</c:formatCode>
                <c:ptCount val="71"/>
                <c:pt idx="0">
                  <c:v>2287.3690000000001</c:v>
                </c:pt>
                <c:pt idx="1">
                  <c:v>2309.4229999999998</c:v>
                </c:pt>
                <c:pt idx="2">
                  <c:v>2334.116</c:v>
                </c:pt>
                <c:pt idx="3">
                  <c:v>2352.8139999999999</c:v>
                </c:pt>
                <c:pt idx="4">
                  <c:v>2370.3090000000002</c:v>
                </c:pt>
                <c:pt idx="5">
                  <c:v>2382.5520000000001</c:v>
                </c:pt>
                <c:pt idx="6">
                  <c:v>2402.7399999999998</c:v>
                </c:pt>
                <c:pt idx="7">
                  <c:v>2440.6959999999999</c:v>
                </c:pt>
                <c:pt idx="8">
                  <c:v>2487.9580000000001</c:v>
                </c:pt>
                <c:pt idx="9">
                  <c:v>2530.4810000000002</c:v>
                </c:pt>
                <c:pt idx="10">
                  <c:v>2574.0839999999998</c:v>
                </c:pt>
                <c:pt idx="11">
                  <c:v>2596.125</c:v>
                </c:pt>
                <c:pt idx="12">
                  <c:v>2590.06</c:v>
                </c:pt>
                <c:pt idx="13">
                  <c:v>2563.9369999999999</c:v>
                </c:pt>
                <c:pt idx="14">
                  <c:v>2538.4409999999998</c:v>
                </c:pt>
                <c:pt idx="15">
                  <c:v>2511.4279999999999</c:v>
                </c:pt>
                <c:pt idx="16">
                  <c:v>2482.4940000000001</c:v>
                </c:pt>
                <c:pt idx="17">
                  <c:v>2444.145</c:v>
                </c:pt>
                <c:pt idx="18">
                  <c:v>2399.0070000000001</c:v>
                </c:pt>
                <c:pt idx="19">
                  <c:v>2354.0450000000001</c:v>
                </c:pt>
                <c:pt idx="20">
                  <c:v>2308.7620000000002</c:v>
                </c:pt>
                <c:pt idx="21">
                  <c:v>2283.4760000000001</c:v>
                </c:pt>
                <c:pt idx="22">
                  <c:v>2279.6750000000002</c:v>
                </c:pt>
                <c:pt idx="23">
                  <c:v>2290.5129999999999</c:v>
                </c:pt>
                <c:pt idx="24">
                  <c:v>2304.404</c:v>
                </c:pt>
                <c:pt idx="25">
                  <c:v>2321.5219999999999</c:v>
                </c:pt>
                <c:pt idx="26">
                  <c:v>2365.3069999999998</c:v>
                </c:pt>
                <c:pt idx="27">
                  <c:v>2435.7139999999999</c:v>
                </c:pt>
                <c:pt idx="28">
                  <c:v>2513.2730000000001</c:v>
                </c:pt>
                <c:pt idx="29">
                  <c:v>2583.4589999999998</c:v>
                </c:pt>
                <c:pt idx="30">
                  <c:v>2640.8020000000001</c:v>
                </c:pt>
                <c:pt idx="31">
                  <c:v>2751.7330000000002</c:v>
                </c:pt>
                <c:pt idx="32">
                  <c:v>2905.67</c:v>
                </c:pt>
                <c:pt idx="33">
                  <c:v>3079.1959999999999</c:v>
                </c:pt>
                <c:pt idx="34">
                  <c:v>3244.3969999999999</c:v>
                </c:pt>
                <c:pt idx="35">
                  <c:v>3406.232</c:v>
                </c:pt>
                <c:pt idx="36">
                  <c:v>3566.4580000000001</c:v>
                </c:pt>
                <c:pt idx="37">
                  <c:v>3696.0949999999998</c:v>
                </c:pt>
                <c:pt idx="38">
                  <c:v>3795.0259999999998</c:v>
                </c:pt>
                <c:pt idx="39">
                  <c:v>3885.0210000000002</c:v>
                </c:pt>
                <c:pt idx="40">
                  <c:v>3956.9090000000001</c:v>
                </c:pt>
                <c:pt idx="41">
                  <c:v>4035.2939999999999</c:v>
                </c:pt>
                <c:pt idx="42">
                  <c:v>4137.0559999999996</c:v>
                </c:pt>
                <c:pt idx="43">
                  <c:v>4246.0200000000004</c:v>
                </c:pt>
                <c:pt idx="44">
                  <c:v>4344.0039999999999</c:v>
                </c:pt>
                <c:pt idx="45">
                  <c:v>4435.4390000000003</c:v>
                </c:pt>
                <c:pt idx="46">
                  <c:v>4495.4930000000004</c:v>
                </c:pt>
                <c:pt idx="47">
                  <c:v>4534.1980000000003</c:v>
                </c:pt>
                <c:pt idx="48">
                  <c:v>4554.6229999999996</c:v>
                </c:pt>
                <c:pt idx="49">
                  <c:v>4568.7709999999997</c:v>
                </c:pt>
                <c:pt idx="50">
                  <c:v>4576.7669999999998</c:v>
                </c:pt>
                <c:pt idx="51">
                  <c:v>4557.6679999999997</c:v>
                </c:pt>
                <c:pt idx="52">
                  <c:v>4494.0280000000002</c:v>
                </c:pt>
                <c:pt idx="53">
                  <c:v>4404.942</c:v>
                </c:pt>
                <c:pt idx="54">
                  <c:v>4318.66</c:v>
                </c:pt>
                <c:pt idx="55">
                  <c:v>4233.3850000000002</c:v>
                </c:pt>
                <c:pt idx="56">
                  <c:v>4153.598</c:v>
                </c:pt>
                <c:pt idx="57">
                  <c:v>4102.4579999999996</c:v>
                </c:pt>
                <c:pt idx="58">
                  <c:v>4071.855</c:v>
                </c:pt>
                <c:pt idx="59">
                  <c:v>4042.623</c:v>
                </c:pt>
                <c:pt idx="60">
                  <c:v>4017.1309999999999</c:v>
                </c:pt>
                <c:pt idx="61">
                  <c:v>3997.3409999999999</c:v>
                </c:pt>
                <c:pt idx="62">
                  <c:v>3987.502</c:v>
                </c:pt>
                <c:pt idx="63">
                  <c:v>3986.9879999999998</c:v>
                </c:pt>
                <c:pt idx="64">
                  <c:v>3993.3180000000002</c:v>
                </c:pt>
                <c:pt idx="65">
                  <c:v>4004.6790000000001</c:v>
                </c:pt>
                <c:pt idx="66">
                  <c:v>4030.5259999999998</c:v>
                </c:pt>
                <c:pt idx="67">
                  <c:v>4074.797</c:v>
                </c:pt>
                <c:pt idx="68">
                  <c:v>4132.8879999999999</c:v>
                </c:pt>
                <c:pt idx="69">
                  <c:v>4194.5870000000004</c:v>
                </c:pt>
                <c:pt idx="70">
                  <c:v>4261.0709999999999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9DC-4B80-AD62-48021C2BB957}"/>
            </c:ext>
          </c:extLst>
        </c:ser>
        <c:ser>
          <c:idx val="39"/>
          <c:order val="39"/>
          <c:tx>
            <c:strRef>
              <c:f>Sheet1!$AO$1</c:f>
              <c:strCache>
                <c:ptCount val="1"/>
                <c:pt idx="0">
                  <c:v>39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Sheet1!$AO$2:$AO$72</c:f>
              <c:numCache>
                <c:formatCode>0.000</c:formatCode>
                <c:ptCount val="71"/>
                <c:pt idx="0">
                  <c:v>2252.63</c:v>
                </c:pt>
                <c:pt idx="1">
                  <c:v>2274.0929999999998</c:v>
                </c:pt>
                <c:pt idx="2">
                  <c:v>2306.7269999999999</c:v>
                </c:pt>
                <c:pt idx="3">
                  <c:v>2334.578</c:v>
                </c:pt>
                <c:pt idx="4">
                  <c:v>2352.4070000000002</c:v>
                </c:pt>
                <c:pt idx="5">
                  <c:v>2369.556</c:v>
                </c:pt>
                <c:pt idx="6">
                  <c:v>2378.6590000000001</c:v>
                </c:pt>
                <c:pt idx="7">
                  <c:v>2397.7109999999998</c:v>
                </c:pt>
                <c:pt idx="8">
                  <c:v>2435.5360000000001</c:v>
                </c:pt>
                <c:pt idx="9">
                  <c:v>2483.627</c:v>
                </c:pt>
                <c:pt idx="10">
                  <c:v>2527.5610000000001</c:v>
                </c:pt>
                <c:pt idx="11">
                  <c:v>2569.0990000000002</c:v>
                </c:pt>
                <c:pt idx="12">
                  <c:v>2593.038</c:v>
                </c:pt>
                <c:pt idx="13">
                  <c:v>2587.7629999999999</c:v>
                </c:pt>
                <c:pt idx="14">
                  <c:v>2560.9659999999999</c:v>
                </c:pt>
                <c:pt idx="15">
                  <c:v>2534.2510000000002</c:v>
                </c:pt>
                <c:pt idx="16">
                  <c:v>2511.79</c:v>
                </c:pt>
                <c:pt idx="17">
                  <c:v>2482.1509999999998</c:v>
                </c:pt>
                <c:pt idx="18">
                  <c:v>2442.4650000000001</c:v>
                </c:pt>
                <c:pt idx="19">
                  <c:v>2396.16</c:v>
                </c:pt>
                <c:pt idx="20">
                  <c:v>2350.7060000000001</c:v>
                </c:pt>
                <c:pt idx="21">
                  <c:v>2308.837</c:v>
                </c:pt>
                <c:pt idx="22">
                  <c:v>2283.6559999999999</c:v>
                </c:pt>
                <c:pt idx="23">
                  <c:v>2279.25</c:v>
                </c:pt>
                <c:pt idx="24">
                  <c:v>2289.4119999999998</c:v>
                </c:pt>
                <c:pt idx="25">
                  <c:v>2303.0709999999999</c:v>
                </c:pt>
                <c:pt idx="26">
                  <c:v>2320.4650000000001</c:v>
                </c:pt>
                <c:pt idx="27">
                  <c:v>2367.8989999999999</c:v>
                </c:pt>
                <c:pt idx="28">
                  <c:v>2435.5189999999998</c:v>
                </c:pt>
                <c:pt idx="29">
                  <c:v>2505.8440000000001</c:v>
                </c:pt>
                <c:pt idx="30">
                  <c:v>2568.7779999999998</c:v>
                </c:pt>
                <c:pt idx="31">
                  <c:v>2645.7939999999999</c:v>
                </c:pt>
                <c:pt idx="32">
                  <c:v>2757.3519999999999</c:v>
                </c:pt>
                <c:pt idx="33">
                  <c:v>2908.8820000000001</c:v>
                </c:pt>
                <c:pt idx="34">
                  <c:v>3078.498</c:v>
                </c:pt>
                <c:pt idx="35">
                  <c:v>3240.0520000000001</c:v>
                </c:pt>
                <c:pt idx="36">
                  <c:v>3413.3180000000002</c:v>
                </c:pt>
                <c:pt idx="37">
                  <c:v>3576.0749999999998</c:v>
                </c:pt>
                <c:pt idx="38">
                  <c:v>3703.9209999999998</c:v>
                </c:pt>
                <c:pt idx="39">
                  <c:v>3798.4409999999998</c:v>
                </c:pt>
                <c:pt idx="40">
                  <c:v>3884.52</c:v>
                </c:pt>
                <c:pt idx="41">
                  <c:v>3950.3389999999999</c:v>
                </c:pt>
                <c:pt idx="42">
                  <c:v>4032.8319999999999</c:v>
                </c:pt>
                <c:pt idx="43">
                  <c:v>4137.393</c:v>
                </c:pt>
                <c:pt idx="44">
                  <c:v>4249.393</c:v>
                </c:pt>
                <c:pt idx="45">
                  <c:v>4351.491</c:v>
                </c:pt>
                <c:pt idx="46">
                  <c:v>4433.5119999999997</c:v>
                </c:pt>
                <c:pt idx="47">
                  <c:v>4499.5510000000004</c:v>
                </c:pt>
                <c:pt idx="48">
                  <c:v>4541.5150000000003</c:v>
                </c:pt>
                <c:pt idx="49">
                  <c:v>4561.0680000000002</c:v>
                </c:pt>
                <c:pt idx="50">
                  <c:v>4571.8069999999998</c:v>
                </c:pt>
                <c:pt idx="51">
                  <c:v>4582.2629999999999</c:v>
                </c:pt>
                <c:pt idx="52">
                  <c:v>4556.3789999999999</c:v>
                </c:pt>
                <c:pt idx="53">
                  <c:v>4490.5249999999996</c:v>
                </c:pt>
                <c:pt idx="54">
                  <c:v>4404.5219999999999</c:v>
                </c:pt>
                <c:pt idx="55">
                  <c:v>4323.3469999999998</c:v>
                </c:pt>
                <c:pt idx="56">
                  <c:v>4231.2349999999997</c:v>
                </c:pt>
                <c:pt idx="57">
                  <c:v>4156.7430000000004</c:v>
                </c:pt>
                <c:pt idx="58">
                  <c:v>4109.0810000000001</c:v>
                </c:pt>
                <c:pt idx="59">
                  <c:v>4079.5059999999999</c:v>
                </c:pt>
                <c:pt idx="60">
                  <c:v>4050.0039999999999</c:v>
                </c:pt>
                <c:pt idx="61">
                  <c:v>4022.404</c:v>
                </c:pt>
                <c:pt idx="62">
                  <c:v>4004.259</c:v>
                </c:pt>
                <c:pt idx="63">
                  <c:v>3995.1260000000002</c:v>
                </c:pt>
                <c:pt idx="64">
                  <c:v>3994.6790000000001</c:v>
                </c:pt>
                <c:pt idx="65">
                  <c:v>4000.8380000000002</c:v>
                </c:pt>
                <c:pt idx="66">
                  <c:v>4011.1689999999999</c:v>
                </c:pt>
                <c:pt idx="67">
                  <c:v>4035.3820000000001</c:v>
                </c:pt>
                <c:pt idx="68">
                  <c:v>4079.0039999999999</c:v>
                </c:pt>
                <c:pt idx="69">
                  <c:v>4137.6139999999996</c:v>
                </c:pt>
                <c:pt idx="70">
                  <c:v>4200.1850000000004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9DC-4B80-AD62-48021C2BB957}"/>
            </c:ext>
          </c:extLst>
        </c:ser>
        <c:ser>
          <c:idx val="40"/>
          <c:order val="40"/>
          <c:tx>
            <c:strRef>
              <c:f>Sheet1!$AP$1</c:f>
              <c:strCache>
                <c:ptCount val="1"/>
                <c:pt idx="0">
                  <c:v>40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Sheet1!$AP$2:$AP$72</c:f>
              <c:numCache>
                <c:formatCode>0.000</c:formatCode>
                <c:ptCount val="71"/>
                <c:pt idx="0">
                  <c:v>2217.9070000000002</c:v>
                </c:pt>
                <c:pt idx="1">
                  <c:v>2232.4270000000001</c:v>
                </c:pt>
                <c:pt idx="2">
                  <c:v>2266.2550000000001</c:v>
                </c:pt>
                <c:pt idx="3">
                  <c:v>2305.67</c:v>
                </c:pt>
                <c:pt idx="4">
                  <c:v>2334.9769999999999</c:v>
                </c:pt>
                <c:pt idx="5">
                  <c:v>2351.6669999999999</c:v>
                </c:pt>
                <c:pt idx="6">
                  <c:v>2364.7150000000001</c:v>
                </c:pt>
                <c:pt idx="7">
                  <c:v>2372.6419999999998</c:v>
                </c:pt>
                <c:pt idx="8">
                  <c:v>2391.7640000000001</c:v>
                </c:pt>
                <c:pt idx="9">
                  <c:v>2430.4879999999998</c:v>
                </c:pt>
                <c:pt idx="10">
                  <c:v>2479.65</c:v>
                </c:pt>
                <c:pt idx="11">
                  <c:v>2521.768</c:v>
                </c:pt>
                <c:pt idx="12">
                  <c:v>2565.2840000000001</c:v>
                </c:pt>
                <c:pt idx="13">
                  <c:v>2590.1280000000002</c:v>
                </c:pt>
                <c:pt idx="14">
                  <c:v>2584.2199999999998</c:v>
                </c:pt>
                <c:pt idx="15">
                  <c:v>2556.1979999999999</c:v>
                </c:pt>
                <c:pt idx="16">
                  <c:v>2532.9940000000001</c:v>
                </c:pt>
                <c:pt idx="17">
                  <c:v>2510.518</c:v>
                </c:pt>
                <c:pt idx="18">
                  <c:v>2480.6129999999998</c:v>
                </c:pt>
                <c:pt idx="19">
                  <c:v>2440.3690000000001</c:v>
                </c:pt>
                <c:pt idx="20">
                  <c:v>2393.5149999999999</c:v>
                </c:pt>
                <c:pt idx="21">
                  <c:v>2348.4520000000002</c:v>
                </c:pt>
                <c:pt idx="22">
                  <c:v>2307.7930000000001</c:v>
                </c:pt>
                <c:pt idx="23">
                  <c:v>2283.7570000000001</c:v>
                </c:pt>
                <c:pt idx="24">
                  <c:v>2279.665</c:v>
                </c:pt>
                <c:pt idx="25">
                  <c:v>2289.355</c:v>
                </c:pt>
                <c:pt idx="26">
                  <c:v>2296.3470000000002</c:v>
                </c:pt>
                <c:pt idx="27">
                  <c:v>2320.9870000000001</c:v>
                </c:pt>
                <c:pt idx="28">
                  <c:v>2371.4090000000001</c:v>
                </c:pt>
                <c:pt idx="29">
                  <c:v>2435.1559999999999</c:v>
                </c:pt>
                <c:pt idx="30">
                  <c:v>2497.58</c:v>
                </c:pt>
                <c:pt idx="31">
                  <c:v>2571.067</c:v>
                </c:pt>
                <c:pt idx="32">
                  <c:v>2650.422</c:v>
                </c:pt>
                <c:pt idx="33">
                  <c:v>2762.317</c:v>
                </c:pt>
                <c:pt idx="34">
                  <c:v>2911.4969999999998</c:v>
                </c:pt>
                <c:pt idx="35">
                  <c:v>3077.2080000000001</c:v>
                </c:pt>
                <c:pt idx="36">
                  <c:v>3241.9229999999998</c:v>
                </c:pt>
                <c:pt idx="37">
                  <c:v>3420.2959999999998</c:v>
                </c:pt>
                <c:pt idx="38">
                  <c:v>3585.453</c:v>
                </c:pt>
                <c:pt idx="39">
                  <c:v>3711.4160000000002</c:v>
                </c:pt>
                <c:pt idx="40">
                  <c:v>3801.63</c:v>
                </c:pt>
                <c:pt idx="41">
                  <c:v>3872.7910000000002</c:v>
                </c:pt>
                <c:pt idx="42">
                  <c:v>3943.998</c:v>
                </c:pt>
                <c:pt idx="43">
                  <c:v>4031.6559999999999</c:v>
                </c:pt>
                <c:pt idx="44">
                  <c:v>4140.5479999999998</c:v>
                </c:pt>
                <c:pt idx="45">
                  <c:v>4256.2910000000002</c:v>
                </c:pt>
                <c:pt idx="46">
                  <c:v>4349.4319999999998</c:v>
                </c:pt>
                <c:pt idx="47">
                  <c:v>4436.6890000000003</c:v>
                </c:pt>
                <c:pt idx="48">
                  <c:v>4505.0990000000002</c:v>
                </c:pt>
                <c:pt idx="49">
                  <c:v>4545.53</c:v>
                </c:pt>
                <c:pt idx="50">
                  <c:v>4561.5950000000003</c:v>
                </c:pt>
                <c:pt idx="51">
                  <c:v>4576.42</c:v>
                </c:pt>
                <c:pt idx="52">
                  <c:v>4579.5940000000001</c:v>
                </c:pt>
                <c:pt idx="53">
                  <c:v>4550.7129999999997</c:v>
                </c:pt>
                <c:pt idx="54">
                  <c:v>4487.4870000000001</c:v>
                </c:pt>
                <c:pt idx="55">
                  <c:v>4406.723</c:v>
                </c:pt>
                <c:pt idx="56">
                  <c:v>4319.5240000000003</c:v>
                </c:pt>
                <c:pt idx="57">
                  <c:v>4232.6639999999998</c:v>
                </c:pt>
                <c:pt idx="58">
                  <c:v>4161.5870000000004</c:v>
                </c:pt>
                <c:pt idx="59">
                  <c:v>4114.893</c:v>
                </c:pt>
                <c:pt idx="60">
                  <c:v>4085.1089999999999</c:v>
                </c:pt>
                <c:pt idx="61">
                  <c:v>4053.7489999999998</c:v>
                </c:pt>
                <c:pt idx="62">
                  <c:v>4027.8049999999998</c:v>
                </c:pt>
                <c:pt idx="63">
                  <c:v>4010.3470000000002</c:v>
                </c:pt>
                <c:pt idx="64">
                  <c:v>4001.26</c:v>
                </c:pt>
                <c:pt idx="65">
                  <c:v>4000.6509999999998</c:v>
                </c:pt>
                <c:pt idx="66">
                  <c:v>4006.07</c:v>
                </c:pt>
                <c:pt idx="67">
                  <c:v>4014.7550000000001</c:v>
                </c:pt>
                <c:pt idx="68">
                  <c:v>4038.2919999999999</c:v>
                </c:pt>
                <c:pt idx="69">
                  <c:v>4082.4050000000002</c:v>
                </c:pt>
                <c:pt idx="70">
                  <c:v>4141.8890000000001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9DC-4B80-AD62-48021C2BB957}"/>
            </c:ext>
          </c:extLst>
        </c:ser>
        <c:ser>
          <c:idx val="41"/>
          <c:order val="41"/>
          <c:tx>
            <c:strRef>
              <c:f>Sheet1!$AQ$1</c:f>
              <c:strCache>
                <c:ptCount val="1"/>
                <c:pt idx="0">
                  <c:v>41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Sheet1!$AQ$2:$AQ$72</c:f>
              <c:numCache>
                <c:formatCode>0.000</c:formatCode>
                <c:ptCount val="71"/>
                <c:pt idx="0">
                  <c:v>2183.5920000000001</c:v>
                </c:pt>
                <c:pt idx="1">
                  <c:v>2191.0369999999998</c:v>
                </c:pt>
                <c:pt idx="2">
                  <c:v>2217.58</c:v>
                </c:pt>
                <c:pt idx="3">
                  <c:v>2260.0250000000001</c:v>
                </c:pt>
                <c:pt idx="4">
                  <c:v>2304.5479999999998</c:v>
                </c:pt>
                <c:pt idx="5">
                  <c:v>2335.0450000000001</c:v>
                </c:pt>
                <c:pt idx="6">
                  <c:v>2345.808</c:v>
                </c:pt>
                <c:pt idx="7">
                  <c:v>2357.761</c:v>
                </c:pt>
                <c:pt idx="8">
                  <c:v>2365.7150000000001</c:v>
                </c:pt>
                <c:pt idx="9">
                  <c:v>2385.9259999999999</c:v>
                </c:pt>
                <c:pt idx="10">
                  <c:v>2425.7890000000002</c:v>
                </c:pt>
                <c:pt idx="11">
                  <c:v>2473.134</c:v>
                </c:pt>
                <c:pt idx="12">
                  <c:v>2517.1239999999998</c:v>
                </c:pt>
                <c:pt idx="13">
                  <c:v>2561.6419999999998</c:v>
                </c:pt>
                <c:pt idx="14">
                  <c:v>2585.9699999999998</c:v>
                </c:pt>
                <c:pt idx="15">
                  <c:v>2578.8620000000001</c:v>
                </c:pt>
                <c:pt idx="16">
                  <c:v>2553.4659999999999</c:v>
                </c:pt>
                <c:pt idx="17">
                  <c:v>2530.0880000000002</c:v>
                </c:pt>
                <c:pt idx="18">
                  <c:v>2508.0369999999998</c:v>
                </c:pt>
                <c:pt idx="19">
                  <c:v>2478.652</c:v>
                </c:pt>
                <c:pt idx="20">
                  <c:v>2438.48</c:v>
                </c:pt>
                <c:pt idx="21">
                  <c:v>2389.2040000000002</c:v>
                </c:pt>
                <c:pt idx="22">
                  <c:v>2345.0569999999998</c:v>
                </c:pt>
                <c:pt idx="23">
                  <c:v>2306.6689999999999</c:v>
                </c:pt>
                <c:pt idx="24">
                  <c:v>2284.6979999999999</c:v>
                </c:pt>
                <c:pt idx="25">
                  <c:v>2281.123</c:v>
                </c:pt>
                <c:pt idx="26">
                  <c:v>2277.85</c:v>
                </c:pt>
                <c:pt idx="27">
                  <c:v>2291.1889999999999</c:v>
                </c:pt>
                <c:pt idx="28">
                  <c:v>2322.4070000000002</c:v>
                </c:pt>
                <c:pt idx="29">
                  <c:v>2374.7579999999998</c:v>
                </c:pt>
                <c:pt idx="30">
                  <c:v>2433.989</c:v>
                </c:pt>
                <c:pt idx="31">
                  <c:v>2497.5839999999998</c:v>
                </c:pt>
                <c:pt idx="32">
                  <c:v>2573.0059999999999</c:v>
                </c:pt>
                <c:pt idx="33">
                  <c:v>2654.4250000000002</c:v>
                </c:pt>
                <c:pt idx="34">
                  <c:v>2766.7139999999999</c:v>
                </c:pt>
                <c:pt idx="35">
                  <c:v>2913.5529999999999</c:v>
                </c:pt>
                <c:pt idx="36">
                  <c:v>3074.3780000000002</c:v>
                </c:pt>
                <c:pt idx="37">
                  <c:v>3243.6950000000002</c:v>
                </c:pt>
                <c:pt idx="38">
                  <c:v>3427.047</c:v>
                </c:pt>
                <c:pt idx="39">
                  <c:v>3594.51</c:v>
                </c:pt>
                <c:pt idx="40">
                  <c:v>3718.6869999999999</c:v>
                </c:pt>
                <c:pt idx="41">
                  <c:v>3785.2559999999999</c:v>
                </c:pt>
                <c:pt idx="42">
                  <c:v>3861.2919999999999</c:v>
                </c:pt>
                <c:pt idx="43">
                  <c:v>3938.92</c:v>
                </c:pt>
                <c:pt idx="44">
                  <c:v>4033.2280000000001</c:v>
                </c:pt>
                <c:pt idx="45">
                  <c:v>4147.1350000000002</c:v>
                </c:pt>
                <c:pt idx="46">
                  <c:v>4254.1459999999997</c:v>
                </c:pt>
                <c:pt idx="47">
                  <c:v>4352.3789999999999</c:v>
                </c:pt>
                <c:pt idx="48">
                  <c:v>4441.3310000000001</c:v>
                </c:pt>
                <c:pt idx="49">
                  <c:v>4507.3710000000001</c:v>
                </c:pt>
                <c:pt idx="50">
                  <c:v>4543.6490000000003</c:v>
                </c:pt>
                <c:pt idx="51">
                  <c:v>4565.2790000000005</c:v>
                </c:pt>
                <c:pt idx="52">
                  <c:v>4572.8789999999999</c:v>
                </c:pt>
                <c:pt idx="53">
                  <c:v>4572.5320000000002</c:v>
                </c:pt>
                <c:pt idx="54">
                  <c:v>4545.5230000000001</c:v>
                </c:pt>
                <c:pt idx="55">
                  <c:v>4487.12</c:v>
                </c:pt>
                <c:pt idx="56">
                  <c:v>4401.2280000000001</c:v>
                </c:pt>
                <c:pt idx="57">
                  <c:v>4319.3580000000002</c:v>
                </c:pt>
                <c:pt idx="58">
                  <c:v>4235.8230000000003</c:v>
                </c:pt>
                <c:pt idx="59">
                  <c:v>4165.6099999999997</c:v>
                </c:pt>
                <c:pt idx="60">
                  <c:v>4118.643</c:v>
                </c:pt>
                <c:pt idx="61">
                  <c:v>4087.3159999999998</c:v>
                </c:pt>
                <c:pt idx="62">
                  <c:v>4057.623</c:v>
                </c:pt>
                <c:pt idx="63">
                  <c:v>4032.37</c:v>
                </c:pt>
                <c:pt idx="64">
                  <c:v>4014.9409999999998</c:v>
                </c:pt>
                <c:pt idx="65">
                  <c:v>4005.674</c:v>
                </c:pt>
                <c:pt idx="66">
                  <c:v>4004.6010000000001</c:v>
                </c:pt>
                <c:pt idx="67">
                  <c:v>4008.4</c:v>
                </c:pt>
                <c:pt idx="68">
                  <c:v>4016.4059999999999</c:v>
                </c:pt>
                <c:pt idx="69">
                  <c:v>4040.4059999999999</c:v>
                </c:pt>
                <c:pt idx="70">
                  <c:v>4085.3620000000001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C9DC-4B80-AD62-48021C2BB957}"/>
            </c:ext>
          </c:extLst>
        </c:ser>
        <c:ser>
          <c:idx val="42"/>
          <c:order val="42"/>
          <c:tx>
            <c:strRef>
              <c:f>Sheet1!$AR$1</c:f>
              <c:strCache>
                <c:ptCount val="1"/>
                <c:pt idx="0">
                  <c:v>42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Sheet1!$AR$2:$AR$72</c:f>
              <c:numCache>
                <c:formatCode>0.000</c:formatCode>
                <c:ptCount val="71"/>
                <c:pt idx="0">
                  <c:v>2143.4319999999998</c:v>
                </c:pt>
                <c:pt idx="1">
                  <c:v>2148.7220000000002</c:v>
                </c:pt>
                <c:pt idx="2">
                  <c:v>2169.44</c:v>
                </c:pt>
                <c:pt idx="3">
                  <c:v>2204.2979999999998</c:v>
                </c:pt>
                <c:pt idx="4">
                  <c:v>2253.721</c:v>
                </c:pt>
                <c:pt idx="5">
                  <c:v>2303.0990000000002</c:v>
                </c:pt>
                <c:pt idx="6">
                  <c:v>2327.5619999999999</c:v>
                </c:pt>
                <c:pt idx="7">
                  <c:v>2337.8519999999999</c:v>
                </c:pt>
                <c:pt idx="8">
                  <c:v>2349.9029999999998</c:v>
                </c:pt>
                <c:pt idx="9">
                  <c:v>2358.8969999999999</c:v>
                </c:pt>
                <c:pt idx="10">
                  <c:v>2380.4299999999998</c:v>
                </c:pt>
                <c:pt idx="11">
                  <c:v>2418.7150000000001</c:v>
                </c:pt>
                <c:pt idx="12">
                  <c:v>2467.7420000000002</c:v>
                </c:pt>
                <c:pt idx="13">
                  <c:v>2512.65</c:v>
                </c:pt>
                <c:pt idx="14">
                  <c:v>2556.7660000000001</c:v>
                </c:pt>
                <c:pt idx="15">
                  <c:v>2579.9969999999998</c:v>
                </c:pt>
                <c:pt idx="16">
                  <c:v>2574.6350000000002</c:v>
                </c:pt>
                <c:pt idx="17">
                  <c:v>2549.0709999999999</c:v>
                </c:pt>
                <c:pt idx="18">
                  <c:v>2525.962</c:v>
                </c:pt>
                <c:pt idx="19">
                  <c:v>2505.13</c:v>
                </c:pt>
                <c:pt idx="20">
                  <c:v>2476.8980000000001</c:v>
                </c:pt>
                <c:pt idx="21">
                  <c:v>2432.1329999999998</c:v>
                </c:pt>
                <c:pt idx="22">
                  <c:v>2383.7330000000002</c:v>
                </c:pt>
                <c:pt idx="23">
                  <c:v>2341.5819999999999</c:v>
                </c:pt>
                <c:pt idx="24">
                  <c:v>2306.395</c:v>
                </c:pt>
                <c:pt idx="25">
                  <c:v>2286.6860000000001</c:v>
                </c:pt>
                <c:pt idx="26">
                  <c:v>2264.6640000000002</c:v>
                </c:pt>
                <c:pt idx="27">
                  <c:v>2267.904</c:v>
                </c:pt>
                <c:pt idx="28">
                  <c:v>2286.9180000000001</c:v>
                </c:pt>
                <c:pt idx="29">
                  <c:v>2323.6689999999999</c:v>
                </c:pt>
                <c:pt idx="30">
                  <c:v>2377.326</c:v>
                </c:pt>
                <c:pt idx="31">
                  <c:v>2431.6080000000002</c:v>
                </c:pt>
                <c:pt idx="32">
                  <c:v>2497.2539999999999</c:v>
                </c:pt>
                <c:pt idx="33">
                  <c:v>2574.3420000000001</c:v>
                </c:pt>
                <c:pt idx="34">
                  <c:v>2657.8809999999999</c:v>
                </c:pt>
                <c:pt idx="35">
                  <c:v>2770.5790000000002</c:v>
                </c:pt>
                <c:pt idx="36">
                  <c:v>2905.6889999999999</c:v>
                </c:pt>
                <c:pt idx="37">
                  <c:v>3071.4569999999999</c:v>
                </c:pt>
                <c:pt idx="38">
                  <c:v>3245.252</c:v>
                </c:pt>
                <c:pt idx="39">
                  <c:v>3433.489</c:v>
                </c:pt>
                <c:pt idx="40">
                  <c:v>3603.3449999999998</c:v>
                </c:pt>
                <c:pt idx="41">
                  <c:v>3697.39</c:v>
                </c:pt>
                <c:pt idx="42">
                  <c:v>3769.1089999999999</c:v>
                </c:pt>
                <c:pt idx="43">
                  <c:v>3851.0309999999999</c:v>
                </c:pt>
                <c:pt idx="44">
                  <c:v>3936.5210000000002</c:v>
                </c:pt>
                <c:pt idx="45">
                  <c:v>4038.14</c:v>
                </c:pt>
                <c:pt idx="46">
                  <c:v>4144.8379999999997</c:v>
                </c:pt>
                <c:pt idx="47">
                  <c:v>4256.8999999999996</c:v>
                </c:pt>
                <c:pt idx="48">
                  <c:v>4356.7650000000003</c:v>
                </c:pt>
                <c:pt idx="49">
                  <c:v>4442.7439999999997</c:v>
                </c:pt>
                <c:pt idx="50">
                  <c:v>4503.7979999999998</c:v>
                </c:pt>
                <c:pt idx="51">
                  <c:v>4546.4139999999998</c:v>
                </c:pt>
                <c:pt idx="52">
                  <c:v>4560.8289999999997</c:v>
                </c:pt>
                <c:pt idx="53">
                  <c:v>4564.951</c:v>
                </c:pt>
                <c:pt idx="54">
                  <c:v>4565.9489999999996</c:v>
                </c:pt>
                <c:pt idx="55">
                  <c:v>4543.0410000000002</c:v>
                </c:pt>
                <c:pt idx="56">
                  <c:v>4479.83</c:v>
                </c:pt>
                <c:pt idx="57">
                  <c:v>4399.46</c:v>
                </c:pt>
                <c:pt idx="58">
                  <c:v>4320.9539999999997</c:v>
                </c:pt>
                <c:pt idx="59">
                  <c:v>4238.1450000000004</c:v>
                </c:pt>
                <c:pt idx="60">
                  <c:v>4167.5460000000003</c:v>
                </c:pt>
                <c:pt idx="61">
                  <c:v>4119.3159999999998</c:v>
                </c:pt>
                <c:pt idx="62">
                  <c:v>4089.6529999999998</c:v>
                </c:pt>
                <c:pt idx="63">
                  <c:v>4060.6550000000002</c:v>
                </c:pt>
                <c:pt idx="64">
                  <c:v>4035.433</c:v>
                </c:pt>
                <c:pt idx="65">
                  <c:v>4017.8090000000002</c:v>
                </c:pt>
                <c:pt idx="66">
                  <c:v>4008.3159999999998</c:v>
                </c:pt>
                <c:pt idx="67">
                  <c:v>4005.6489999999999</c:v>
                </c:pt>
                <c:pt idx="68">
                  <c:v>4008.7959999999998</c:v>
                </c:pt>
                <c:pt idx="69">
                  <c:v>4017.2640000000001</c:v>
                </c:pt>
                <c:pt idx="70">
                  <c:v>4042.0819999999999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9DC-4B80-AD62-48021C2BB957}"/>
            </c:ext>
          </c:extLst>
        </c:ser>
        <c:ser>
          <c:idx val="43"/>
          <c:order val="43"/>
          <c:tx>
            <c:strRef>
              <c:f>Sheet1!$AS$1</c:f>
              <c:strCache>
                <c:ptCount val="1"/>
                <c:pt idx="0">
                  <c:v>43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Sheet1!$AS$2:$AS$72</c:f>
              <c:numCache>
                <c:formatCode>0.000</c:formatCode>
                <c:ptCount val="71"/>
                <c:pt idx="0">
                  <c:v>2095.1799999999998</c:v>
                </c:pt>
                <c:pt idx="1">
                  <c:v>2106.6819999999998</c:v>
                </c:pt>
                <c:pt idx="2">
                  <c:v>2119.0419999999999</c:v>
                </c:pt>
                <c:pt idx="3">
                  <c:v>2149.3679999999999</c:v>
                </c:pt>
                <c:pt idx="4">
                  <c:v>2190.9349999999999</c:v>
                </c:pt>
                <c:pt idx="5">
                  <c:v>2247.09</c:v>
                </c:pt>
                <c:pt idx="6">
                  <c:v>2296.2350000000001</c:v>
                </c:pt>
                <c:pt idx="7">
                  <c:v>2317.9969999999998</c:v>
                </c:pt>
                <c:pt idx="8">
                  <c:v>2328.9989999999998</c:v>
                </c:pt>
                <c:pt idx="9">
                  <c:v>2342.1559999999999</c:v>
                </c:pt>
                <c:pt idx="10">
                  <c:v>2352.4169999999999</c:v>
                </c:pt>
                <c:pt idx="11">
                  <c:v>2372.3429999999998</c:v>
                </c:pt>
                <c:pt idx="12">
                  <c:v>2412.7399999999998</c:v>
                </c:pt>
                <c:pt idx="13">
                  <c:v>2462.5160000000001</c:v>
                </c:pt>
                <c:pt idx="14">
                  <c:v>2506.9639999999999</c:v>
                </c:pt>
                <c:pt idx="15">
                  <c:v>2550.0970000000002</c:v>
                </c:pt>
                <c:pt idx="16">
                  <c:v>2574.317</c:v>
                </c:pt>
                <c:pt idx="17">
                  <c:v>2568.73</c:v>
                </c:pt>
                <c:pt idx="18">
                  <c:v>2543.4479999999999</c:v>
                </c:pt>
                <c:pt idx="19">
                  <c:v>2521.4090000000001</c:v>
                </c:pt>
                <c:pt idx="20">
                  <c:v>2502.4319999999998</c:v>
                </c:pt>
                <c:pt idx="21">
                  <c:v>2468.5839999999998</c:v>
                </c:pt>
                <c:pt idx="22">
                  <c:v>2424.6039999999998</c:v>
                </c:pt>
                <c:pt idx="23">
                  <c:v>2378.1790000000001</c:v>
                </c:pt>
                <c:pt idx="24">
                  <c:v>2338.9720000000002</c:v>
                </c:pt>
                <c:pt idx="25">
                  <c:v>2307.1759999999999</c:v>
                </c:pt>
                <c:pt idx="26">
                  <c:v>2266.8620000000001</c:v>
                </c:pt>
                <c:pt idx="27">
                  <c:v>2249.7570000000001</c:v>
                </c:pt>
                <c:pt idx="28">
                  <c:v>2258.8339999999998</c:v>
                </c:pt>
                <c:pt idx="29">
                  <c:v>2282.4870000000001</c:v>
                </c:pt>
                <c:pt idx="30">
                  <c:v>2324.1660000000002</c:v>
                </c:pt>
                <c:pt idx="31">
                  <c:v>2373.2060000000001</c:v>
                </c:pt>
                <c:pt idx="32">
                  <c:v>2428.9079999999999</c:v>
                </c:pt>
                <c:pt idx="33">
                  <c:v>2496.3409999999999</c:v>
                </c:pt>
                <c:pt idx="34">
                  <c:v>2575.1460000000002</c:v>
                </c:pt>
                <c:pt idx="35">
                  <c:v>2660.8249999999998</c:v>
                </c:pt>
                <c:pt idx="36">
                  <c:v>2759.482</c:v>
                </c:pt>
                <c:pt idx="37">
                  <c:v>2897.7420000000002</c:v>
                </c:pt>
                <c:pt idx="38">
                  <c:v>3068.3319999999999</c:v>
                </c:pt>
                <c:pt idx="39">
                  <c:v>3246.5149999999999</c:v>
                </c:pt>
                <c:pt idx="40">
                  <c:v>3439.7159999999999</c:v>
                </c:pt>
                <c:pt idx="41">
                  <c:v>3579.7669999999998</c:v>
                </c:pt>
                <c:pt idx="42">
                  <c:v>3676.32</c:v>
                </c:pt>
                <c:pt idx="43">
                  <c:v>3754.1729999999998</c:v>
                </c:pt>
                <c:pt idx="44">
                  <c:v>3843.39</c:v>
                </c:pt>
                <c:pt idx="45">
                  <c:v>3937.377</c:v>
                </c:pt>
                <c:pt idx="46">
                  <c:v>4036.3890000000001</c:v>
                </c:pt>
                <c:pt idx="47">
                  <c:v>4147.3119999999999</c:v>
                </c:pt>
                <c:pt idx="48">
                  <c:v>4261.0600000000004</c:v>
                </c:pt>
                <c:pt idx="49">
                  <c:v>4357.9830000000002</c:v>
                </c:pt>
                <c:pt idx="50">
                  <c:v>4438.3969999999999</c:v>
                </c:pt>
                <c:pt idx="51">
                  <c:v>4505.8010000000004</c:v>
                </c:pt>
                <c:pt idx="52">
                  <c:v>4541.0770000000002</c:v>
                </c:pt>
                <c:pt idx="53">
                  <c:v>4552.0029999999997</c:v>
                </c:pt>
                <c:pt idx="54">
                  <c:v>4557.5039999999999</c:v>
                </c:pt>
                <c:pt idx="55">
                  <c:v>4562.0870000000004</c:v>
                </c:pt>
                <c:pt idx="56">
                  <c:v>4534.674</c:v>
                </c:pt>
                <c:pt idx="57">
                  <c:v>4476.3329999999996</c:v>
                </c:pt>
                <c:pt idx="58">
                  <c:v>4399.4859999999999</c:v>
                </c:pt>
                <c:pt idx="59">
                  <c:v>4321.6959999999999</c:v>
                </c:pt>
                <c:pt idx="60">
                  <c:v>4238.3419999999996</c:v>
                </c:pt>
                <c:pt idx="61">
                  <c:v>4166.5339999999997</c:v>
                </c:pt>
                <c:pt idx="62">
                  <c:v>4120.1189999999997</c:v>
                </c:pt>
                <c:pt idx="63">
                  <c:v>4091.14</c:v>
                </c:pt>
                <c:pt idx="64">
                  <c:v>4062.1750000000002</c:v>
                </c:pt>
                <c:pt idx="65">
                  <c:v>4036.7620000000002</c:v>
                </c:pt>
                <c:pt idx="66">
                  <c:v>4019.06</c:v>
                </c:pt>
                <c:pt idx="67">
                  <c:v>4008.0509999999999</c:v>
                </c:pt>
                <c:pt idx="68">
                  <c:v>4004.7649999999999</c:v>
                </c:pt>
                <c:pt idx="69">
                  <c:v>4008.404</c:v>
                </c:pt>
                <c:pt idx="70">
                  <c:v>4017.6880000000001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C9DC-4B80-AD62-48021C2BB957}"/>
            </c:ext>
          </c:extLst>
        </c:ser>
        <c:ser>
          <c:idx val="44"/>
          <c:order val="44"/>
          <c:tx>
            <c:strRef>
              <c:f>Sheet1!$AT$1</c:f>
              <c:strCache>
                <c:ptCount val="1"/>
                <c:pt idx="0">
                  <c:v>44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Sheet1!$AT$2:$AT$72</c:f>
              <c:numCache>
                <c:formatCode>0.000</c:formatCode>
                <c:ptCount val="71"/>
                <c:pt idx="0">
                  <c:v>2042.126</c:v>
                </c:pt>
                <c:pt idx="1">
                  <c:v>2066.2170000000001</c:v>
                </c:pt>
                <c:pt idx="2">
                  <c:v>2075.0239999999999</c:v>
                </c:pt>
                <c:pt idx="3">
                  <c:v>2090.8440000000001</c:v>
                </c:pt>
                <c:pt idx="4">
                  <c:v>2129.2049999999999</c:v>
                </c:pt>
                <c:pt idx="5">
                  <c:v>2177.241</c:v>
                </c:pt>
                <c:pt idx="6">
                  <c:v>2244.3150000000001</c:v>
                </c:pt>
                <c:pt idx="7">
                  <c:v>2287.319</c:v>
                </c:pt>
                <c:pt idx="8">
                  <c:v>2307.5439999999999</c:v>
                </c:pt>
                <c:pt idx="9">
                  <c:v>2320.2559999999999</c:v>
                </c:pt>
                <c:pt idx="10">
                  <c:v>2334.7440000000001</c:v>
                </c:pt>
                <c:pt idx="11">
                  <c:v>2342.61</c:v>
                </c:pt>
                <c:pt idx="12">
                  <c:v>2365.335</c:v>
                </c:pt>
                <c:pt idx="13">
                  <c:v>2406.9279999999999</c:v>
                </c:pt>
                <c:pt idx="14">
                  <c:v>2456.105</c:v>
                </c:pt>
                <c:pt idx="15">
                  <c:v>2499.5219999999999</c:v>
                </c:pt>
                <c:pt idx="16">
                  <c:v>2543.1260000000002</c:v>
                </c:pt>
                <c:pt idx="17">
                  <c:v>2566.9580000000001</c:v>
                </c:pt>
                <c:pt idx="18">
                  <c:v>2561.587</c:v>
                </c:pt>
                <c:pt idx="19">
                  <c:v>2537.3960000000002</c:v>
                </c:pt>
                <c:pt idx="20">
                  <c:v>2517.0680000000002</c:v>
                </c:pt>
                <c:pt idx="21">
                  <c:v>2492.395</c:v>
                </c:pt>
                <c:pt idx="22">
                  <c:v>2459.0729999999999</c:v>
                </c:pt>
                <c:pt idx="23">
                  <c:v>2416.9929999999999</c:v>
                </c:pt>
                <c:pt idx="24">
                  <c:v>2373.5059999999999</c:v>
                </c:pt>
                <c:pt idx="25">
                  <c:v>2337.4319999999998</c:v>
                </c:pt>
                <c:pt idx="26">
                  <c:v>2286.8629999999998</c:v>
                </c:pt>
                <c:pt idx="27">
                  <c:v>2248.5949999999998</c:v>
                </c:pt>
                <c:pt idx="28">
                  <c:v>2235.7170000000001</c:v>
                </c:pt>
                <c:pt idx="29">
                  <c:v>2249.6019999999999</c:v>
                </c:pt>
                <c:pt idx="30">
                  <c:v>2277.2979999999998</c:v>
                </c:pt>
                <c:pt idx="31">
                  <c:v>2319.5039999999999</c:v>
                </c:pt>
                <c:pt idx="32">
                  <c:v>2368.777</c:v>
                </c:pt>
                <c:pt idx="33">
                  <c:v>2425.645</c:v>
                </c:pt>
                <c:pt idx="34">
                  <c:v>2494.9119999999998</c:v>
                </c:pt>
                <c:pt idx="35">
                  <c:v>2575.453</c:v>
                </c:pt>
                <c:pt idx="36">
                  <c:v>2649.587</c:v>
                </c:pt>
                <c:pt idx="37">
                  <c:v>2748.3040000000001</c:v>
                </c:pt>
                <c:pt idx="38">
                  <c:v>2889.6030000000001</c:v>
                </c:pt>
                <c:pt idx="39">
                  <c:v>3064.9290000000001</c:v>
                </c:pt>
                <c:pt idx="40">
                  <c:v>3247.5729999999999</c:v>
                </c:pt>
                <c:pt idx="41">
                  <c:v>3417.9960000000001</c:v>
                </c:pt>
                <c:pt idx="42">
                  <c:v>3556.4110000000001</c:v>
                </c:pt>
                <c:pt idx="43">
                  <c:v>3656.4340000000002</c:v>
                </c:pt>
                <c:pt idx="44">
                  <c:v>3741.79</c:v>
                </c:pt>
                <c:pt idx="45">
                  <c:v>3838.9169999999999</c:v>
                </c:pt>
                <c:pt idx="46">
                  <c:v>3937.114</c:v>
                </c:pt>
                <c:pt idx="47">
                  <c:v>4039.2840000000001</c:v>
                </c:pt>
                <c:pt idx="48">
                  <c:v>4151.1570000000002</c:v>
                </c:pt>
                <c:pt idx="49">
                  <c:v>4262.1210000000001</c:v>
                </c:pt>
                <c:pt idx="50">
                  <c:v>4353.55</c:v>
                </c:pt>
                <c:pt idx="51">
                  <c:v>4439.808</c:v>
                </c:pt>
                <c:pt idx="52">
                  <c:v>4499.7740000000003</c:v>
                </c:pt>
                <c:pt idx="53">
                  <c:v>4531.3850000000002</c:v>
                </c:pt>
                <c:pt idx="54">
                  <c:v>4543.6589999999997</c:v>
                </c:pt>
                <c:pt idx="55">
                  <c:v>4552.7740000000003</c:v>
                </c:pt>
                <c:pt idx="56">
                  <c:v>4553.723</c:v>
                </c:pt>
                <c:pt idx="57">
                  <c:v>4530.1480000000001</c:v>
                </c:pt>
                <c:pt idx="58">
                  <c:v>4474.6629999999996</c:v>
                </c:pt>
                <c:pt idx="59">
                  <c:v>4398.6400000000003</c:v>
                </c:pt>
                <c:pt idx="60">
                  <c:v>4320.2700000000004</c:v>
                </c:pt>
                <c:pt idx="61">
                  <c:v>4235.424</c:v>
                </c:pt>
                <c:pt idx="62">
                  <c:v>4165.6530000000002</c:v>
                </c:pt>
                <c:pt idx="63">
                  <c:v>4120.0659999999998</c:v>
                </c:pt>
                <c:pt idx="64">
                  <c:v>4091.1030000000001</c:v>
                </c:pt>
                <c:pt idx="65">
                  <c:v>4061.951</c:v>
                </c:pt>
                <c:pt idx="66">
                  <c:v>4036.5030000000002</c:v>
                </c:pt>
                <c:pt idx="67">
                  <c:v>4017.395</c:v>
                </c:pt>
                <c:pt idx="68">
                  <c:v>4005.8539999999998</c:v>
                </c:pt>
                <c:pt idx="69">
                  <c:v>4003.0940000000001</c:v>
                </c:pt>
                <c:pt idx="70">
                  <c:v>4007.578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9DC-4B80-AD62-48021C2BB957}"/>
            </c:ext>
          </c:extLst>
        </c:ser>
        <c:ser>
          <c:idx val="45"/>
          <c:order val="45"/>
          <c:tx>
            <c:strRef>
              <c:f>Sheet1!$AU$1</c:f>
              <c:strCache>
                <c:ptCount val="1"/>
                <c:pt idx="0">
                  <c:v>45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Sheet1!$AU$2:$AU$72</c:f>
              <c:numCache>
                <c:formatCode>0.000</c:formatCode>
                <c:ptCount val="71"/>
                <c:pt idx="0">
                  <c:v>1988.9970000000001</c:v>
                </c:pt>
                <c:pt idx="1">
                  <c:v>2026.6279999999999</c:v>
                </c:pt>
                <c:pt idx="2">
                  <c:v>2042.2349999999999</c:v>
                </c:pt>
                <c:pt idx="3">
                  <c:v>2044.818</c:v>
                </c:pt>
                <c:pt idx="4">
                  <c:v>2062.5430000000001</c:v>
                </c:pt>
                <c:pt idx="5">
                  <c:v>2108.7109999999998</c:v>
                </c:pt>
                <c:pt idx="6">
                  <c:v>2180.4259999999999</c:v>
                </c:pt>
                <c:pt idx="7">
                  <c:v>2239.5369999999998</c:v>
                </c:pt>
                <c:pt idx="8">
                  <c:v>2277.5250000000001</c:v>
                </c:pt>
                <c:pt idx="9">
                  <c:v>2297.1999999999998</c:v>
                </c:pt>
                <c:pt idx="10">
                  <c:v>2311.8470000000002</c:v>
                </c:pt>
                <c:pt idx="11">
                  <c:v>2322.8409999999999</c:v>
                </c:pt>
                <c:pt idx="12">
                  <c:v>2333.866</c:v>
                </c:pt>
                <c:pt idx="13">
                  <c:v>2358.4850000000001</c:v>
                </c:pt>
                <c:pt idx="14">
                  <c:v>2399.9549999999999</c:v>
                </c:pt>
                <c:pt idx="15">
                  <c:v>2447.971</c:v>
                </c:pt>
                <c:pt idx="16">
                  <c:v>2491.3470000000002</c:v>
                </c:pt>
                <c:pt idx="17">
                  <c:v>2534.4940000000001</c:v>
                </c:pt>
                <c:pt idx="18">
                  <c:v>2558.3629999999998</c:v>
                </c:pt>
                <c:pt idx="19">
                  <c:v>2554.0129999999999</c:v>
                </c:pt>
                <c:pt idx="20">
                  <c:v>2531.5569999999998</c:v>
                </c:pt>
                <c:pt idx="21">
                  <c:v>2505.4720000000002</c:v>
                </c:pt>
                <c:pt idx="22">
                  <c:v>2481.1469999999999</c:v>
                </c:pt>
                <c:pt idx="23">
                  <c:v>2449.4769999999999</c:v>
                </c:pt>
                <c:pt idx="24">
                  <c:v>2410.2759999999998</c:v>
                </c:pt>
                <c:pt idx="25">
                  <c:v>2369.9169999999999</c:v>
                </c:pt>
                <c:pt idx="26">
                  <c:v>2318.4229999999998</c:v>
                </c:pt>
                <c:pt idx="27">
                  <c:v>2268.1190000000001</c:v>
                </c:pt>
                <c:pt idx="28">
                  <c:v>2231.1950000000002</c:v>
                </c:pt>
                <c:pt idx="29">
                  <c:v>2221.5140000000001</c:v>
                </c:pt>
                <c:pt idx="30">
                  <c:v>2239.6179999999999</c:v>
                </c:pt>
                <c:pt idx="31">
                  <c:v>2272.79</c:v>
                </c:pt>
                <c:pt idx="32">
                  <c:v>2314.5390000000002</c:v>
                </c:pt>
                <c:pt idx="33">
                  <c:v>2363.8009999999999</c:v>
                </c:pt>
                <c:pt idx="34">
                  <c:v>2421.8780000000002</c:v>
                </c:pt>
                <c:pt idx="35">
                  <c:v>2492.998</c:v>
                </c:pt>
                <c:pt idx="36">
                  <c:v>2565.989</c:v>
                </c:pt>
                <c:pt idx="37">
                  <c:v>2638.2719999999999</c:v>
                </c:pt>
                <c:pt idx="38">
                  <c:v>2736.9459999999999</c:v>
                </c:pt>
                <c:pt idx="39">
                  <c:v>2881.2</c:v>
                </c:pt>
                <c:pt idx="40">
                  <c:v>3061.33</c:v>
                </c:pt>
                <c:pt idx="41">
                  <c:v>3230.252</c:v>
                </c:pt>
                <c:pt idx="42">
                  <c:v>3396.482</c:v>
                </c:pt>
                <c:pt idx="43">
                  <c:v>3534.201</c:v>
                </c:pt>
                <c:pt idx="44">
                  <c:v>3639.0329999999999</c:v>
                </c:pt>
                <c:pt idx="45">
                  <c:v>3732.4839999999999</c:v>
                </c:pt>
                <c:pt idx="46">
                  <c:v>3840.5839999999998</c:v>
                </c:pt>
                <c:pt idx="47">
                  <c:v>3941.3829999999998</c:v>
                </c:pt>
                <c:pt idx="48">
                  <c:v>4043.5160000000001</c:v>
                </c:pt>
                <c:pt idx="49">
                  <c:v>4151.982</c:v>
                </c:pt>
                <c:pt idx="50">
                  <c:v>4257.6559999999999</c:v>
                </c:pt>
                <c:pt idx="51">
                  <c:v>4354.4690000000001</c:v>
                </c:pt>
                <c:pt idx="52">
                  <c:v>4433.3050000000003</c:v>
                </c:pt>
                <c:pt idx="53">
                  <c:v>4489.4319999999998</c:v>
                </c:pt>
                <c:pt idx="54">
                  <c:v>4522.174</c:v>
                </c:pt>
                <c:pt idx="55">
                  <c:v>4538.0249999999996</c:v>
                </c:pt>
                <c:pt idx="56">
                  <c:v>4545.049</c:v>
                </c:pt>
                <c:pt idx="57">
                  <c:v>4549.2150000000001</c:v>
                </c:pt>
                <c:pt idx="58">
                  <c:v>4527.4690000000001</c:v>
                </c:pt>
                <c:pt idx="59">
                  <c:v>4472.1019999999999</c:v>
                </c:pt>
                <c:pt idx="60">
                  <c:v>4395.5870000000004</c:v>
                </c:pt>
                <c:pt idx="61">
                  <c:v>4315.2939999999999</c:v>
                </c:pt>
                <c:pt idx="62">
                  <c:v>4232.6390000000001</c:v>
                </c:pt>
                <c:pt idx="63">
                  <c:v>4163.9080000000004</c:v>
                </c:pt>
                <c:pt idx="64">
                  <c:v>4118.4799999999996</c:v>
                </c:pt>
                <c:pt idx="65">
                  <c:v>4089.3130000000001</c:v>
                </c:pt>
                <c:pt idx="66">
                  <c:v>4060.07</c:v>
                </c:pt>
                <c:pt idx="67">
                  <c:v>4033.3139999999999</c:v>
                </c:pt>
                <c:pt idx="68">
                  <c:v>4013.7919999999999</c:v>
                </c:pt>
                <c:pt idx="69">
                  <c:v>4002.87</c:v>
                </c:pt>
                <c:pt idx="70">
                  <c:v>4000.991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C9DC-4B80-AD62-48021C2BB957}"/>
            </c:ext>
          </c:extLst>
        </c:ser>
        <c:ser>
          <c:idx val="46"/>
          <c:order val="46"/>
          <c:tx>
            <c:strRef>
              <c:f>Sheet1!$AV$1</c:f>
              <c:strCache>
                <c:ptCount val="1"/>
                <c:pt idx="0">
                  <c:v>46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Sheet1!$AV$2:$AV$72</c:f>
              <c:numCache>
                <c:formatCode>0.000</c:formatCode>
                <c:ptCount val="71"/>
                <c:pt idx="0">
                  <c:v>1933.87</c:v>
                </c:pt>
                <c:pt idx="1">
                  <c:v>1985.9670000000001</c:v>
                </c:pt>
                <c:pt idx="2">
                  <c:v>2015.9880000000001</c:v>
                </c:pt>
                <c:pt idx="3">
                  <c:v>2019.6859999999999</c:v>
                </c:pt>
                <c:pt idx="4">
                  <c:v>2014.5060000000001</c:v>
                </c:pt>
                <c:pt idx="5">
                  <c:v>2033.9090000000001</c:v>
                </c:pt>
                <c:pt idx="6">
                  <c:v>2117.4380000000001</c:v>
                </c:pt>
                <c:pt idx="7">
                  <c:v>2181.67</c:v>
                </c:pt>
                <c:pt idx="8">
                  <c:v>2233.8980000000001</c:v>
                </c:pt>
                <c:pt idx="9">
                  <c:v>2267.84</c:v>
                </c:pt>
                <c:pt idx="10">
                  <c:v>2287.1880000000001</c:v>
                </c:pt>
                <c:pt idx="11">
                  <c:v>2297.8009999999999</c:v>
                </c:pt>
                <c:pt idx="12">
                  <c:v>2311.9940000000001</c:v>
                </c:pt>
                <c:pt idx="13">
                  <c:v>2325.277</c:v>
                </c:pt>
                <c:pt idx="14">
                  <c:v>2350.4960000000001</c:v>
                </c:pt>
                <c:pt idx="15">
                  <c:v>2391.3009999999999</c:v>
                </c:pt>
                <c:pt idx="16">
                  <c:v>2438.415</c:v>
                </c:pt>
                <c:pt idx="17">
                  <c:v>2481.5450000000001</c:v>
                </c:pt>
                <c:pt idx="18">
                  <c:v>2524.6419999999998</c:v>
                </c:pt>
                <c:pt idx="19">
                  <c:v>2549.337</c:v>
                </c:pt>
                <c:pt idx="20">
                  <c:v>2546.654</c:v>
                </c:pt>
                <c:pt idx="21">
                  <c:v>2518.2539999999999</c:v>
                </c:pt>
                <c:pt idx="22">
                  <c:v>2492.6570000000002</c:v>
                </c:pt>
                <c:pt idx="23">
                  <c:v>2469.8159999999998</c:v>
                </c:pt>
                <c:pt idx="24">
                  <c:v>2440.788</c:v>
                </c:pt>
                <c:pt idx="25">
                  <c:v>2404.663</c:v>
                </c:pt>
                <c:pt idx="26">
                  <c:v>2351.6909999999998</c:v>
                </c:pt>
                <c:pt idx="27">
                  <c:v>2301.0079999999998</c:v>
                </c:pt>
                <c:pt idx="28">
                  <c:v>2250.252</c:v>
                </c:pt>
                <c:pt idx="29">
                  <c:v>2213.6280000000002</c:v>
                </c:pt>
                <c:pt idx="30">
                  <c:v>2206.5639999999999</c:v>
                </c:pt>
                <c:pt idx="31">
                  <c:v>2234.951</c:v>
                </c:pt>
                <c:pt idx="32">
                  <c:v>2267.9810000000002</c:v>
                </c:pt>
                <c:pt idx="33">
                  <c:v>2309.0369999999998</c:v>
                </c:pt>
                <c:pt idx="34">
                  <c:v>2358.335</c:v>
                </c:pt>
                <c:pt idx="35">
                  <c:v>2417.6410000000001</c:v>
                </c:pt>
                <c:pt idx="36">
                  <c:v>2484.8069999999998</c:v>
                </c:pt>
                <c:pt idx="37">
                  <c:v>2556.4450000000002</c:v>
                </c:pt>
                <c:pt idx="38">
                  <c:v>2626.7820000000002</c:v>
                </c:pt>
                <c:pt idx="39">
                  <c:v>2725.3359999999998</c:v>
                </c:pt>
                <c:pt idx="40">
                  <c:v>2872.6109999999999</c:v>
                </c:pt>
                <c:pt idx="41">
                  <c:v>3048.04</c:v>
                </c:pt>
                <c:pt idx="42">
                  <c:v>3213.12</c:v>
                </c:pt>
                <c:pt idx="43">
                  <c:v>3376.06</c:v>
                </c:pt>
                <c:pt idx="44">
                  <c:v>3514.3910000000001</c:v>
                </c:pt>
                <c:pt idx="45">
                  <c:v>3624.616</c:v>
                </c:pt>
                <c:pt idx="46">
                  <c:v>3736.0619999999999</c:v>
                </c:pt>
                <c:pt idx="47">
                  <c:v>3846.672</c:v>
                </c:pt>
                <c:pt idx="48">
                  <c:v>3946.9580000000001</c:v>
                </c:pt>
                <c:pt idx="49">
                  <c:v>4044.8069999999998</c:v>
                </c:pt>
                <c:pt idx="50">
                  <c:v>4147.424</c:v>
                </c:pt>
                <c:pt idx="51">
                  <c:v>4258.1170000000002</c:v>
                </c:pt>
                <c:pt idx="52">
                  <c:v>4347.6279999999997</c:v>
                </c:pt>
                <c:pt idx="53">
                  <c:v>4422.5529999999999</c:v>
                </c:pt>
                <c:pt idx="54">
                  <c:v>4479.57</c:v>
                </c:pt>
                <c:pt idx="55">
                  <c:v>4515.66</c:v>
                </c:pt>
                <c:pt idx="56">
                  <c:v>4530.848</c:v>
                </c:pt>
                <c:pt idx="57">
                  <c:v>4541.1750000000002</c:v>
                </c:pt>
                <c:pt idx="58">
                  <c:v>4546.5619999999999</c:v>
                </c:pt>
                <c:pt idx="59">
                  <c:v>4523.8879999999999</c:v>
                </c:pt>
                <c:pt idx="60">
                  <c:v>4467.299</c:v>
                </c:pt>
                <c:pt idx="61">
                  <c:v>4388.5609999999997</c:v>
                </c:pt>
                <c:pt idx="62">
                  <c:v>4310.451</c:v>
                </c:pt>
                <c:pt idx="63">
                  <c:v>4228.973</c:v>
                </c:pt>
                <c:pt idx="64">
                  <c:v>4160.6130000000003</c:v>
                </c:pt>
                <c:pt idx="65">
                  <c:v>4115.1279999999997</c:v>
                </c:pt>
                <c:pt idx="66">
                  <c:v>4085.7629999999999</c:v>
                </c:pt>
                <c:pt idx="67">
                  <c:v>4055.239</c:v>
                </c:pt>
                <c:pt idx="68">
                  <c:v>4028.18</c:v>
                </c:pt>
                <c:pt idx="69">
                  <c:v>4009.404</c:v>
                </c:pt>
                <c:pt idx="70">
                  <c:v>3999.4560000000001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C9DC-4B80-AD62-48021C2BB957}"/>
            </c:ext>
          </c:extLst>
        </c:ser>
        <c:ser>
          <c:idx val="47"/>
          <c:order val="47"/>
          <c:tx>
            <c:strRef>
              <c:f>Sheet1!$AW$1</c:f>
              <c:strCache>
                <c:ptCount val="1"/>
                <c:pt idx="0">
                  <c:v>47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Sheet1!$AW$2:$AW$72</c:f>
              <c:numCache>
                <c:formatCode>0.000</c:formatCode>
                <c:ptCount val="71"/>
                <c:pt idx="0">
                  <c:v>1886.1590000000001</c:v>
                </c:pt>
                <c:pt idx="1">
                  <c:v>1944.683</c:v>
                </c:pt>
                <c:pt idx="2">
                  <c:v>1987.6690000000001</c:v>
                </c:pt>
                <c:pt idx="3">
                  <c:v>2006.7729999999999</c:v>
                </c:pt>
                <c:pt idx="4">
                  <c:v>1997.0450000000001</c:v>
                </c:pt>
                <c:pt idx="5">
                  <c:v>1983.865</c:v>
                </c:pt>
                <c:pt idx="6">
                  <c:v>2048.8519999999999</c:v>
                </c:pt>
                <c:pt idx="7">
                  <c:v>2124.2849999999999</c:v>
                </c:pt>
                <c:pt idx="8">
                  <c:v>2182.0749999999998</c:v>
                </c:pt>
                <c:pt idx="9">
                  <c:v>2228.3609999999999</c:v>
                </c:pt>
                <c:pt idx="10">
                  <c:v>2258.4810000000002</c:v>
                </c:pt>
                <c:pt idx="11">
                  <c:v>2270.5639999999999</c:v>
                </c:pt>
                <c:pt idx="12">
                  <c:v>2284.797</c:v>
                </c:pt>
                <c:pt idx="13">
                  <c:v>2301.297</c:v>
                </c:pt>
                <c:pt idx="14">
                  <c:v>2315.5650000000001</c:v>
                </c:pt>
                <c:pt idx="15">
                  <c:v>2340.8629999999998</c:v>
                </c:pt>
                <c:pt idx="16">
                  <c:v>2380.1489999999999</c:v>
                </c:pt>
                <c:pt idx="17">
                  <c:v>2427.2649999999999</c:v>
                </c:pt>
                <c:pt idx="18">
                  <c:v>2470.5479999999998</c:v>
                </c:pt>
                <c:pt idx="19">
                  <c:v>2514.366</c:v>
                </c:pt>
                <c:pt idx="20">
                  <c:v>2540.5279999999998</c:v>
                </c:pt>
                <c:pt idx="21">
                  <c:v>2531.4899999999998</c:v>
                </c:pt>
                <c:pt idx="22">
                  <c:v>2503.7269999999999</c:v>
                </c:pt>
                <c:pt idx="23">
                  <c:v>2479.761</c:v>
                </c:pt>
                <c:pt idx="24">
                  <c:v>2459.3989999999999</c:v>
                </c:pt>
                <c:pt idx="25">
                  <c:v>2433.2170000000001</c:v>
                </c:pt>
                <c:pt idx="26">
                  <c:v>2387.201</c:v>
                </c:pt>
                <c:pt idx="27">
                  <c:v>2335.08</c:v>
                </c:pt>
                <c:pt idx="28">
                  <c:v>2284.4810000000002</c:v>
                </c:pt>
                <c:pt idx="29">
                  <c:v>2232.2130000000002</c:v>
                </c:pt>
                <c:pt idx="30">
                  <c:v>2195.3139999999999</c:v>
                </c:pt>
                <c:pt idx="31">
                  <c:v>2201.6729999999998</c:v>
                </c:pt>
                <c:pt idx="32">
                  <c:v>2229.98</c:v>
                </c:pt>
                <c:pt idx="33">
                  <c:v>2262.6419999999998</c:v>
                </c:pt>
                <c:pt idx="34">
                  <c:v>2303.058</c:v>
                </c:pt>
                <c:pt idx="35">
                  <c:v>2352.4079999999999</c:v>
                </c:pt>
                <c:pt idx="36">
                  <c:v>2410.7869999999998</c:v>
                </c:pt>
                <c:pt idx="37">
                  <c:v>2476.5349999999999</c:v>
                </c:pt>
                <c:pt idx="38">
                  <c:v>2546.7310000000002</c:v>
                </c:pt>
                <c:pt idx="39">
                  <c:v>2615.0529999999999</c:v>
                </c:pt>
                <c:pt idx="40">
                  <c:v>2713.55</c:v>
                </c:pt>
                <c:pt idx="41">
                  <c:v>2863.7779999999998</c:v>
                </c:pt>
                <c:pt idx="42">
                  <c:v>3034.922</c:v>
                </c:pt>
                <c:pt idx="43">
                  <c:v>3197.0169999999998</c:v>
                </c:pt>
                <c:pt idx="44">
                  <c:v>3357.931</c:v>
                </c:pt>
                <c:pt idx="45">
                  <c:v>3497.4589999999998</c:v>
                </c:pt>
                <c:pt idx="46">
                  <c:v>3630.5120000000002</c:v>
                </c:pt>
                <c:pt idx="47">
                  <c:v>3743.9409999999998</c:v>
                </c:pt>
                <c:pt idx="48">
                  <c:v>3854.0369999999998</c:v>
                </c:pt>
                <c:pt idx="49">
                  <c:v>3949.6640000000002</c:v>
                </c:pt>
                <c:pt idx="50">
                  <c:v>4040.8539999999998</c:v>
                </c:pt>
                <c:pt idx="51">
                  <c:v>4147.4799999999996</c:v>
                </c:pt>
                <c:pt idx="52">
                  <c:v>4250.9870000000001</c:v>
                </c:pt>
                <c:pt idx="53">
                  <c:v>4336.6180000000004</c:v>
                </c:pt>
                <c:pt idx="54">
                  <c:v>4412.2730000000001</c:v>
                </c:pt>
                <c:pt idx="55">
                  <c:v>4472.3789999999999</c:v>
                </c:pt>
                <c:pt idx="56">
                  <c:v>4509.1689999999999</c:v>
                </c:pt>
                <c:pt idx="57">
                  <c:v>4527.5079999999998</c:v>
                </c:pt>
                <c:pt idx="58">
                  <c:v>4539.1509999999998</c:v>
                </c:pt>
                <c:pt idx="59">
                  <c:v>4543.0029999999997</c:v>
                </c:pt>
                <c:pt idx="60">
                  <c:v>4518.0360000000001</c:v>
                </c:pt>
                <c:pt idx="61">
                  <c:v>4458.2209999999995</c:v>
                </c:pt>
                <c:pt idx="62">
                  <c:v>4381.6689999999999</c:v>
                </c:pt>
                <c:pt idx="63">
                  <c:v>4304.7089999999998</c:v>
                </c:pt>
                <c:pt idx="64">
                  <c:v>4223.732</c:v>
                </c:pt>
                <c:pt idx="65">
                  <c:v>4155.5339999999997</c:v>
                </c:pt>
                <c:pt idx="66">
                  <c:v>4109.875</c:v>
                </c:pt>
                <c:pt idx="67">
                  <c:v>4079.24</c:v>
                </c:pt>
                <c:pt idx="68">
                  <c:v>4048.451</c:v>
                </c:pt>
                <c:pt idx="69">
                  <c:v>4022.2559999999999</c:v>
                </c:pt>
                <c:pt idx="70">
                  <c:v>4004.585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C9DC-4B80-AD62-48021C2BB957}"/>
            </c:ext>
          </c:extLst>
        </c:ser>
        <c:ser>
          <c:idx val="48"/>
          <c:order val="48"/>
          <c:tx>
            <c:strRef>
              <c:f>Sheet1!$AX$1</c:f>
              <c:strCache>
                <c:ptCount val="1"/>
                <c:pt idx="0">
                  <c:v>48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Sheet1!$AX$2:$AX$72</c:f>
              <c:numCache>
                <c:formatCode>0.000</c:formatCode>
                <c:ptCount val="71"/>
                <c:pt idx="0">
                  <c:v>1850.7149999999999</c:v>
                </c:pt>
                <c:pt idx="1">
                  <c:v>1903.5239999999999</c:v>
                </c:pt>
                <c:pt idx="2">
                  <c:v>1960.1</c:v>
                </c:pt>
                <c:pt idx="3">
                  <c:v>1990.79</c:v>
                </c:pt>
                <c:pt idx="4">
                  <c:v>1997.489</c:v>
                </c:pt>
                <c:pt idx="5">
                  <c:v>1974.088</c:v>
                </c:pt>
                <c:pt idx="6">
                  <c:v>2000.8119999999999</c:v>
                </c:pt>
                <c:pt idx="7">
                  <c:v>2061.982</c:v>
                </c:pt>
                <c:pt idx="8">
                  <c:v>2130.3119999999999</c:v>
                </c:pt>
                <c:pt idx="9">
                  <c:v>2182.5740000000001</c:v>
                </c:pt>
                <c:pt idx="10">
                  <c:v>2223.1439999999998</c:v>
                </c:pt>
                <c:pt idx="11">
                  <c:v>2240.6579999999999</c:v>
                </c:pt>
                <c:pt idx="12">
                  <c:v>2254.9699999999998</c:v>
                </c:pt>
                <c:pt idx="13">
                  <c:v>2271.94</c:v>
                </c:pt>
                <c:pt idx="14">
                  <c:v>2289.489</c:v>
                </c:pt>
                <c:pt idx="15">
                  <c:v>2304.2339999999999</c:v>
                </c:pt>
                <c:pt idx="16">
                  <c:v>2328.337</c:v>
                </c:pt>
                <c:pt idx="17">
                  <c:v>2367.44</c:v>
                </c:pt>
                <c:pt idx="18">
                  <c:v>2414.9459999999999</c:v>
                </c:pt>
                <c:pt idx="19">
                  <c:v>2459.1370000000002</c:v>
                </c:pt>
                <c:pt idx="20">
                  <c:v>2504.3049999999998</c:v>
                </c:pt>
                <c:pt idx="21">
                  <c:v>2523.8249999999998</c:v>
                </c:pt>
                <c:pt idx="22">
                  <c:v>2515.096</c:v>
                </c:pt>
                <c:pt idx="23">
                  <c:v>2489.1190000000001</c:v>
                </c:pt>
                <c:pt idx="24">
                  <c:v>2467.7820000000002</c:v>
                </c:pt>
                <c:pt idx="25">
                  <c:v>2450.11</c:v>
                </c:pt>
                <c:pt idx="26">
                  <c:v>2415.9960000000001</c:v>
                </c:pt>
                <c:pt idx="27">
                  <c:v>2371.3809999999999</c:v>
                </c:pt>
                <c:pt idx="28">
                  <c:v>2319.3719999999998</c:v>
                </c:pt>
                <c:pt idx="29">
                  <c:v>2267.7809999999999</c:v>
                </c:pt>
                <c:pt idx="30">
                  <c:v>2213.42</c:v>
                </c:pt>
                <c:pt idx="31">
                  <c:v>2189.6570000000002</c:v>
                </c:pt>
                <c:pt idx="32">
                  <c:v>2196.4789999999998</c:v>
                </c:pt>
                <c:pt idx="33">
                  <c:v>2224.4859999999999</c:v>
                </c:pt>
                <c:pt idx="34">
                  <c:v>2256.8359999999998</c:v>
                </c:pt>
                <c:pt idx="35">
                  <c:v>2296.6280000000002</c:v>
                </c:pt>
                <c:pt idx="36">
                  <c:v>2345.9560000000001</c:v>
                </c:pt>
                <c:pt idx="37">
                  <c:v>2403.8519999999999</c:v>
                </c:pt>
                <c:pt idx="38">
                  <c:v>2468.0949999999998</c:v>
                </c:pt>
                <c:pt idx="39">
                  <c:v>2536.7860000000001</c:v>
                </c:pt>
                <c:pt idx="40">
                  <c:v>2603.1570000000002</c:v>
                </c:pt>
                <c:pt idx="41">
                  <c:v>2707.1869999999999</c:v>
                </c:pt>
                <c:pt idx="42">
                  <c:v>2855.0990000000002</c:v>
                </c:pt>
                <c:pt idx="43">
                  <c:v>3022.7710000000002</c:v>
                </c:pt>
                <c:pt idx="44">
                  <c:v>3183.0830000000001</c:v>
                </c:pt>
                <c:pt idx="45">
                  <c:v>3342.5529999999999</c:v>
                </c:pt>
                <c:pt idx="46">
                  <c:v>3503.625</c:v>
                </c:pt>
                <c:pt idx="47">
                  <c:v>3640.5889999999999</c:v>
                </c:pt>
                <c:pt idx="48">
                  <c:v>3753.067</c:v>
                </c:pt>
                <c:pt idx="49">
                  <c:v>3858.6039999999998</c:v>
                </c:pt>
                <c:pt idx="50">
                  <c:v>3947.248</c:v>
                </c:pt>
                <c:pt idx="51">
                  <c:v>4040.319</c:v>
                </c:pt>
                <c:pt idx="52">
                  <c:v>4140.143</c:v>
                </c:pt>
                <c:pt idx="53">
                  <c:v>4239.7830000000004</c:v>
                </c:pt>
                <c:pt idx="54">
                  <c:v>4326.0730000000003</c:v>
                </c:pt>
                <c:pt idx="55">
                  <c:v>4404.625</c:v>
                </c:pt>
                <c:pt idx="56">
                  <c:v>4465.7889999999998</c:v>
                </c:pt>
                <c:pt idx="57">
                  <c:v>4506.4970000000003</c:v>
                </c:pt>
                <c:pt idx="58">
                  <c:v>4526.0129999999999</c:v>
                </c:pt>
                <c:pt idx="59">
                  <c:v>4536.223</c:v>
                </c:pt>
                <c:pt idx="60">
                  <c:v>4537.1629999999996</c:v>
                </c:pt>
                <c:pt idx="61">
                  <c:v>4506.8649999999998</c:v>
                </c:pt>
                <c:pt idx="62">
                  <c:v>4449.2790000000005</c:v>
                </c:pt>
                <c:pt idx="63">
                  <c:v>4373.8609999999999</c:v>
                </c:pt>
                <c:pt idx="64">
                  <c:v>4297.3639999999996</c:v>
                </c:pt>
                <c:pt idx="65">
                  <c:v>4216.683</c:v>
                </c:pt>
                <c:pt idx="66">
                  <c:v>4148.3580000000002</c:v>
                </c:pt>
                <c:pt idx="67">
                  <c:v>4101.63</c:v>
                </c:pt>
                <c:pt idx="68">
                  <c:v>4070.75</c:v>
                </c:pt>
                <c:pt idx="69">
                  <c:v>4040.8719999999998</c:v>
                </c:pt>
                <c:pt idx="70">
                  <c:v>4015.9029999999998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C9DC-4B80-AD62-48021C2BB957}"/>
            </c:ext>
          </c:extLst>
        </c:ser>
        <c:ser>
          <c:idx val="49"/>
          <c:order val="49"/>
          <c:tx>
            <c:strRef>
              <c:f>Sheet1!$AY$1</c:f>
              <c:strCache>
                <c:ptCount val="1"/>
                <c:pt idx="0">
                  <c:v>49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Sheet1!$AY$2:$AY$72</c:f>
              <c:numCache>
                <c:formatCode>0.000</c:formatCode>
                <c:ptCount val="71"/>
                <c:pt idx="0">
                  <c:v>1822.9490000000001</c:v>
                </c:pt>
                <c:pt idx="1">
                  <c:v>1862.69</c:v>
                </c:pt>
                <c:pt idx="2">
                  <c:v>1925.3820000000001</c:v>
                </c:pt>
                <c:pt idx="3">
                  <c:v>1976.9269999999999</c:v>
                </c:pt>
                <c:pt idx="4">
                  <c:v>1993.86</c:v>
                </c:pt>
                <c:pt idx="5">
                  <c:v>1987.9069999999999</c:v>
                </c:pt>
                <c:pt idx="6">
                  <c:v>1986.3689999999999</c:v>
                </c:pt>
                <c:pt idx="7">
                  <c:v>2015.992</c:v>
                </c:pt>
                <c:pt idx="8">
                  <c:v>2074.3139999999999</c:v>
                </c:pt>
                <c:pt idx="9">
                  <c:v>2136.4279999999999</c:v>
                </c:pt>
                <c:pt idx="10">
                  <c:v>2183.3809999999999</c:v>
                </c:pt>
                <c:pt idx="11">
                  <c:v>2206.3290000000002</c:v>
                </c:pt>
                <c:pt idx="12">
                  <c:v>2223.8490000000002</c:v>
                </c:pt>
                <c:pt idx="13">
                  <c:v>2239.518</c:v>
                </c:pt>
                <c:pt idx="14">
                  <c:v>2257.9850000000001</c:v>
                </c:pt>
                <c:pt idx="15">
                  <c:v>2276.0810000000001</c:v>
                </c:pt>
                <c:pt idx="16">
                  <c:v>2290.7159999999999</c:v>
                </c:pt>
                <c:pt idx="17">
                  <c:v>2314.2860000000001</c:v>
                </c:pt>
                <c:pt idx="18">
                  <c:v>2353.5920000000001</c:v>
                </c:pt>
                <c:pt idx="19">
                  <c:v>2402.2249999999999</c:v>
                </c:pt>
                <c:pt idx="20">
                  <c:v>2447.9369999999999</c:v>
                </c:pt>
                <c:pt idx="21">
                  <c:v>2486.5700000000002</c:v>
                </c:pt>
                <c:pt idx="22">
                  <c:v>2505.8960000000002</c:v>
                </c:pt>
                <c:pt idx="23">
                  <c:v>2498.6210000000001</c:v>
                </c:pt>
                <c:pt idx="24">
                  <c:v>2475.433</c:v>
                </c:pt>
                <c:pt idx="25">
                  <c:v>2456.9349999999999</c:v>
                </c:pt>
                <c:pt idx="26">
                  <c:v>2432.13</c:v>
                </c:pt>
                <c:pt idx="27">
                  <c:v>2400.4349999999999</c:v>
                </c:pt>
                <c:pt idx="28">
                  <c:v>2356.4749999999999</c:v>
                </c:pt>
                <c:pt idx="29">
                  <c:v>2303.4870000000001</c:v>
                </c:pt>
                <c:pt idx="30">
                  <c:v>2250.3139999999999</c:v>
                </c:pt>
                <c:pt idx="31">
                  <c:v>2206.1280000000002</c:v>
                </c:pt>
                <c:pt idx="32">
                  <c:v>2183.6930000000002</c:v>
                </c:pt>
                <c:pt idx="33">
                  <c:v>2190.7660000000001</c:v>
                </c:pt>
                <c:pt idx="34">
                  <c:v>2218.5329999999999</c:v>
                </c:pt>
                <c:pt idx="35">
                  <c:v>2250.5920000000001</c:v>
                </c:pt>
                <c:pt idx="36">
                  <c:v>2288.9290000000001</c:v>
                </c:pt>
                <c:pt idx="37">
                  <c:v>2339.4229999999998</c:v>
                </c:pt>
                <c:pt idx="38">
                  <c:v>2396.752</c:v>
                </c:pt>
                <c:pt idx="39">
                  <c:v>2459.4360000000001</c:v>
                </c:pt>
                <c:pt idx="40">
                  <c:v>2526.683</c:v>
                </c:pt>
                <c:pt idx="41">
                  <c:v>2595.8539999999998</c:v>
                </c:pt>
                <c:pt idx="42">
                  <c:v>2700.9670000000001</c:v>
                </c:pt>
                <c:pt idx="43">
                  <c:v>2847.3220000000001</c:v>
                </c:pt>
                <c:pt idx="44">
                  <c:v>3012.6709999999998</c:v>
                </c:pt>
                <c:pt idx="45">
                  <c:v>3171.7629999999999</c:v>
                </c:pt>
                <c:pt idx="46">
                  <c:v>3345.7759999999998</c:v>
                </c:pt>
                <c:pt idx="47">
                  <c:v>3513.8249999999998</c:v>
                </c:pt>
                <c:pt idx="48">
                  <c:v>3651.8820000000001</c:v>
                </c:pt>
                <c:pt idx="49">
                  <c:v>3759.471</c:v>
                </c:pt>
                <c:pt idx="50">
                  <c:v>3858.1640000000002</c:v>
                </c:pt>
                <c:pt idx="51">
                  <c:v>3945.8090000000002</c:v>
                </c:pt>
                <c:pt idx="52">
                  <c:v>4032.58</c:v>
                </c:pt>
                <c:pt idx="53">
                  <c:v>4128.8379999999997</c:v>
                </c:pt>
                <c:pt idx="54">
                  <c:v>4229.0330000000004</c:v>
                </c:pt>
                <c:pt idx="55">
                  <c:v>4318.1099999999997</c:v>
                </c:pt>
                <c:pt idx="56">
                  <c:v>4396.6450000000004</c:v>
                </c:pt>
                <c:pt idx="57">
                  <c:v>4462.982</c:v>
                </c:pt>
                <c:pt idx="58">
                  <c:v>4505.6620000000003</c:v>
                </c:pt>
                <c:pt idx="59">
                  <c:v>4523.616</c:v>
                </c:pt>
                <c:pt idx="60">
                  <c:v>4531.0150000000003</c:v>
                </c:pt>
                <c:pt idx="61">
                  <c:v>4523.8549999999996</c:v>
                </c:pt>
                <c:pt idx="62">
                  <c:v>4495.826</c:v>
                </c:pt>
                <c:pt idx="63">
                  <c:v>4439.4049999999997</c:v>
                </c:pt>
                <c:pt idx="64">
                  <c:v>4364.4260000000004</c:v>
                </c:pt>
                <c:pt idx="65">
                  <c:v>4288.183</c:v>
                </c:pt>
                <c:pt idx="66">
                  <c:v>4207.2860000000001</c:v>
                </c:pt>
                <c:pt idx="67">
                  <c:v>4138.1589999999997</c:v>
                </c:pt>
                <c:pt idx="68">
                  <c:v>4091.4059999999999</c:v>
                </c:pt>
                <c:pt idx="69">
                  <c:v>4061.4650000000001</c:v>
                </c:pt>
                <c:pt idx="70">
                  <c:v>4032.8629999999998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C9DC-4B80-AD62-48021C2BB957}"/>
            </c:ext>
          </c:extLst>
        </c:ser>
        <c:ser>
          <c:idx val="50"/>
          <c:order val="50"/>
          <c:tx>
            <c:strRef>
              <c:f>Sheet1!$AZ$1</c:f>
              <c:strCache>
                <c:ptCount val="1"/>
                <c:pt idx="0">
                  <c:v>50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Sheet1!$AZ$2:$AZ$72</c:f>
              <c:numCache>
                <c:formatCode>0.000</c:formatCode>
                <c:ptCount val="71"/>
                <c:pt idx="0">
                  <c:v>1793.749</c:v>
                </c:pt>
                <c:pt idx="1">
                  <c:v>1822.1320000000001</c:v>
                </c:pt>
                <c:pt idx="2">
                  <c:v>1879.07</c:v>
                </c:pt>
                <c:pt idx="3">
                  <c:v>1948.6289999999999</c:v>
                </c:pt>
                <c:pt idx="4">
                  <c:v>1993.7260000000001</c:v>
                </c:pt>
                <c:pt idx="5">
                  <c:v>1996.6510000000001</c:v>
                </c:pt>
                <c:pt idx="6">
                  <c:v>1991.3720000000001</c:v>
                </c:pt>
                <c:pt idx="7">
                  <c:v>1996.8910000000001</c:v>
                </c:pt>
                <c:pt idx="8">
                  <c:v>2030.39</c:v>
                </c:pt>
                <c:pt idx="9">
                  <c:v>2086.7260000000001</c:v>
                </c:pt>
                <c:pt idx="10">
                  <c:v>2142.8420000000001</c:v>
                </c:pt>
                <c:pt idx="11">
                  <c:v>2168.7860000000001</c:v>
                </c:pt>
                <c:pt idx="12">
                  <c:v>2190.5129999999999</c:v>
                </c:pt>
                <c:pt idx="13">
                  <c:v>2207.1790000000001</c:v>
                </c:pt>
                <c:pt idx="14">
                  <c:v>2222.9830000000002</c:v>
                </c:pt>
                <c:pt idx="15">
                  <c:v>2242.4549999999999</c:v>
                </c:pt>
                <c:pt idx="16">
                  <c:v>2261.723</c:v>
                </c:pt>
                <c:pt idx="17">
                  <c:v>2275.6970000000001</c:v>
                </c:pt>
                <c:pt idx="18">
                  <c:v>2299.1210000000001</c:v>
                </c:pt>
                <c:pt idx="19">
                  <c:v>2339.3510000000001</c:v>
                </c:pt>
                <c:pt idx="20">
                  <c:v>2389.7080000000001</c:v>
                </c:pt>
                <c:pt idx="21">
                  <c:v>2429.4549999999999</c:v>
                </c:pt>
                <c:pt idx="22">
                  <c:v>2467.6260000000002</c:v>
                </c:pt>
                <c:pt idx="23">
                  <c:v>2487.886</c:v>
                </c:pt>
                <c:pt idx="24">
                  <c:v>2483.0720000000001</c:v>
                </c:pt>
                <c:pt idx="25">
                  <c:v>2462.8809999999999</c:v>
                </c:pt>
                <c:pt idx="26">
                  <c:v>2437.5749999999998</c:v>
                </c:pt>
                <c:pt idx="27">
                  <c:v>2415.8240000000001</c:v>
                </c:pt>
                <c:pt idx="28">
                  <c:v>2385.8009999999999</c:v>
                </c:pt>
                <c:pt idx="29">
                  <c:v>2341.3919999999998</c:v>
                </c:pt>
                <c:pt idx="30">
                  <c:v>2286.8220000000001</c:v>
                </c:pt>
                <c:pt idx="31">
                  <c:v>2240.8049999999998</c:v>
                </c:pt>
                <c:pt idx="32">
                  <c:v>2198.5239999999999</c:v>
                </c:pt>
                <c:pt idx="33">
                  <c:v>2177.2109999999998</c:v>
                </c:pt>
                <c:pt idx="34">
                  <c:v>2184.6019999999999</c:v>
                </c:pt>
                <c:pt idx="35">
                  <c:v>2212.154</c:v>
                </c:pt>
                <c:pt idx="36">
                  <c:v>2240.585</c:v>
                </c:pt>
                <c:pt idx="37">
                  <c:v>2281.15</c:v>
                </c:pt>
                <c:pt idx="38">
                  <c:v>2332.7289999999998</c:v>
                </c:pt>
                <c:pt idx="39">
                  <c:v>2389.4409999999998</c:v>
                </c:pt>
                <c:pt idx="40">
                  <c:v>2450.625</c:v>
                </c:pt>
                <c:pt idx="41">
                  <c:v>2516.2719999999999</c:v>
                </c:pt>
                <c:pt idx="42">
                  <c:v>2588.69</c:v>
                </c:pt>
                <c:pt idx="43">
                  <c:v>2695.598</c:v>
                </c:pt>
                <c:pt idx="44">
                  <c:v>2841.4780000000001</c:v>
                </c:pt>
                <c:pt idx="45">
                  <c:v>3005.049</c:v>
                </c:pt>
                <c:pt idx="46">
                  <c:v>3170.07</c:v>
                </c:pt>
                <c:pt idx="47">
                  <c:v>3352.8510000000001</c:v>
                </c:pt>
                <c:pt idx="48">
                  <c:v>3525.2</c:v>
                </c:pt>
                <c:pt idx="49">
                  <c:v>3660.5279999999998</c:v>
                </c:pt>
                <c:pt idx="50">
                  <c:v>3760.9940000000001</c:v>
                </c:pt>
                <c:pt idx="51">
                  <c:v>3855.6060000000002</c:v>
                </c:pt>
                <c:pt idx="52">
                  <c:v>3937.3330000000001</c:v>
                </c:pt>
                <c:pt idx="53">
                  <c:v>4020.9769999999999</c:v>
                </c:pt>
                <c:pt idx="54">
                  <c:v>4117.9769999999999</c:v>
                </c:pt>
                <c:pt idx="55">
                  <c:v>4220.8069999999998</c:v>
                </c:pt>
                <c:pt idx="56">
                  <c:v>4307.9059999999999</c:v>
                </c:pt>
                <c:pt idx="57">
                  <c:v>4392.3900000000003</c:v>
                </c:pt>
                <c:pt idx="58">
                  <c:v>4461.9939999999997</c:v>
                </c:pt>
                <c:pt idx="59">
                  <c:v>4503.9279999999999</c:v>
                </c:pt>
                <c:pt idx="60">
                  <c:v>4518.9440000000004</c:v>
                </c:pt>
                <c:pt idx="61">
                  <c:v>4515.558</c:v>
                </c:pt>
                <c:pt idx="62">
                  <c:v>4510.6769999999997</c:v>
                </c:pt>
                <c:pt idx="63">
                  <c:v>4483.848</c:v>
                </c:pt>
                <c:pt idx="64">
                  <c:v>4427.8810000000003</c:v>
                </c:pt>
                <c:pt idx="65">
                  <c:v>4353.1270000000004</c:v>
                </c:pt>
                <c:pt idx="66">
                  <c:v>4276.3549999999996</c:v>
                </c:pt>
                <c:pt idx="67">
                  <c:v>4194.8209999999999</c:v>
                </c:pt>
                <c:pt idx="68">
                  <c:v>4125.9639999999999</c:v>
                </c:pt>
                <c:pt idx="69">
                  <c:v>4080.3829999999998</c:v>
                </c:pt>
                <c:pt idx="70">
                  <c:v>4051.75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C9DC-4B80-AD62-48021C2BB957}"/>
            </c:ext>
          </c:extLst>
        </c:ser>
        <c:ser>
          <c:idx val="51"/>
          <c:order val="51"/>
          <c:tx>
            <c:strRef>
              <c:f>Sheet1!$BA$1</c:f>
              <c:strCache>
                <c:ptCount val="1"/>
                <c:pt idx="0">
                  <c:v>51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Sheet1!$BA$2:$BA$72</c:f>
              <c:numCache>
                <c:formatCode>0.000</c:formatCode>
                <c:ptCount val="71"/>
                <c:pt idx="0">
                  <c:v>1765.3340000000001</c:v>
                </c:pt>
                <c:pt idx="1">
                  <c:v>1781.463</c:v>
                </c:pt>
                <c:pt idx="2">
                  <c:v>1825.652</c:v>
                </c:pt>
                <c:pt idx="3">
                  <c:v>1896.8030000000001</c:v>
                </c:pt>
                <c:pt idx="4">
                  <c:v>1971.8610000000001</c:v>
                </c:pt>
                <c:pt idx="5">
                  <c:v>2010.2650000000001</c:v>
                </c:pt>
                <c:pt idx="6">
                  <c:v>1991.846</c:v>
                </c:pt>
                <c:pt idx="7">
                  <c:v>1993.067</c:v>
                </c:pt>
                <c:pt idx="8">
                  <c:v>2006.6410000000001</c:v>
                </c:pt>
                <c:pt idx="9">
                  <c:v>2044.867</c:v>
                </c:pt>
                <c:pt idx="10">
                  <c:v>2099.4259999999999</c:v>
                </c:pt>
                <c:pt idx="11">
                  <c:v>2130.212</c:v>
                </c:pt>
                <c:pt idx="12">
                  <c:v>2155.172</c:v>
                </c:pt>
                <c:pt idx="13">
                  <c:v>2174.8339999999998</c:v>
                </c:pt>
                <c:pt idx="14">
                  <c:v>2189.4409999999998</c:v>
                </c:pt>
                <c:pt idx="15">
                  <c:v>2204.8989999999999</c:v>
                </c:pt>
                <c:pt idx="16">
                  <c:v>2227.2449999999999</c:v>
                </c:pt>
                <c:pt idx="17">
                  <c:v>2245.88</c:v>
                </c:pt>
                <c:pt idx="18">
                  <c:v>2259.5839999999998</c:v>
                </c:pt>
                <c:pt idx="19">
                  <c:v>2283.5749999999998</c:v>
                </c:pt>
                <c:pt idx="20">
                  <c:v>2325.3110000000001</c:v>
                </c:pt>
                <c:pt idx="21">
                  <c:v>2370.4899999999998</c:v>
                </c:pt>
                <c:pt idx="22">
                  <c:v>2409.7919999999999</c:v>
                </c:pt>
                <c:pt idx="23">
                  <c:v>2448.6030000000001</c:v>
                </c:pt>
                <c:pt idx="24">
                  <c:v>2470.8000000000002</c:v>
                </c:pt>
                <c:pt idx="25">
                  <c:v>2468.66</c:v>
                </c:pt>
                <c:pt idx="26">
                  <c:v>2442.4079999999999</c:v>
                </c:pt>
                <c:pt idx="27">
                  <c:v>2419.8939999999998</c:v>
                </c:pt>
                <c:pt idx="28">
                  <c:v>2400.451</c:v>
                </c:pt>
                <c:pt idx="29">
                  <c:v>2370.9859999999999</c:v>
                </c:pt>
                <c:pt idx="30">
                  <c:v>2325.5149999999999</c:v>
                </c:pt>
                <c:pt idx="31">
                  <c:v>2275.2040000000002</c:v>
                </c:pt>
                <c:pt idx="32">
                  <c:v>2230.9780000000001</c:v>
                </c:pt>
                <c:pt idx="33">
                  <c:v>2190.3960000000002</c:v>
                </c:pt>
                <c:pt idx="34">
                  <c:v>2170.2820000000002</c:v>
                </c:pt>
                <c:pt idx="35">
                  <c:v>2178.0230000000001</c:v>
                </c:pt>
                <c:pt idx="36">
                  <c:v>2200.0729999999999</c:v>
                </c:pt>
                <c:pt idx="37">
                  <c:v>2230.5039999999999</c:v>
                </c:pt>
                <c:pt idx="38">
                  <c:v>2273.2150000000001</c:v>
                </c:pt>
                <c:pt idx="39">
                  <c:v>2325.83</c:v>
                </c:pt>
                <c:pt idx="40">
                  <c:v>2381.9879999999998</c:v>
                </c:pt>
                <c:pt idx="41">
                  <c:v>2437.5189999999998</c:v>
                </c:pt>
                <c:pt idx="42">
                  <c:v>2506.0050000000001</c:v>
                </c:pt>
                <c:pt idx="43">
                  <c:v>2582.3440000000001</c:v>
                </c:pt>
                <c:pt idx="44">
                  <c:v>2692.058</c:v>
                </c:pt>
                <c:pt idx="45">
                  <c:v>2837.9760000000001</c:v>
                </c:pt>
                <c:pt idx="46">
                  <c:v>2998.6790000000001</c:v>
                </c:pt>
                <c:pt idx="47">
                  <c:v>3172.0259999999998</c:v>
                </c:pt>
                <c:pt idx="48">
                  <c:v>3361.0439999999999</c:v>
                </c:pt>
                <c:pt idx="49">
                  <c:v>3534.0210000000002</c:v>
                </c:pt>
                <c:pt idx="50">
                  <c:v>3664.42</c:v>
                </c:pt>
                <c:pt idx="51">
                  <c:v>3757.3270000000002</c:v>
                </c:pt>
                <c:pt idx="52">
                  <c:v>3846.1709999999998</c:v>
                </c:pt>
                <c:pt idx="53">
                  <c:v>3925.0880000000002</c:v>
                </c:pt>
                <c:pt idx="54">
                  <c:v>4009.8090000000002</c:v>
                </c:pt>
                <c:pt idx="55">
                  <c:v>4109.5730000000003</c:v>
                </c:pt>
                <c:pt idx="56">
                  <c:v>4208.5360000000001</c:v>
                </c:pt>
                <c:pt idx="57">
                  <c:v>4301.3530000000001</c:v>
                </c:pt>
                <c:pt idx="58">
                  <c:v>4389.9229999999998</c:v>
                </c:pt>
                <c:pt idx="59">
                  <c:v>4460.1139999999996</c:v>
                </c:pt>
                <c:pt idx="60">
                  <c:v>4499.9290000000001</c:v>
                </c:pt>
                <c:pt idx="61">
                  <c:v>4501.3459999999995</c:v>
                </c:pt>
                <c:pt idx="62">
                  <c:v>4500.2290000000003</c:v>
                </c:pt>
                <c:pt idx="63">
                  <c:v>4496.5550000000003</c:v>
                </c:pt>
                <c:pt idx="64">
                  <c:v>4470.1989999999996</c:v>
                </c:pt>
                <c:pt idx="65">
                  <c:v>4414.4650000000001</c:v>
                </c:pt>
                <c:pt idx="66">
                  <c:v>4338.8519999999999</c:v>
                </c:pt>
                <c:pt idx="67">
                  <c:v>4261.4049999999997</c:v>
                </c:pt>
                <c:pt idx="68">
                  <c:v>4180.33</c:v>
                </c:pt>
                <c:pt idx="69">
                  <c:v>4112.9639999999999</c:v>
                </c:pt>
                <c:pt idx="70">
                  <c:v>4068.931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C9DC-4B80-AD62-48021C2BB957}"/>
            </c:ext>
          </c:extLst>
        </c:ser>
        <c:ser>
          <c:idx val="52"/>
          <c:order val="52"/>
          <c:tx>
            <c:strRef>
              <c:f>Sheet1!$BB$1</c:f>
              <c:strCache>
                <c:ptCount val="1"/>
                <c:pt idx="0">
                  <c:v>52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Sheet1!$BB$2:$BB$72</c:f>
              <c:numCache>
                <c:formatCode>0.000</c:formatCode>
                <c:ptCount val="71"/>
                <c:pt idx="0">
                  <c:v>1733.059</c:v>
                </c:pt>
                <c:pt idx="1">
                  <c:v>1740.587</c:v>
                </c:pt>
                <c:pt idx="2">
                  <c:v>1773.441</c:v>
                </c:pt>
                <c:pt idx="3">
                  <c:v>1830.4739999999999</c:v>
                </c:pt>
                <c:pt idx="4">
                  <c:v>1914.511</c:v>
                </c:pt>
                <c:pt idx="5">
                  <c:v>1994.8440000000001</c:v>
                </c:pt>
                <c:pt idx="6">
                  <c:v>1996.4559999999999</c:v>
                </c:pt>
                <c:pt idx="7">
                  <c:v>1985.2629999999999</c:v>
                </c:pt>
                <c:pt idx="8">
                  <c:v>1993.9929999999999</c:v>
                </c:pt>
                <c:pt idx="9">
                  <c:v>2016.472</c:v>
                </c:pt>
                <c:pt idx="10">
                  <c:v>2059.6219999999998</c:v>
                </c:pt>
                <c:pt idx="11">
                  <c:v>2089.241</c:v>
                </c:pt>
                <c:pt idx="12">
                  <c:v>2118.5479999999998</c:v>
                </c:pt>
                <c:pt idx="13">
                  <c:v>2141.694</c:v>
                </c:pt>
                <c:pt idx="14">
                  <c:v>2158.1030000000001</c:v>
                </c:pt>
                <c:pt idx="15">
                  <c:v>2170.1799999999998</c:v>
                </c:pt>
                <c:pt idx="16">
                  <c:v>2189.1350000000002</c:v>
                </c:pt>
                <c:pt idx="17">
                  <c:v>2210.5709999999999</c:v>
                </c:pt>
                <c:pt idx="18">
                  <c:v>2228.96</c:v>
                </c:pt>
                <c:pt idx="19">
                  <c:v>2243.0970000000002</c:v>
                </c:pt>
                <c:pt idx="20">
                  <c:v>2268.2249999999999</c:v>
                </c:pt>
                <c:pt idx="21">
                  <c:v>2305.5819999999999</c:v>
                </c:pt>
                <c:pt idx="22">
                  <c:v>2350.1210000000001</c:v>
                </c:pt>
                <c:pt idx="23">
                  <c:v>2390.0520000000001</c:v>
                </c:pt>
                <c:pt idx="24">
                  <c:v>2430.4920000000002</c:v>
                </c:pt>
                <c:pt idx="25">
                  <c:v>2454.8440000000001</c:v>
                </c:pt>
                <c:pt idx="26">
                  <c:v>2447.212</c:v>
                </c:pt>
                <c:pt idx="27">
                  <c:v>2423.6179999999999</c:v>
                </c:pt>
                <c:pt idx="28">
                  <c:v>2403.1469999999999</c:v>
                </c:pt>
                <c:pt idx="29">
                  <c:v>2384.8939999999998</c:v>
                </c:pt>
                <c:pt idx="30">
                  <c:v>2355.3649999999998</c:v>
                </c:pt>
                <c:pt idx="31">
                  <c:v>2311.8420000000001</c:v>
                </c:pt>
                <c:pt idx="32">
                  <c:v>2263.2579999999998</c:v>
                </c:pt>
                <c:pt idx="33">
                  <c:v>2220.6170000000002</c:v>
                </c:pt>
                <c:pt idx="34">
                  <c:v>2181.817</c:v>
                </c:pt>
                <c:pt idx="35">
                  <c:v>2162.942</c:v>
                </c:pt>
                <c:pt idx="36">
                  <c:v>2163.8229999999999</c:v>
                </c:pt>
                <c:pt idx="37">
                  <c:v>2187.922</c:v>
                </c:pt>
                <c:pt idx="38">
                  <c:v>2220.2719999999999</c:v>
                </c:pt>
                <c:pt idx="39">
                  <c:v>2265.0790000000002</c:v>
                </c:pt>
                <c:pt idx="40">
                  <c:v>2318.7950000000001</c:v>
                </c:pt>
                <c:pt idx="41">
                  <c:v>2365.971</c:v>
                </c:pt>
                <c:pt idx="42">
                  <c:v>2424.558</c:v>
                </c:pt>
                <c:pt idx="43">
                  <c:v>2496.5349999999999</c:v>
                </c:pt>
                <c:pt idx="44">
                  <c:v>2577.7510000000002</c:v>
                </c:pt>
                <c:pt idx="45">
                  <c:v>2690.74</c:v>
                </c:pt>
                <c:pt idx="46">
                  <c:v>2826.5030000000002</c:v>
                </c:pt>
                <c:pt idx="47">
                  <c:v>2995.761</c:v>
                </c:pt>
                <c:pt idx="48">
                  <c:v>3175.0320000000002</c:v>
                </c:pt>
                <c:pt idx="49">
                  <c:v>3366.799</c:v>
                </c:pt>
                <c:pt idx="50">
                  <c:v>3538.2510000000002</c:v>
                </c:pt>
                <c:pt idx="51">
                  <c:v>3659.62</c:v>
                </c:pt>
                <c:pt idx="52">
                  <c:v>3746.9589999999998</c:v>
                </c:pt>
                <c:pt idx="53">
                  <c:v>3833.0540000000001</c:v>
                </c:pt>
                <c:pt idx="54">
                  <c:v>3913.2649999999999</c:v>
                </c:pt>
                <c:pt idx="55">
                  <c:v>4001.0329999999999</c:v>
                </c:pt>
                <c:pt idx="56">
                  <c:v>4095.2240000000002</c:v>
                </c:pt>
                <c:pt idx="57">
                  <c:v>4199.8339999999998</c:v>
                </c:pt>
                <c:pt idx="58">
                  <c:v>4296.549</c:v>
                </c:pt>
                <c:pt idx="59">
                  <c:v>4386.5789999999997</c:v>
                </c:pt>
                <c:pt idx="60">
                  <c:v>4455.991</c:v>
                </c:pt>
                <c:pt idx="61">
                  <c:v>4480.1809999999996</c:v>
                </c:pt>
                <c:pt idx="62">
                  <c:v>4483.8720000000003</c:v>
                </c:pt>
                <c:pt idx="63">
                  <c:v>4483.9560000000001</c:v>
                </c:pt>
                <c:pt idx="64">
                  <c:v>4480.759</c:v>
                </c:pt>
                <c:pt idx="65">
                  <c:v>4454.6459999999997</c:v>
                </c:pt>
                <c:pt idx="66">
                  <c:v>4397.7259999999997</c:v>
                </c:pt>
                <c:pt idx="67">
                  <c:v>4321.41</c:v>
                </c:pt>
                <c:pt idx="68">
                  <c:v>4244.3990000000003</c:v>
                </c:pt>
                <c:pt idx="69">
                  <c:v>4165.027</c:v>
                </c:pt>
                <c:pt idx="70">
                  <c:v>4099.5339999999997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C9DC-4B80-AD62-48021C2BB957}"/>
            </c:ext>
          </c:extLst>
        </c:ser>
        <c:ser>
          <c:idx val="53"/>
          <c:order val="53"/>
          <c:tx>
            <c:strRef>
              <c:f>Sheet1!$BC$1</c:f>
              <c:strCache>
                <c:ptCount val="1"/>
                <c:pt idx="0">
                  <c:v>53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Sheet1!$BC$2:$BC$72</c:f>
              <c:numCache>
                <c:formatCode>0.000</c:formatCode>
                <c:ptCount val="71"/>
                <c:pt idx="0">
                  <c:v>1693.8230000000001</c:v>
                </c:pt>
                <c:pt idx="1">
                  <c:v>1700.58</c:v>
                </c:pt>
                <c:pt idx="2">
                  <c:v>1720.0350000000001</c:v>
                </c:pt>
                <c:pt idx="3">
                  <c:v>1766.674</c:v>
                </c:pt>
                <c:pt idx="4">
                  <c:v>1835.252</c:v>
                </c:pt>
                <c:pt idx="5">
                  <c:v>1931.971</c:v>
                </c:pt>
                <c:pt idx="6">
                  <c:v>1974.8969999999999</c:v>
                </c:pt>
                <c:pt idx="7">
                  <c:v>1980.855</c:v>
                </c:pt>
                <c:pt idx="8">
                  <c:v>1977.9179999999999</c:v>
                </c:pt>
                <c:pt idx="9">
                  <c:v>1995.0050000000001</c:v>
                </c:pt>
                <c:pt idx="10">
                  <c:v>2026.579</c:v>
                </c:pt>
                <c:pt idx="11">
                  <c:v>2049.3049999999998</c:v>
                </c:pt>
                <c:pt idx="12">
                  <c:v>2080</c:v>
                </c:pt>
                <c:pt idx="13">
                  <c:v>2107.0169999999998</c:v>
                </c:pt>
                <c:pt idx="14">
                  <c:v>2127.183</c:v>
                </c:pt>
                <c:pt idx="15">
                  <c:v>2139.873</c:v>
                </c:pt>
                <c:pt idx="16">
                  <c:v>2152.6309999999999</c:v>
                </c:pt>
                <c:pt idx="17">
                  <c:v>2171.933</c:v>
                </c:pt>
                <c:pt idx="18">
                  <c:v>2192.8380000000002</c:v>
                </c:pt>
                <c:pt idx="19">
                  <c:v>2211.67</c:v>
                </c:pt>
                <c:pt idx="20">
                  <c:v>2226.8029999999999</c:v>
                </c:pt>
                <c:pt idx="21">
                  <c:v>2247.2759999999998</c:v>
                </c:pt>
                <c:pt idx="22">
                  <c:v>2284.732</c:v>
                </c:pt>
                <c:pt idx="23">
                  <c:v>2329.6750000000002</c:v>
                </c:pt>
                <c:pt idx="24">
                  <c:v>2371.201</c:v>
                </c:pt>
                <c:pt idx="25">
                  <c:v>2413.4899999999998</c:v>
                </c:pt>
                <c:pt idx="26">
                  <c:v>2432.402</c:v>
                </c:pt>
                <c:pt idx="27">
                  <c:v>2427.4520000000002</c:v>
                </c:pt>
                <c:pt idx="28">
                  <c:v>2405.7640000000001</c:v>
                </c:pt>
                <c:pt idx="29">
                  <c:v>2386.2139999999999</c:v>
                </c:pt>
                <c:pt idx="30">
                  <c:v>2368.5250000000001</c:v>
                </c:pt>
                <c:pt idx="31">
                  <c:v>2339.4589999999998</c:v>
                </c:pt>
                <c:pt idx="32">
                  <c:v>2297.8359999999998</c:v>
                </c:pt>
                <c:pt idx="33">
                  <c:v>2250.77</c:v>
                </c:pt>
                <c:pt idx="34">
                  <c:v>2209.8009999999999</c:v>
                </c:pt>
                <c:pt idx="35">
                  <c:v>2172.83</c:v>
                </c:pt>
                <c:pt idx="36">
                  <c:v>2146.8150000000001</c:v>
                </c:pt>
                <c:pt idx="37">
                  <c:v>2149.5590000000002</c:v>
                </c:pt>
                <c:pt idx="38">
                  <c:v>2175.625</c:v>
                </c:pt>
                <c:pt idx="39">
                  <c:v>2209.8420000000001</c:v>
                </c:pt>
                <c:pt idx="40">
                  <c:v>2256.81</c:v>
                </c:pt>
                <c:pt idx="41">
                  <c:v>2300.636</c:v>
                </c:pt>
                <c:pt idx="42">
                  <c:v>2350.1039999999998</c:v>
                </c:pt>
                <c:pt idx="43">
                  <c:v>2412.3739999999998</c:v>
                </c:pt>
                <c:pt idx="44">
                  <c:v>2488.759</c:v>
                </c:pt>
                <c:pt idx="45">
                  <c:v>2575.2829999999999</c:v>
                </c:pt>
                <c:pt idx="46">
                  <c:v>2675.8539999999998</c:v>
                </c:pt>
                <c:pt idx="47">
                  <c:v>2818.2829999999999</c:v>
                </c:pt>
                <c:pt idx="48">
                  <c:v>2993.828</c:v>
                </c:pt>
                <c:pt idx="49">
                  <c:v>3175.7310000000002</c:v>
                </c:pt>
                <c:pt idx="50">
                  <c:v>3368.183</c:v>
                </c:pt>
                <c:pt idx="51">
                  <c:v>3532.2660000000001</c:v>
                </c:pt>
                <c:pt idx="52">
                  <c:v>3648.2890000000002</c:v>
                </c:pt>
                <c:pt idx="53">
                  <c:v>3733.0050000000001</c:v>
                </c:pt>
                <c:pt idx="54">
                  <c:v>3820.3519999999999</c:v>
                </c:pt>
                <c:pt idx="55">
                  <c:v>3903.78</c:v>
                </c:pt>
                <c:pt idx="56">
                  <c:v>3984.71</c:v>
                </c:pt>
                <c:pt idx="57">
                  <c:v>4084.35</c:v>
                </c:pt>
                <c:pt idx="58">
                  <c:v>4192.8379999999997</c:v>
                </c:pt>
                <c:pt idx="59">
                  <c:v>4290.8850000000002</c:v>
                </c:pt>
                <c:pt idx="60">
                  <c:v>4381.0249999999996</c:v>
                </c:pt>
                <c:pt idx="61">
                  <c:v>4434.2370000000001</c:v>
                </c:pt>
                <c:pt idx="62">
                  <c:v>4460.5540000000001</c:v>
                </c:pt>
                <c:pt idx="63">
                  <c:v>4465.4549999999999</c:v>
                </c:pt>
                <c:pt idx="64">
                  <c:v>4466.0119999999997</c:v>
                </c:pt>
                <c:pt idx="65">
                  <c:v>4463.0550000000003</c:v>
                </c:pt>
                <c:pt idx="66">
                  <c:v>4435.3850000000002</c:v>
                </c:pt>
                <c:pt idx="67">
                  <c:v>4377.7709999999997</c:v>
                </c:pt>
                <c:pt idx="68">
                  <c:v>4301.8819999999996</c:v>
                </c:pt>
                <c:pt idx="69">
                  <c:v>4226.5690000000004</c:v>
                </c:pt>
                <c:pt idx="70">
                  <c:v>4149.29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C9DC-4B80-AD62-48021C2BB957}"/>
            </c:ext>
          </c:extLst>
        </c:ser>
        <c:ser>
          <c:idx val="54"/>
          <c:order val="54"/>
          <c:tx>
            <c:strRef>
              <c:f>Sheet1!$BD$1</c:f>
              <c:strCache>
                <c:ptCount val="1"/>
                <c:pt idx="0">
                  <c:v>54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Sheet1!$BD$2:$BD$72</c:f>
              <c:numCache>
                <c:formatCode>0.000</c:formatCode>
                <c:ptCount val="71"/>
                <c:pt idx="0">
                  <c:v>1650.2449999999999</c:v>
                </c:pt>
                <c:pt idx="1">
                  <c:v>1661.8810000000001</c:v>
                </c:pt>
                <c:pt idx="2">
                  <c:v>1672.2159999999999</c:v>
                </c:pt>
                <c:pt idx="3">
                  <c:v>1700.6859999999999</c:v>
                </c:pt>
                <c:pt idx="4">
                  <c:v>1759.846</c:v>
                </c:pt>
                <c:pt idx="5">
                  <c:v>1839.7750000000001</c:v>
                </c:pt>
                <c:pt idx="6">
                  <c:v>1910.91</c:v>
                </c:pt>
                <c:pt idx="7">
                  <c:v>1953.172</c:v>
                </c:pt>
                <c:pt idx="8">
                  <c:v>1964.498</c:v>
                </c:pt>
                <c:pt idx="9">
                  <c:v>1970.664</c:v>
                </c:pt>
                <c:pt idx="10">
                  <c:v>1996.296</c:v>
                </c:pt>
                <c:pt idx="11">
                  <c:v>2012.0309999999999</c:v>
                </c:pt>
                <c:pt idx="12">
                  <c:v>2039.915</c:v>
                </c:pt>
                <c:pt idx="13">
                  <c:v>2070.893</c:v>
                </c:pt>
                <c:pt idx="14">
                  <c:v>2094.471</c:v>
                </c:pt>
                <c:pt idx="15">
                  <c:v>2111.194</c:v>
                </c:pt>
                <c:pt idx="16">
                  <c:v>2118.6190000000001</c:v>
                </c:pt>
                <c:pt idx="17">
                  <c:v>2133.6669999999999</c:v>
                </c:pt>
                <c:pt idx="18">
                  <c:v>2153.6889999999999</c:v>
                </c:pt>
                <c:pt idx="19">
                  <c:v>2174.7420000000002</c:v>
                </c:pt>
                <c:pt idx="20">
                  <c:v>2194.5729999999999</c:v>
                </c:pt>
                <c:pt idx="21">
                  <c:v>2203.482</c:v>
                </c:pt>
                <c:pt idx="22">
                  <c:v>2225.2339999999999</c:v>
                </c:pt>
                <c:pt idx="23">
                  <c:v>2263.8090000000002</c:v>
                </c:pt>
                <c:pt idx="24">
                  <c:v>2310.0970000000002</c:v>
                </c:pt>
                <c:pt idx="25">
                  <c:v>2353.4349999999999</c:v>
                </c:pt>
                <c:pt idx="26">
                  <c:v>2390.0569999999998</c:v>
                </c:pt>
                <c:pt idx="27">
                  <c:v>2411.6370000000002</c:v>
                </c:pt>
                <c:pt idx="28">
                  <c:v>2408.6289999999999</c:v>
                </c:pt>
                <c:pt idx="29">
                  <c:v>2387.7220000000002</c:v>
                </c:pt>
                <c:pt idx="30">
                  <c:v>2368.4679999999998</c:v>
                </c:pt>
                <c:pt idx="31">
                  <c:v>2350.1790000000001</c:v>
                </c:pt>
                <c:pt idx="32">
                  <c:v>2323.2089999999998</c:v>
                </c:pt>
                <c:pt idx="33">
                  <c:v>2283.2759999999998</c:v>
                </c:pt>
                <c:pt idx="34">
                  <c:v>2237.8200000000002</c:v>
                </c:pt>
                <c:pt idx="35">
                  <c:v>2198.5729999999999</c:v>
                </c:pt>
                <c:pt idx="36">
                  <c:v>2155.2060000000001</c:v>
                </c:pt>
                <c:pt idx="37">
                  <c:v>2130.6260000000002</c:v>
                </c:pt>
                <c:pt idx="38">
                  <c:v>2135.1509999999998</c:v>
                </c:pt>
                <c:pt idx="39">
                  <c:v>2163.1320000000001</c:v>
                </c:pt>
                <c:pt idx="40">
                  <c:v>2199.279</c:v>
                </c:pt>
                <c:pt idx="41">
                  <c:v>2237.9879999999998</c:v>
                </c:pt>
                <c:pt idx="42">
                  <c:v>2282.627</c:v>
                </c:pt>
                <c:pt idx="43">
                  <c:v>2334.9949999999999</c:v>
                </c:pt>
                <c:pt idx="44">
                  <c:v>2401.828</c:v>
                </c:pt>
                <c:pt idx="45">
                  <c:v>2483.0300000000002</c:v>
                </c:pt>
                <c:pt idx="46">
                  <c:v>2559.8870000000002</c:v>
                </c:pt>
                <c:pt idx="47">
                  <c:v>2664.05</c:v>
                </c:pt>
                <c:pt idx="48">
                  <c:v>2810.982</c:v>
                </c:pt>
                <c:pt idx="49">
                  <c:v>2989.7139999999999</c:v>
                </c:pt>
                <c:pt idx="50">
                  <c:v>3172.3119999999999</c:v>
                </c:pt>
                <c:pt idx="51">
                  <c:v>3360.9769999999999</c:v>
                </c:pt>
                <c:pt idx="52">
                  <c:v>3519.9760000000001</c:v>
                </c:pt>
                <c:pt idx="53">
                  <c:v>3633.4679999999998</c:v>
                </c:pt>
                <c:pt idx="54">
                  <c:v>3719.4569999999999</c:v>
                </c:pt>
                <c:pt idx="55">
                  <c:v>3809.9340000000002</c:v>
                </c:pt>
                <c:pt idx="56">
                  <c:v>3885.7539999999999</c:v>
                </c:pt>
                <c:pt idx="57">
                  <c:v>3971.77</c:v>
                </c:pt>
                <c:pt idx="58">
                  <c:v>4075.134</c:v>
                </c:pt>
                <c:pt idx="59">
                  <c:v>4184.9979999999996</c:v>
                </c:pt>
                <c:pt idx="60">
                  <c:v>4283.0569999999998</c:v>
                </c:pt>
                <c:pt idx="61">
                  <c:v>4357.4809999999998</c:v>
                </c:pt>
                <c:pt idx="62">
                  <c:v>4412.6000000000004</c:v>
                </c:pt>
                <c:pt idx="63">
                  <c:v>4439.9870000000001</c:v>
                </c:pt>
                <c:pt idx="64">
                  <c:v>4445.375</c:v>
                </c:pt>
                <c:pt idx="65">
                  <c:v>4446.17</c:v>
                </c:pt>
                <c:pt idx="66">
                  <c:v>4441.2349999999997</c:v>
                </c:pt>
                <c:pt idx="67">
                  <c:v>4412.8810000000003</c:v>
                </c:pt>
                <c:pt idx="68">
                  <c:v>4355.7039999999997</c:v>
                </c:pt>
                <c:pt idx="69">
                  <c:v>4281.5209999999997</c:v>
                </c:pt>
                <c:pt idx="70">
                  <c:v>4208.3019999999997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C9DC-4B80-AD62-48021C2BB957}"/>
            </c:ext>
          </c:extLst>
        </c:ser>
        <c:ser>
          <c:idx val="55"/>
          <c:order val="55"/>
          <c:tx>
            <c:strRef>
              <c:f>Sheet1!$BE$1</c:f>
              <c:strCache>
                <c:ptCount val="1"/>
                <c:pt idx="0">
                  <c:v>55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Sheet1!$BE$2:$BE$72</c:f>
              <c:numCache>
                <c:formatCode>0.000</c:formatCode>
                <c:ptCount val="71"/>
                <c:pt idx="0">
                  <c:v>1607.5630000000001</c:v>
                </c:pt>
                <c:pt idx="1">
                  <c:v>1623.9580000000001</c:v>
                </c:pt>
                <c:pt idx="2">
                  <c:v>1633.961</c:v>
                </c:pt>
                <c:pt idx="3">
                  <c:v>1645.0150000000001</c:v>
                </c:pt>
                <c:pt idx="4">
                  <c:v>1681.259</c:v>
                </c:pt>
                <c:pt idx="5">
                  <c:v>1752.7560000000001</c:v>
                </c:pt>
                <c:pt idx="6">
                  <c:v>1820.711</c:v>
                </c:pt>
                <c:pt idx="7">
                  <c:v>1888.127</c:v>
                </c:pt>
                <c:pt idx="8">
                  <c:v>1930.704</c:v>
                </c:pt>
                <c:pt idx="9">
                  <c:v>1948.2380000000001</c:v>
                </c:pt>
                <c:pt idx="10">
                  <c:v>1963.6890000000001</c:v>
                </c:pt>
                <c:pt idx="11">
                  <c:v>1975.0409999999999</c:v>
                </c:pt>
                <c:pt idx="12">
                  <c:v>1998.39</c:v>
                </c:pt>
                <c:pt idx="13">
                  <c:v>2030.654</c:v>
                </c:pt>
                <c:pt idx="14">
                  <c:v>2060.7890000000002</c:v>
                </c:pt>
                <c:pt idx="15">
                  <c:v>2080.471</c:v>
                </c:pt>
                <c:pt idx="16">
                  <c:v>2085.1619999999998</c:v>
                </c:pt>
                <c:pt idx="17">
                  <c:v>2095.9699999999998</c:v>
                </c:pt>
                <c:pt idx="18">
                  <c:v>2113.6799999999998</c:v>
                </c:pt>
                <c:pt idx="19">
                  <c:v>2135.09</c:v>
                </c:pt>
                <c:pt idx="20">
                  <c:v>2156.8339999999998</c:v>
                </c:pt>
                <c:pt idx="21">
                  <c:v>2168.2449999999999</c:v>
                </c:pt>
                <c:pt idx="22">
                  <c:v>2179.0889999999999</c:v>
                </c:pt>
                <c:pt idx="23">
                  <c:v>2203.1210000000001</c:v>
                </c:pt>
                <c:pt idx="24">
                  <c:v>2243.7289999999998</c:v>
                </c:pt>
                <c:pt idx="25">
                  <c:v>2291.5770000000002</c:v>
                </c:pt>
                <c:pt idx="26">
                  <c:v>2329.0680000000002</c:v>
                </c:pt>
                <c:pt idx="27">
                  <c:v>2368.2759999999998</c:v>
                </c:pt>
                <c:pt idx="28">
                  <c:v>2391.8040000000001</c:v>
                </c:pt>
                <c:pt idx="29">
                  <c:v>2389.6170000000002</c:v>
                </c:pt>
                <c:pt idx="30">
                  <c:v>2368.864</c:v>
                </c:pt>
                <c:pt idx="31">
                  <c:v>2347.6179999999999</c:v>
                </c:pt>
                <c:pt idx="32">
                  <c:v>2331.4850000000001</c:v>
                </c:pt>
                <c:pt idx="33">
                  <c:v>2306.4</c:v>
                </c:pt>
                <c:pt idx="34">
                  <c:v>2268.25</c:v>
                </c:pt>
                <c:pt idx="35">
                  <c:v>2224.4549999999999</c:v>
                </c:pt>
                <c:pt idx="36">
                  <c:v>2179.6970000000001</c:v>
                </c:pt>
                <c:pt idx="37">
                  <c:v>2137.5219999999999</c:v>
                </c:pt>
                <c:pt idx="38">
                  <c:v>2114.2979999999998</c:v>
                </c:pt>
                <c:pt idx="39">
                  <c:v>2120.5509999999999</c:v>
                </c:pt>
                <c:pt idx="40">
                  <c:v>2150.5039999999999</c:v>
                </c:pt>
                <c:pt idx="41">
                  <c:v>2180.6460000000002</c:v>
                </c:pt>
                <c:pt idx="42">
                  <c:v>2219.3119999999999</c:v>
                </c:pt>
                <c:pt idx="43">
                  <c:v>2265.3589999999999</c:v>
                </c:pt>
                <c:pt idx="44">
                  <c:v>2321.4720000000002</c:v>
                </c:pt>
                <c:pt idx="45">
                  <c:v>2393.2530000000002</c:v>
                </c:pt>
                <c:pt idx="46">
                  <c:v>2468.904</c:v>
                </c:pt>
                <c:pt idx="47">
                  <c:v>2547.4369999999999</c:v>
                </c:pt>
                <c:pt idx="48">
                  <c:v>2653.1089999999999</c:v>
                </c:pt>
                <c:pt idx="49">
                  <c:v>2801.627</c:v>
                </c:pt>
                <c:pt idx="50">
                  <c:v>2981.7280000000001</c:v>
                </c:pt>
                <c:pt idx="51">
                  <c:v>3163.8470000000002</c:v>
                </c:pt>
                <c:pt idx="52">
                  <c:v>3347.77</c:v>
                </c:pt>
                <c:pt idx="53">
                  <c:v>3504.3209999999999</c:v>
                </c:pt>
                <c:pt idx="54">
                  <c:v>3619.0459999999998</c:v>
                </c:pt>
                <c:pt idx="55">
                  <c:v>3708.1329999999998</c:v>
                </c:pt>
                <c:pt idx="56">
                  <c:v>3790.4050000000002</c:v>
                </c:pt>
                <c:pt idx="57">
                  <c:v>3871.027</c:v>
                </c:pt>
                <c:pt idx="58">
                  <c:v>3960.44</c:v>
                </c:pt>
                <c:pt idx="59">
                  <c:v>4065.0940000000001</c:v>
                </c:pt>
                <c:pt idx="60">
                  <c:v>4175.049</c:v>
                </c:pt>
                <c:pt idx="61">
                  <c:v>4257.875</c:v>
                </c:pt>
                <c:pt idx="62">
                  <c:v>4334.049</c:v>
                </c:pt>
                <c:pt idx="63">
                  <c:v>4390.03</c:v>
                </c:pt>
                <c:pt idx="64">
                  <c:v>4417.7690000000002</c:v>
                </c:pt>
                <c:pt idx="65">
                  <c:v>4423.4070000000002</c:v>
                </c:pt>
                <c:pt idx="66">
                  <c:v>4421.7889999999998</c:v>
                </c:pt>
                <c:pt idx="67">
                  <c:v>4416.1660000000002</c:v>
                </c:pt>
                <c:pt idx="68">
                  <c:v>4388.2470000000003</c:v>
                </c:pt>
                <c:pt idx="69">
                  <c:v>4332.7950000000001</c:v>
                </c:pt>
                <c:pt idx="70">
                  <c:v>4260.7179999999998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C9DC-4B80-AD62-48021C2BB957}"/>
            </c:ext>
          </c:extLst>
        </c:ser>
        <c:ser>
          <c:idx val="56"/>
          <c:order val="56"/>
          <c:tx>
            <c:strRef>
              <c:f>Sheet1!$BF$1</c:f>
              <c:strCache>
                <c:ptCount val="1"/>
                <c:pt idx="0">
                  <c:v>56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Sheet1!$BF$2:$BF$72</c:f>
              <c:numCache>
                <c:formatCode>0.000</c:formatCode>
                <c:ptCount val="71"/>
                <c:pt idx="0">
                  <c:v>1564.1479999999999</c:v>
                </c:pt>
                <c:pt idx="1">
                  <c:v>1585.479</c:v>
                </c:pt>
                <c:pt idx="2">
                  <c:v>1601.5909999999999</c:v>
                </c:pt>
                <c:pt idx="3">
                  <c:v>1607.1769999999999</c:v>
                </c:pt>
                <c:pt idx="4">
                  <c:v>1617.723</c:v>
                </c:pt>
                <c:pt idx="5">
                  <c:v>1661.5619999999999</c:v>
                </c:pt>
                <c:pt idx="6">
                  <c:v>1734.837</c:v>
                </c:pt>
                <c:pt idx="7">
                  <c:v>1800.0070000000001</c:v>
                </c:pt>
                <c:pt idx="8">
                  <c:v>1864.627</c:v>
                </c:pt>
                <c:pt idx="9">
                  <c:v>1908.336</c:v>
                </c:pt>
                <c:pt idx="10">
                  <c:v>1932.259</c:v>
                </c:pt>
                <c:pt idx="11">
                  <c:v>1936.1679999999999</c:v>
                </c:pt>
                <c:pt idx="12">
                  <c:v>1954.673</c:v>
                </c:pt>
                <c:pt idx="13">
                  <c:v>1984.873</c:v>
                </c:pt>
                <c:pt idx="14">
                  <c:v>2020.4179999999999</c:v>
                </c:pt>
                <c:pt idx="15">
                  <c:v>2049.2559999999999</c:v>
                </c:pt>
                <c:pt idx="16">
                  <c:v>2049.8530000000001</c:v>
                </c:pt>
                <c:pt idx="17">
                  <c:v>2057.7530000000002</c:v>
                </c:pt>
                <c:pt idx="18">
                  <c:v>2072.3180000000002</c:v>
                </c:pt>
                <c:pt idx="19">
                  <c:v>2093.3449999999998</c:v>
                </c:pt>
                <c:pt idx="20">
                  <c:v>2116.674</c:v>
                </c:pt>
                <c:pt idx="21">
                  <c:v>2127.5279999999998</c:v>
                </c:pt>
                <c:pt idx="22">
                  <c:v>2140.8609999999999</c:v>
                </c:pt>
                <c:pt idx="23">
                  <c:v>2154.63</c:v>
                </c:pt>
                <c:pt idx="24">
                  <c:v>2181.8290000000002</c:v>
                </c:pt>
                <c:pt idx="25">
                  <c:v>2224.6770000000001</c:v>
                </c:pt>
                <c:pt idx="26">
                  <c:v>2266.0909999999999</c:v>
                </c:pt>
                <c:pt idx="27">
                  <c:v>2306.3139999999999</c:v>
                </c:pt>
                <c:pt idx="28">
                  <c:v>2347.4070000000002</c:v>
                </c:pt>
                <c:pt idx="29">
                  <c:v>2371.7800000000002</c:v>
                </c:pt>
                <c:pt idx="30">
                  <c:v>2369.7849999999999</c:v>
                </c:pt>
                <c:pt idx="31">
                  <c:v>2345.3789999999999</c:v>
                </c:pt>
                <c:pt idx="32">
                  <c:v>2326.4169999999999</c:v>
                </c:pt>
                <c:pt idx="33">
                  <c:v>2312.2280000000001</c:v>
                </c:pt>
                <c:pt idx="34">
                  <c:v>2289.1190000000001</c:v>
                </c:pt>
                <c:pt idx="35">
                  <c:v>2252.8049999999998</c:v>
                </c:pt>
                <c:pt idx="36">
                  <c:v>2204.0920000000001</c:v>
                </c:pt>
                <c:pt idx="37">
                  <c:v>2160.7620000000002</c:v>
                </c:pt>
                <c:pt idx="38">
                  <c:v>2119.6999999999998</c:v>
                </c:pt>
                <c:pt idx="39">
                  <c:v>2097.7759999999998</c:v>
                </c:pt>
                <c:pt idx="40">
                  <c:v>2105.8130000000001</c:v>
                </c:pt>
                <c:pt idx="41">
                  <c:v>2131.5700000000002</c:v>
                </c:pt>
                <c:pt idx="42">
                  <c:v>2162.152</c:v>
                </c:pt>
                <c:pt idx="43">
                  <c:v>2201.3560000000002</c:v>
                </c:pt>
                <c:pt idx="44">
                  <c:v>2249.6280000000002</c:v>
                </c:pt>
                <c:pt idx="45">
                  <c:v>2309.8490000000002</c:v>
                </c:pt>
                <c:pt idx="46">
                  <c:v>2379.8449999999998</c:v>
                </c:pt>
                <c:pt idx="47">
                  <c:v>2457.6210000000001</c:v>
                </c:pt>
                <c:pt idx="48">
                  <c:v>2535.81</c:v>
                </c:pt>
                <c:pt idx="49">
                  <c:v>2640.2240000000002</c:v>
                </c:pt>
                <c:pt idx="50">
                  <c:v>2788.6489999999999</c:v>
                </c:pt>
                <c:pt idx="51">
                  <c:v>2971.9090000000001</c:v>
                </c:pt>
                <c:pt idx="52">
                  <c:v>3149.7310000000002</c:v>
                </c:pt>
                <c:pt idx="53">
                  <c:v>3331.3629999999998</c:v>
                </c:pt>
                <c:pt idx="54">
                  <c:v>3489.0509999999999</c:v>
                </c:pt>
                <c:pt idx="55">
                  <c:v>3606.788</c:v>
                </c:pt>
                <c:pt idx="56">
                  <c:v>3686.9659999999999</c:v>
                </c:pt>
                <c:pt idx="57">
                  <c:v>3774.0949999999998</c:v>
                </c:pt>
                <c:pt idx="58">
                  <c:v>3857.8679999999999</c:v>
                </c:pt>
                <c:pt idx="59">
                  <c:v>3948.308</c:v>
                </c:pt>
                <c:pt idx="60">
                  <c:v>4053.0039999999999</c:v>
                </c:pt>
                <c:pt idx="61">
                  <c:v>4148.2619999999997</c:v>
                </c:pt>
                <c:pt idx="62">
                  <c:v>4232.8010000000004</c:v>
                </c:pt>
                <c:pt idx="63">
                  <c:v>4309.7</c:v>
                </c:pt>
                <c:pt idx="64">
                  <c:v>4365.8270000000002</c:v>
                </c:pt>
                <c:pt idx="65">
                  <c:v>4393.674</c:v>
                </c:pt>
                <c:pt idx="66">
                  <c:v>4396.4530000000004</c:v>
                </c:pt>
                <c:pt idx="67">
                  <c:v>4394.1679999999997</c:v>
                </c:pt>
                <c:pt idx="68">
                  <c:v>4388.9660000000003</c:v>
                </c:pt>
                <c:pt idx="69">
                  <c:v>4362.7690000000002</c:v>
                </c:pt>
                <c:pt idx="70">
                  <c:v>4309.4399999999996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C9DC-4B80-AD62-48021C2BB957}"/>
            </c:ext>
          </c:extLst>
        </c:ser>
        <c:ser>
          <c:idx val="57"/>
          <c:order val="57"/>
          <c:tx>
            <c:strRef>
              <c:f>Sheet1!$BG$1</c:f>
              <c:strCache>
                <c:ptCount val="1"/>
                <c:pt idx="0">
                  <c:v>57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Sheet1!$BG$2:$BG$72</c:f>
              <c:numCache>
                <c:formatCode>0.000</c:formatCode>
                <c:ptCount val="71"/>
                <c:pt idx="0">
                  <c:v>1523.2650000000001</c:v>
                </c:pt>
                <c:pt idx="1">
                  <c:v>1546.279</c:v>
                </c:pt>
                <c:pt idx="2">
                  <c:v>1567.2139999999999</c:v>
                </c:pt>
                <c:pt idx="3">
                  <c:v>1580.3420000000001</c:v>
                </c:pt>
                <c:pt idx="4">
                  <c:v>1580.3040000000001</c:v>
                </c:pt>
                <c:pt idx="5">
                  <c:v>1590.1610000000001</c:v>
                </c:pt>
                <c:pt idx="6">
                  <c:v>1644.86</c:v>
                </c:pt>
                <c:pt idx="7">
                  <c:v>1715.356</c:v>
                </c:pt>
                <c:pt idx="8">
                  <c:v>1778.6179999999999</c:v>
                </c:pt>
                <c:pt idx="9">
                  <c:v>1841.223</c:v>
                </c:pt>
                <c:pt idx="10">
                  <c:v>1886.2460000000001</c:v>
                </c:pt>
                <c:pt idx="11">
                  <c:v>1898.0509999999999</c:v>
                </c:pt>
                <c:pt idx="12">
                  <c:v>1909.5160000000001</c:v>
                </c:pt>
                <c:pt idx="13">
                  <c:v>1934.421</c:v>
                </c:pt>
                <c:pt idx="14">
                  <c:v>1970.3989999999999</c:v>
                </c:pt>
                <c:pt idx="15">
                  <c:v>2008.78</c:v>
                </c:pt>
                <c:pt idx="16">
                  <c:v>2013.6690000000001</c:v>
                </c:pt>
                <c:pt idx="17">
                  <c:v>2017.877</c:v>
                </c:pt>
                <c:pt idx="18">
                  <c:v>2029.36</c:v>
                </c:pt>
                <c:pt idx="19">
                  <c:v>2048.3270000000002</c:v>
                </c:pt>
                <c:pt idx="20">
                  <c:v>2073.192</c:v>
                </c:pt>
                <c:pt idx="21">
                  <c:v>2083.94</c:v>
                </c:pt>
                <c:pt idx="22">
                  <c:v>2097.1860000000001</c:v>
                </c:pt>
                <c:pt idx="23">
                  <c:v>2113.413</c:v>
                </c:pt>
                <c:pt idx="24">
                  <c:v>2130.9740000000002</c:v>
                </c:pt>
                <c:pt idx="25">
                  <c:v>2161.5369999999998</c:v>
                </c:pt>
                <c:pt idx="26">
                  <c:v>2197.6109999999999</c:v>
                </c:pt>
                <c:pt idx="27">
                  <c:v>2242.1750000000002</c:v>
                </c:pt>
                <c:pt idx="28">
                  <c:v>2284.4470000000001</c:v>
                </c:pt>
                <c:pt idx="29">
                  <c:v>2326.35</c:v>
                </c:pt>
                <c:pt idx="30">
                  <c:v>2350.942</c:v>
                </c:pt>
                <c:pt idx="31">
                  <c:v>2343.2759999999998</c:v>
                </c:pt>
                <c:pt idx="32">
                  <c:v>2321.538</c:v>
                </c:pt>
                <c:pt idx="33">
                  <c:v>2304.652</c:v>
                </c:pt>
                <c:pt idx="34">
                  <c:v>2292.5</c:v>
                </c:pt>
                <c:pt idx="35">
                  <c:v>2271.4189999999999</c:v>
                </c:pt>
                <c:pt idx="36">
                  <c:v>2230.7460000000001</c:v>
                </c:pt>
                <c:pt idx="37">
                  <c:v>2183.6689999999999</c:v>
                </c:pt>
                <c:pt idx="38">
                  <c:v>2141.6869999999999</c:v>
                </c:pt>
                <c:pt idx="39">
                  <c:v>2101.6819999999998</c:v>
                </c:pt>
                <c:pt idx="40">
                  <c:v>2081.114</c:v>
                </c:pt>
                <c:pt idx="41">
                  <c:v>2086.3510000000001</c:v>
                </c:pt>
                <c:pt idx="42">
                  <c:v>2112.7689999999998</c:v>
                </c:pt>
                <c:pt idx="43">
                  <c:v>2144.357</c:v>
                </c:pt>
                <c:pt idx="44">
                  <c:v>2184.895</c:v>
                </c:pt>
                <c:pt idx="45">
                  <c:v>2235.7350000000001</c:v>
                </c:pt>
                <c:pt idx="46">
                  <c:v>2297.0610000000001</c:v>
                </c:pt>
                <c:pt idx="47">
                  <c:v>2369.1799999999998</c:v>
                </c:pt>
                <c:pt idx="48">
                  <c:v>2447.1320000000001</c:v>
                </c:pt>
                <c:pt idx="49">
                  <c:v>2522.3249999999998</c:v>
                </c:pt>
                <c:pt idx="50">
                  <c:v>2623.9290000000001</c:v>
                </c:pt>
                <c:pt idx="51">
                  <c:v>2777.3359999999998</c:v>
                </c:pt>
                <c:pt idx="52">
                  <c:v>2956.779</c:v>
                </c:pt>
                <c:pt idx="53">
                  <c:v>3132.607</c:v>
                </c:pt>
                <c:pt idx="54">
                  <c:v>3315.3249999999998</c:v>
                </c:pt>
                <c:pt idx="55">
                  <c:v>3475.87</c:v>
                </c:pt>
                <c:pt idx="56">
                  <c:v>3583.79</c:v>
                </c:pt>
                <c:pt idx="57">
                  <c:v>3668.931</c:v>
                </c:pt>
                <c:pt idx="58">
                  <c:v>3759.3139999999999</c:v>
                </c:pt>
                <c:pt idx="59">
                  <c:v>3843.9250000000002</c:v>
                </c:pt>
                <c:pt idx="60">
                  <c:v>3934.1819999999998</c:v>
                </c:pt>
                <c:pt idx="61">
                  <c:v>4024.6930000000002</c:v>
                </c:pt>
                <c:pt idx="62">
                  <c:v>4121.5789999999997</c:v>
                </c:pt>
                <c:pt idx="63">
                  <c:v>4206.8280000000004</c:v>
                </c:pt>
                <c:pt idx="64">
                  <c:v>4283.7460000000001</c:v>
                </c:pt>
                <c:pt idx="65">
                  <c:v>4339.7740000000003</c:v>
                </c:pt>
                <c:pt idx="66">
                  <c:v>4364.107</c:v>
                </c:pt>
                <c:pt idx="67">
                  <c:v>4366.277</c:v>
                </c:pt>
                <c:pt idx="68">
                  <c:v>4364.43</c:v>
                </c:pt>
                <c:pt idx="69">
                  <c:v>4360.9219999999996</c:v>
                </c:pt>
                <c:pt idx="70">
                  <c:v>4336.8419999999996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C9DC-4B80-AD62-48021C2BB957}"/>
            </c:ext>
          </c:extLst>
        </c:ser>
        <c:ser>
          <c:idx val="58"/>
          <c:order val="58"/>
          <c:tx>
            <c:strRef>
              <c:f>Sheet1!$BH$1</c:f>
              <c:strCache>
                <c:ptCount val="1"/>
                <c:pt idx="0">
                  <c:v>58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Sheet1!$BH$2:$BH$72</c:f>
              <c:numCache>
                <c:formatCode>0.000</c:formatCode>
                <c:ptCount val="71"/>
                <c:pt idx="0">
                  <c:v>1486.873</c:v>
                </c:pt>
                <c:pt idx="1">
                  <c:v>1507.49</c:v>
                </c:pt>
                <c:pt idx="2">
                  <c:v>1532.124</c:v>
                </c:pt>
                <c:pt idx="3">
                  <c:v>1550.047</c:v>
                </c:pt>
                <c:pt idx="4">
                  <c:v>1559.0139999999999</c:v>
                </c:pt>
                <c:pt idx="5">
                  <c:v>1553.1669999999999</c:v>
                </c:pt>
                <c:pt idx="6">
                  <c:v>1573.307</c:v>
                </c:pt>
                <c:pt idx="7">
                  <c:v>1626.6769999999999</c:v>
                </c:pt>
                <c:pt idx="8">
                  <c:v>1695.222</c:v>
                </c:pt>
                <c:pt idx="9">
                  <c:v>1757.3209999999999</c:v>
                </c:pt>
                <c:pt idx="10">
                  <c:v>1818.09</c:v>
                </c:pt>
                <c:pt idx="11">
                  <c:v>1847.65</c:v>
                </c:pt>
                <c:pt idx="12">
                  <c:v>1864.692</c:v>
                </c:pt>
                <c:pt idx="13">
                  <c:v>1882.9690000000001</c:v>
                </c:pt>
                <c:pt idx="14">
                  <c:v>1913.2339999999999</c:v>
                </c:pt>
                <c:pt idx="15">
                  <c:v>1954.5650000000001</c:v>
                </c:pt>
                <c:pt idx="16">
                  <c:v>1970.2639999999999</c:v>
                </c:pt>
                <c:pt idx="17">
                  <c:v>1976.7449999999999</c:v>
                </c:pt>
                <c:pt idx="18">
                  <c:v>1984.9380000000001</c:v>
                </c:pt>
                <c:pt idx="19">
                  <c:v>2000.64</c:v>
                </c:pt>
                <c:pt idx="20">
                  <c:v>2024.5150000000001</c:v>
                </c:pt>
                <c:pt idx="21">
                  <c:v>2038.626</c:v>
                </c:pt>
                <c:pt idx="22">
                  <c:v>2050.1909999999998</c:v>
                </c:pt>
                <c:pt idx="23">
                  <c:v>2066.7829999999999</c:v>
                </c:pt>
                <c:pt idx="24">
                  <c:v>2086.7550000000001</c:v>
                </c:pt>
                <c:pt idx="25">
                  <c:v>2108.2930000000001</c:v>
                </c:pt>
                <c:pt idx="26">
                  <c:v>2134.0219999999999</c:v>
                </c:pt>
                <c:pt idx="27">
                  <c:v>2172.0700000000002</c:v>
                </c:pt>
                <c:pt idx="28">
                  <c:v>2219.1219999999998</c:v>
                </c:pt>
                <c:pt idx="29">
                  <c:v>2262.3960000000002</c:v>
                </c:pt>
                <c:pt idx="30">
                  <c:v>2304.4929999999999</c:v>
                </c:pt>
                <c:pt idx="31">
                  <c:v>2322.5630000000001</c:v>
                </c:pt>
                <c:pt idx="32">
                  <c:v>2316.4079999999999</c:v>
                </c:pt>
                <c:pt idx="33">
                  <c:v>2297.1329999999998</c:v>
                </c:pt>
                <c:pt idx="34">
                  <c:v>2282.4180000000001</c:v>
                </c:pt>
                <c:pt idx="35">
                  <c:v>2272.3530000000001</c:v>
                </c:pt>
                <c:pt idx="36">
                  <c:v>2247.7260000000001</c:v>
                </c:pt>
                <c:pt idx="37">
                  <c:v>2208.63</c:v>
                </c:pt>
                <c:pt idx="38">
                  <c:v>2163.1060000000002</c:v>
                </c:pt>
                <c:pt idx="39">
                  <c:v>2122.415</c:v>
                </c:pt>
                <c:pt idx="40">
                  <c:v>2083.5219999999999</c:v>
                </c:pt>
                <c:pt idx="41">
                  <c:v>2060.6320000000001</c:v>
                </c:pt>
                <c:pt idx="42">
                  <c:v>2067.0160000000001</c:v>
                </c:pt>
                <c:pt idx="43">
                  <c:v>2094.6480000000001</c:v>
                </c:pt>
                <c:pt idx="44">
                  <c:v>2128.0169999999998</c:v>
                </c:pt>
                <c:pt idx="45">
                  <c:v>2170.2139999999999</c:v>
                </c:pt>
                <c:pt idx="46">
                  <c:v>2222.875</c:v>
                </c:pt>
                <c:pt idx="47">
                  <c:v>2286.9189999999999</c:v>
                </c:pt>
                <c:pt idx="48">
                  <c:v>2359.279</c:v>
                </c:pt>
                <c:pt idx="49">
                  <c:v>2434.8510000000001</c:v>
                </c:pt>
                <c:pt idx="50">
                  <c:v>2505.5819999999999</c:v>
                </c:pt>
                <c:pt idx="51">
                  <c:v>2611.2489999999998</c:v>
                </c:pt>
                <c:pt idx="52">
                  <c:v>2761.056</c:v>
                </c:pt>
                <c:pt idx="53">
                  <c:v>2938.8270000000002</c:v>
                </c:pt>
                <c:pt idx="54">
                  <c:v>3115.8330000000001</c:v>
                </c:pt>
                <c:pt idx="55">
                  <c:v>3301.2739999999999</c:v>
                </c:pt>
                <c:pt idx="56">
                  <c:v>3451.5639999999999</c:v>
                </c:pt>
                <c:pt idx="57">
                  <c:v>3563.8380000000002</c:v>
                </c:pt>
                <c:pt idx="58">
                  <c:v>3652.38</c:v>
                </c:pt>
                <c:pt idx="59">
                  <c:v>3743.7649999999999</c:v>
                </c:pt>
                <c:pt idx="60">
                  <c:v>3828.04</c:v>
                </c:pt>
                <c:pt idx="61">
                  <c:v>3904.3110000000001</c:v>
                </c:pt>
                <c:pt idx="62">
                  <c:v>3996.4780000000001</c:v>
                </c:pt>
                <c:pt idx="63">
                  <c:v>4094.0189999999998</c:v>
                </c:pt>
                <c:pt idx="64">
                  <c:v>4179.29</c:v>
                </c:pt>
                <c:pt idx="65">
                  <c:v>4255.9790000000003</c:v>
                </c:pt>
                <c:pt idx="66">
                  <c:v>4307.8429999999998</c:v>
                </c:pt>
                <c:pt idx="67">
                  <c:v>4331.3389999999999</c:v>
                </c:pt>
                <c:pt idx="68">
                  <c:v>4333.9949999999999</c:v>
                </c:pt>
                <c:pt idx="69">
                  <c:v>4333.8519999999999</c:v>
                </c:pt>
                <c:pt idx="70">
                  <c:v>4332.4340000000002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C9DC-4B80-AD62-48021C2BB957}"/>
            </c:ext>
          </c:extLst>
        </c:ser>
        <c:ser>
          <c:idx val="59"/>
          <c:order val="59"/>
          <c:tx>
            <c:strRef>
              <c:f>Sheet1!$BI$1</c:f>
              <c:strCache>
                <c:ptCount val="1"/>
                <c:pt idx="0">
                  <c:v>59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Sheet1!$BI$2:$BI$72</c:f>
              <c:numCache>
                <c:formatCode>0.000</c:formatCode>
                <c:ptCount val="71"/>
                <c:pt idx="0">
                  <c:v>1452.86</c:v>
                </c:pt>
                <c:pt idx="1">
                  <c:v>1469.405</c:v>
                </c:pt>
                <c:pt idx="2">
                  <c:v>1495.335</c:v>
                </c:pt>
                <c:pt idx="3">
                  <c:v>1519.046</c:v>
                </c:pt>
                <c:pt idx="4">
                  <c:v>1532.807</c:v>
                </c:pt>
                <c:pt idx="5">
                  <c:v>1537.432</c:v>
                </c:pt>
                <c:pt idx="6">
                  <c:v>1533.722</c:v>
                </c:pt>
                <c:pt idx="7">
                  <c:v>1555.0360000000001</c:v>
                </c:pt>
                <c:pt idx="8">
                  <c:v>1607.874</c:v>
                </c:pt>
                <c:pt idx="9">
                  <c:v>1675.175</c:v>
                </c:pt>
                <c:pt idx="10">
                  <c:v>1736.278</c:v>
                </c:pt>
                <c:pt idx="11">
                  <c:v>1778.9649999999999</c:v>
                </c:pt>
                <c:pt idx="12">
                  <c:v>1809.8789999999999</c:v>
                </c:pt>
                <c:pt idx="13">
                  <c:v>1831.43</c:v>
                </c:pt>
                <c:pt idx="14">
                  <c:v>1855.511</c:v>
                </c:pt>
                <c:pt idx="15">
                  <c:v>1890.732</c:v>
                </c:pt>
                <c:pt idx="16">
                  <c:v>1916.3889999999999</c:v>
                </c:pt>
                <c:pt idx="17">
                  <c:v>1930.4359999999999</c:v>
                </c:pt>
                <c:pt idx="18">
                  <c:v>1938.8779999999999</c:v>
                </c:pt>
                <c:pt idx="19">
                  <c:v>1951.682</c:v>
                </c:pt>
                <c:pt idx="20">
                  <c:v>1972.096</c:v>
                </c:pt>
                <c:pt idx="21">
                  <c:v>1990.6869999999999</c:v>
                </c:pt>
                <c:pt idx="22">
                  <c:v>2003.0650000000001</c:v>
                </c:pt>
                <c:pt idx="23">
                  <c:v>2016.384</c:v>
                </c:pt>
                <c:pt idx="24">
                  <c:v>2037.154</c:v>
                </c:pt>
                <c:pt idx="25">
                  <c:v>2061.0509999999999</c:v>
                </c:pt>
                <c:pt idx="26">
                  <c:v>2082.127</c:v>
                </c:pt>
                <c:pt idx="27">
                  <c:v>2107.991</c:v>
                </c:pt>
                <c:pt idx="28">
                  <c:v>2147.364</c:v>
                </c:pt>
                <c:pt idx="29">
                  <c:v>2195.8890000000001</c:v>
                </c:pt>
                <c:pt idx="30">
                  <c:v>2239.5639999999999</c:v>
                </c:pt>
                <c:pt idx="31">
                  <c:v>2276.0729999999999</c:v>
                </c:pt>
                <c:pt idx="32">
                  <c:v>2293.8240000000001</c:v>
                </c:pt>
                <c:pt idx="33">
                  <c:v>2288.9740000000002</c:v>
                </c:pt>
                <c:pt idx="34">
                  <c:v>2272.2620000000002</c:v>
                </c:pt>
                <c:pt idx="35">
                  <c:v>2259.7710000000002</c:v>
                </c:pt>
                <c:pt idx="36">
                  <c:v>2247.1489999999999</c:v>
                </c:pt>
                <c:pt idx="37">
                  <c:v>2223.9760000000001</c:v>
                </c:pt>
                <c:pt idx="38">
                  <c:v>2186.3719999999998</c:v>
                </c:pt>
                <c:pt idx="39">
                  <c:v>2142.3420000000001</c:v>
                </c:pt>
                <c:pt idx="40">
                  <c:v>2102.9969999999998</c:v>
                </c:pt>
                <c:pt idx="41">
                  <c:v>2061.259</c:v>
                </c:pt>
                <c:pt idx="42">
                  <c:v>2040.2739999999999</c:v>
                </c:pt>
                <c:pt idx="43">
                  <c:v>2048.3449999999998</c:v>
                </c:pt>
                <c:pt idx="44">
                  <c:v>2077.9470000000001</c:v>
                </c:pt>
                <c:pt idx="45">
                  <c:v>2113.4110000000001</c:v>
                </c:pt>
                <c:pt idx="46">
                  <c:v>2156.0529999999999</c:v>
                </c:pt>
                <c:pt idx="47">
                  <c:v>2212.5729999999999</c:v>
                </c:pt>
                <c:pt idx="48">
                  <c:v>2277.5160000000001</c:v>
                </c:pt>
                <c:pt idx="49">
                  <c:v>2347.65</c:v>
                </c:pt>
                <c:pt idx="50">
                  <c:v>2419.4250000000002</c:v>
                </c:pt>
                <c:pt idx="51">
                  <c:v>2491.7730000000001</c:v>
                </c:pt>
                <c:pt idx="52">
                  <c:v>2593.8969999999999</c:v>
                </c:pt>
                <c:pt idx="53">
                  <c:v>2742.1439999999998</c:v>
                </c:pt>
                <c:pt idx="54">
                  <c:v>2921.2069999999999</c:v>
                </c:pt>
                <c:pt idx="55">
                  <c:v>3100.9290000000001</c:v>
                </c:pt>
                <c:pt idx="56">
                  <c:v>3276.4650000000001</c:v>
                </c:pt>
                <c:pt idx="57">
                  <c:v>3430.192</c:v>
                </c:pt>
                <c:pt idx="58">
                  <c:v>3545.326</c:v>
                </c:pt>
                <c:pt idx="59">
                  <c:v>3635.0810000000001</c:v>
                </c:pt>
                <c:pt idx="60">
                  <c:v>3726.3240000000001</c:v>
                </c:pt>
                <c:pt idx="61">
                  <c:v>3796.5160000000001</c:v>
                </c:pt>
                <c:pt idx="62">
                  <c:v>3874.5309999999999</c:v>
                </c:pt>
                <c:pt idx="63">
                  <c:v>3967.4110000000001</c:v>
                </c:pt>
                <c:pt idx="64">
                  <c:v>4064.9360000000001</c:v>
                </c:pt>
                <c:pt idx="65">
                  <c:v>4149.9859999999999</c:v>
                </c:pt>
                <c:pt idx="66">
                  <c:v>4222.0690000000004</c:v>
                </c:pt>
                <c:pt idx="67">
                  <c:v>4272.75</c:v>
                </c:pt>
                <c:pt idx="68">
                  <c:v>4296.4830000000002</c:v>
                </c:pt>
                <c:pt idx="69">
                  <c:v>4300.884</c:v>
                </c:pt>
                <c:pt idx="70">
                  <c:v>4302.8360000000002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C9DC-4B80-AD62-48021C2BB957}"/>
            </c:ext>
          </c:extLst>
        </c:ser>
        <c:ser>
          <c:idx val="60"/>
          <c:order val="60"/>
          <c:tx>
            <c:strRef>
              <c:f>Sheet1!$BJ$1</c:f>
              <c:strCache>
                <c:ptCount val="1"/>
                <c:pt idx="0">
                  <c:v>60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Sheet1!$BJ$2:$BJ$72</c:f>
              <c:numCache>
                <c:formatCode>0.000</c:formatCode>
                <c:ptCount val="71"/>
                <c:pt idx="0">
                  <c:v>1416.357</c:v>
                </c:pt>
                <c:pt idx="1">
                  <c:v>1431.229</c:v>
                </c:pt>
                <c:pt idx="2">
                  <c:v>1455.47</c:v>
                </c:pt>
                <c:pt idx="3">
                  <c:v>1484.231</c:v>
                </c:pt>
                <c:pt idx="4">
                  <c:v>1505.903</c:v>
                </c:pt>
                <c:pt idx="5">
                  <c:v>1515.3230000000001</c:v>
                </c:pt>
                <c:pt idx="6">
                  <c:v>1513.8510000000001</c:v>
                </c:pt>
                <c:pt idx="7">
                  <c:v>1512.893</c:v>
                </c:pt>
                <c:pt idx="8">
                  <c:v>1536.173</c:v>
                </c:pt>
                <c:pt idx="9">
                  <c:v>1589.153</c:v>
                </c:pt>
                <c:pt idx="10">
                  <c:v>1655.37</c:v>
                </c:pt>
                <c:pt idx="11">
                  <c:v>1699.056</c:v>
                </c:pt>
                <c:pt idx="12">
                  <c:v>1740.633</c:v>
                </c:pt>
                <c:pt idx="13">
                  <c:v>1772.1990000000001</c:v>
                </c:pt>
                <c:pt idx="14">
                  <c:v>1797.28</c:v>
                </c:pt>
                <c:pt idx="15">
                  <c:v>1826.7819999999999</c:v>
                </c:pt>
                <c:pt idx="16">
                  <c:v>1854.8979999999999</c:v>
                </c:pt>
                <c:pt idx="17">
                  <c:v>1876.9369999999999</c:v>
                </c:pt>
                <c:pt idx="18">
                  <c:v>1889.6890000000001</c:v>
                </c:pt>
                <c:pt idx="19">
                  <c:v>1900.7049999999999</c:v>
                </c:pt>
                <c:pt idx="20">
                  <c:v>1918.6010000000001</c:v>
                </c:pt>
                <c:pt idx="21">
                  <c:v>1940.444</c:v>
                </c:pt>
                <c:pt idx="22">
                  <c:v>1955.886</c:v>
                </c:pt>
                <c:pt idx="23">
                  <c:v>1967.45</c:v>
                </c:pt>
                <c:pt idx="24">
                  <c:v>1983.3340000000001</c:v>
                </c:pt>
                <c:pt idx="25">
                  <c:v>2008.4549999999999</c:v>
                </c:pt>
                <c:pt idx="26">
                  <c:v>2037.136</c:v>
                </c:pt>
                <c:pt idx="27">
                  <c:v>2057.4070000000002</c:v>
                </c:pt>
                <c:pt idx="28">
                  <c:v>2082.7689999999998</c:v>
                </c:pt>
                <c:pt idx="29">
                  <c:v>2122.48</c:v>
                </c:pt>
                <c:pt idx="30">
                  <c:v>2171.895</c:v>
                </c:pt>
                <c:pt idx="31">
                  <c:v>2212.105</c:v>
                </c:pt>
                <c:pt idx="32">
                  <c:v>2247.297</c:v>
                </c:pt>
                <c:pt idx="33">
                  <c:v>2264.5219999999999</c:v>
                </c:pt>
                <c:pt idx="34">
                  <c:v>2261.0749999999998</c:v>
                </c:pt>
                <c:pt idx="35">
                  <c:v>2246.9830000000002</c:v>
                </c:pt>
                <c:pt idx="36">
                  <c:v>2233.0439999999999</c:v>
                </c:pt>
                <c:pt idx="37">
                  <c:v>2221.8890000000001</c:v>
                </c:pt>
                <c:pt idx="38">
                  <c:v>2200.0839999999998</c:v>
                </c:pt>
                <c:pt idx="39">
                  <c:v>2163.91</c:v>
                </c:pt>
                <c:pt idx="40">
                  <c:v>2121.4290000000001</c:v>
                </c:pt>
                <c:pt idx="41">
                  <c:v>2078.3649999999998</c:v>
                </c:pt>
                <c:pt idx="42">
                  <c:v>2039.1179999999999</c:v>
                </c:pt>
                <c:pt idx="43">
                  <c:v>2020.568</c:v>
                </c:pt>
                <c:pt idx="44">
                  <c:v>2031.06</c:v>
                </c:pt>
                <c:pt idx="45">
                  <c:v>2062.9389999999999</c:v>
                </c:pt>
                <c:pt idx="46">
                  <c:v>2097.056</c:v>
                </c:pt>
                <c:pt idx="47">
                  <c:v>2144.373</c:v>
                </c:pt>
                <c:pt idx="48">
                  <c:v>2202.9859999999999</c:v>
                </c:pt>
                <c:pt idx="49">
                  <c:v>2266.444</c:v>
                </c:pt>
                <c:pt idx="50">
                  <c:v>2332.989</c:v>
                </c:pt>
                <c:pt idx="51">
                  <c:v>2404.5740000000001</c:v>
                </c:pt>
                <c:pt idx="52">
                  <c:v>2473.502</c:v>
                </c:pt>
                <c:pt idx="53">
                  <c:v>2574.0729999999999</c:v>
                </c:pt>
                <c:pt idx="54">
                  <c:v>2723.5439999999999</c:v>
                </c:pt>
                <c:pt idx="55">
                  <c:v>2905.3409999999999</c:v>
                </c:pt>
                <c:pt idx="56">
                  <c:v>3076.0619999999999</c:v>
                </c:pt>
                <c:pt idx="57">
                  <c:v>3254.4430000000002</c:v>
                </c:pt>
                <c:pt idx="58">
                  <c:v>3410.2049999999999</c:v>
                </c:pt>
                <c:pt idx="59">
                  <c:v>3526.0839999999998</c:v>
                </c:pt>
                <c:pt idx="60">
                  <c:v>3615.9430000000002</c:v>
                </c:pt>
                <c:pt idx="61">
                  <c:v>3693.123</c:v>
                </c:pt>
                <c:pt idx="62">
                  <c:v>3765.0770000000002</c:v>
                </c:pt>
                <c:pt idx="63">
                  <c:v>3843.9250000000002</c:v>
                </c:pt>
                <c:pt idx="64">
                  <c:v>3936.8679999999999</c:v>
                </c:pt>
                <c:pt idx="65">
                  <c:v>4034.136</c:v>
                </c:pt>
                <c:pt idx="66">
                  <c:v>4114.3440000000001</c:v>
                </c:pt>
                <c:pt idx="67">
                  <c:v>4185.0550000000003</c:v>
                </c:pt>
                <c:pt idx="68">
                  <c:v>4235.5969999999998</c:v>
                </c:pt>
                <c:pt idx="69">
                  <c:v>4260.8059999999996</c:v>
                </c:pt>
                <c:pt idx="70">
                  <c:v>4267.3389999999999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C9DC-4B80-AD62-48021C2BB957}"/>
            </c:ext>
          </c:extLst>
        </c:ser>
        <c:ser>
          <c:idx val="61"/>
          <c:order val="61"/>
          <c:tx>
            <c:strRef>
              <c:f>Sheet1!$BK$1</c:f>
              <c:strCache>
                <c:ptCount val="1"/>
                <c:pt idx="0">
                  <c:v>61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Sheet1!$BK$2:$BK$72</c:f>
              <c:numCache>
                <c:formatCode>0.000</c:formatCode>
                <c:ptCount val="71"/>
                <c:pt idx="0">
                  <c:v>1377.3889999999999</c:v>
                </c:pt>
                <c:pt idx="1">
                  <c:v>1391.367</c:v>
                </c:pt>
                <c:pt idx="2">
                  <c:v>1413.0509999999999</c:v>
                </c:pt>
                <c:pt idx="3">
                  <c:v>1442.5550000000001</c:v>
                </c:pt>
                <c:pt idx="4">
                  <c:v>1473.067</c:v>
                </c:pt>
                <c:pt idx="5">
                  <c:v>1492.5260000000001</c:v>
                </c:pt>
                <c:pt idx="6">
                  <c:v>1488.181</c:v>
                </c:pt>
                <c:pt idx="7">
                  <c:v>1488.9</c:v>
                </c:pt>
                <c:pt idx="8">
                  <c:v>1491.4880000000001</c:v>
                </c:pt>
                <c:pt idx="9">
                  <c:v>1517.3879999999999</c:v>
                </c:pt>
                <c:pt idx="10">
                  <c:v>1570.6590000000001</c:v>
                </c:pt>
                <c:pt idx="11">
                  <c:v>1619.6020000000001</c:v>
                </c:pt>
                <c:pt idx="12">
                  <c:v>1662.5889999999999</c:v>
                </c:pt>
                <c:pt idx="13">
                  <c:v>1702.3869999999999</c:v>
                </c:pt>
                <c:pt idx="14">
                  <c:v>1733.655</c:v>
                </c:pt>
                <c:pt idx="15">
                  <c:v>1761.904</c:v>
                </c:pt>
                <c:pt idx="16">
                  <c:v>1792.9590000000001</c:v>
                </c:pt>
                <c:pt idx="17">
                  <c:v>1817.8320000000001</c:v>
                </c:pt>
                <c:pt idx="18">
                  <c:v>1836.5920000000001</c:v>
                </c:pt>
                <c:pt idx="19">
                  <c:v>1848.646</c:v>
                </c:pt>
                <c:pt idx="20">
                  <c:v>1862.704</c:v>
                </c:pt>
                <c:pt idx="21">
                  <c:v>1888.8979999999999</c:v>
                </c:pt>
                <c:pt idx="22">
                  <c:v>1907.8440000000001</c:v>
                </c:pt>
                <c:pt idx="23">
                  <c:v>1921.0309999999999</c:v>
                </c:pt>
                <c:pt idx="24">
                  <c:v>1932.5740000000001</c:v>
                </c:pt>
                <c:pt idx="25">
                  <c:v>1951.1890000000001</c:v>
                </c:pt>
                <c:pt idx="26">
                  <c:v>1986.6489999999999</c:v>
                </c:pt>
                <c:pt idx="27">
                  <c:v>2014.636</c:v>
                </c:pt>
                <c:pt idx="28">
                  <c:v>2033.4780000000001</c:v>
                </c:pt>
                <c:pt idx="29">
                  <c:v>2057.3719999999998</c:v>
                </c:pt>
                <c:pt idx="30">
                  <c:v>2096.8589999999999</c:v>
                </c:pt>
                <c:pt idx="31">
                  <c:v>2145.2330000000002</c:v>
                </c:pt>
                <c:pt idx="32">
                  <c:v>2184.2979999999998</c:v>
                </c:pt>
                <c:pt idx="33">
                  <c:v>2217.9679999999998</c:v>
                </c:pt>
                <c:pt idx="34">
                  <c:v>2234.7629999999999</c:v>
                </c:pt>
                <c:pt idx="35">
                  <c:v>2232.7739999999999</c:v>
                </c:pt>
                <c:pt idx="36">
                  <c:v>2218.7109999999998</c:v>
                </c:pt>
                <c:pt idx="37">
                  <c:v>2206.2640000000001</c:v>
                </c:pt>
                <c:pt idx="38">
                  <c:v>2196.489</c:v>
                </c:pt>
                <c:pt idx="39">
                  <c:v>2175.9870000000001</c:v>
                </c:pt>
                <c:pt idx="40">
                  <c:v>2141.297</c:v>
                </c:pt>
                <c:pt idx="41">
                  <c:v>2094.473</c:v>
                </c:pt>
                <c:pt idx="42">
                  <c:v>2053.8580000000002</c:v>
                </c:pt>
                <c:pt idx="43">
                  <c:v>2017.6310000000001</c:v>
                </c:pt>
                <c:pt idx="44">
                  <c:v>2002.229</c:v>
                </c:pt>
                <c:pt idx="45">
                  <c:v>2015.4290000000001</c:v>
                </c:pt>
                <c:pt idx="46">
                  <c:v>2044.5229999999999</c:v>
                </c:pt>
                <c:pt idx="47">
                  <c:v>2083.1149999999998</c:v>
                </c:pt>
                <c:pt idx="48">
                  <c:v>2133.3850000000002</c:v>
                </c:pt>
                <c:pt idx="49">
                  <c:v>2191.7849999999999</c:v>
                </c:pt>
                <c:pt idx="50">
                  <c:v>2252.4450000000002</c:v>
                </c:pt>
                <c:pt idx="51">
                  <c:v>2316.9290000000001</c:v>
                </c:pt>
                <c:pt idx="52">
                  <c:v>2385.4140000000002</c:v>
                </c:pt>
                <c:pt idx="53">
                  <c:v>2452.8760000000002</c:v>
                </c:pt>
                <c:pt idx="54">
                  <c:v>2554.547</c:v>
                </c:pt>
                <c:pt idx="55">
                  <c:v>2706.5830000000001</c:v>
                </c:pt>
                <c:pt idx="56">
                  <c:v>2880.2890000000002</c:v>
                </c:pt>
                <c:pt idx="57">
                  <c:v>3053.8130000000001</c:v>
                </c:pt>
                <c:pt idx="58">
                  <c:v>3233.7339999999999</c:v>
                </c:pt>
                <c:pt idx="59">
                  <c:v>3389.5149999999999</c:v>
                </c:pt>
                <c:pt idx="60">
                  <c:v>3505.058</c:v>
                </c:pt>
                <c:pt idx="61">
                  <c:v>3581.1190000000001</c:v>
                </c:pt>
                <c:pt idx="62">
                  <c:v>3660.0010000000002</c:v>
                </c:pt>
                <c:pt idx="63">
                  <c:v>3732.8330000000001</c:v>
                </c:pt>
                <c:pt idx="64">
                  <c:v>3811.8870000000002</c:v>
                </c:pt>
                <c:pt idx="65">
                  <c:v>3904.665</c:v>
                </c:pt>
                <c:pt idx="66">
                  <c:v>3996.7829999999999</c:v>
                </c:pt>
                <c:pt idx="67">
                  <c:v>4075.6759999999999</c:v>
                </c:pt>
                <c:pt idx="68">
                  <c:v>4146.0259999999998</c:v>
                </c:pt>
                <c:pt idx="69">
                  <c:v>4197.6379999999999</c:v>
                </c:pt>
                <c:pt idx="70">
                  <c:v>4224.701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C9DC-4B80-AD62-48021C2BB957}"/>
            </c:ext>
          </c:extLst>
        </c:ser>
        <c:ser>
          <c:idx val="62"/>
          <c:order val="62"/>
          <c:tx>
            <c:strRef>
              <c:f>Sheet1!$BL$1</c:f>
              <c:strCache>
                <c:ptCount val="1"/>
                <c:pt idx="0">
                  <c:v>62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Sheet1!$BL$2:$BL$72</c:f>
              <c:numCache>
                <c:formatCode>0.000</c:formatCode>
                <c:ptCount val="71"/>
                <c:pt idx="0">
                  <c:v>1337.825</c:v>
                </c:pt>
                <c:pt idx="1">
                  <c:v>1349.521</c:v>
                </c:pt>
                <c:pt idx="2">
                  <c:v>1369.742</c:v>
                </c:pt>
                <c:pt idx="3">
                  <c:v>1395.8589999999999</c:v>
                </c:pt>
                <c:pt idx="4">
                  <c:v>1429.578</c:v>
                </c:pt>
                <c:pt idx="5">
                  <c:v>1461.675</c:v>
                </c:pt>
                <c:pt idx="6">
                  <c:v>1462.1569999999999</c:v>
                </c:pt>
                <c:pt idx="7">
                  <c:v>1459.6880000000001</c:v>
                </c:pt>
                <c:pt idx="8">
                  <c:v>1463.384</c:v>
                </c:pt>
                <c:pt idx="9">
                  <c:v>1470.162</c:v>
                </c:pt>
                <c:pt idx="10">
                  <c:v>1498.8209999999999</c:v>
                </c:pt>
                <c:pt idx="11">
                  <c:v>1536.604</c:v>
                </c:pt>
                <c:pt idx="12">
                  <c:v>1584.5530000000001</c:v>
                </c:pt>
                <c:pt idx="13">
                  <c:v>1626.204</c:v>
                </c:pt>
                <c:pt idx="14">
                  <c:v>1663.31</c:v>
                </c:pt>
                <c:pt idx="15">
                  <c:v>1693.9349999999999</c:v>
                </c:pt>
                <c:pt idx="16">
                  <c:v>1730.4159999999999</c:v>
                </c:pt>
                <c:pt idx="17">
                  <c:v>1757.9449999999999</c:v>
                </c:pt>
                <c:pt idx="18">
                  <c:v>1779.902</c:v>
                </c:pt>
                <c:pt idx="19">
                  <c:v>1795.96</c:v>
                </c:pt>
                <c:pt idx="20">
                  <c:v>1807.7729999999999</c:v>
                </c:pt>
                <c:pt idx="21">
                  <c:v>1835.586</c:v>
                </c:pt>
                <c:pt idx="22">
                  <c:v>1858.271</c:v>
                </c:pt>
                <c:pt idx="23">
                  <c:v>1875.1869999999999</c:v>
                </c:pt>
                <c:pt idx="24">
                  <c:v>1886.8979999999999</c:v>
                </c:pt>
                <c:pt idx="25">
                  <c:v>1898.58</c:v>
                </c:pt>
                <c:pt idx="26">
                  <c:v>1932.175</c:v>
                </c:pt>
                <c:pt idx="27">
                  <c:v>1966.2239999999999</c:v>
                </c:pt>
                <c:pt idx="28">
                  <c:v>1992.91</c:v>
                </c:pt>
                <c:pt idx="29">
                  <c:v>2009.3779999999999</c:v>
                </c:pt>
                <c:pt idx="30">
                  <c:v>2031.26</c:v>
                </c:pt>
                <c:pt idx="31">
                  <c:v>2071.4639999999999</c:v>
                </c:pt>
                <c:pt idx="32">
                  <c:v>2118.2310000000002</c:v>
                </c:pt>
                <c:pt idx="33">
                  <c:v>2155.9540000000002</c:v>
                </c:pt>
                <c:pt idx="34">
                  <c:v>2188.192</c:v>
                </c:pt>
                <c:pt idx="35">
                  <c:v>2204.6080000000002</c:v>
                </c:pt>
                <c:pt idx="36">
                  <c:v>2203.1570000000002</c:v>
                </c:pt>
                <c:pt idx="37">
                  <c:v>2190.3870000000002</c:v>
                </c:pt>
                <c:pt idx="38">
                  <c:v>2179.348</c:v>
                </c:pt>
                <c:pt idx="39">
                  <c:v>2170.8829999999998</c:v>
                </c:pt>
                <c:pt idx="40">
                  <c:v>2151.7339999999999</c:v>
                </c:pt>
                <c:pt idx="41">
                  <c:v>2112.1640000000002</c:v>
                </c:pt>
                <c:pt idx="42">
                  <c:v>2067.6460000000002</c:v>
                </c:pt>
                <c:pt idx="43">
                  <c:v>2030.009</c:v>
                </c:pt>
                <c:pt idx="44">
                  <c:v>1997.5070000000001</c:v>
                </c:pt>
                <c:pt idx="45">
                  <c:v>1985.5170000000001</c:v>
                </c:pt>
                <c:pt idx="46">
                  <c:v>1995.069</c:v>
                </c:pt>
                <c:pt idx="47">
                  <c:v>2028.463</c:v>
                </c:pt>
                <c:pt idx="48">
                  <c:v>2069.8420000000001</c:v>
                </c:pt>
                <c:pt idx="49">
                  <c:v>2120.83</c:v>
                </c:pt>
                <c:pt idx="50">
                  <c:v>2177.752</c:v>
                </c:pt>
                <c:pt idx="51">
                  <c:v>2235.0630000000001</c:v>
                </c:pt>
                <c:pt idx="52">
                  <c:v>2296.71</c:v>
                </c:pt>
                <c:pt idx="53">
                  <c:v>2363.982</c:v>
                </c:pt>
                <c:pt idx="54">
                  <c:v>2432.5360000000001</c:v>
                </c:pt>
                <c:pt idx="55">
                  <c:v>2536.558</c:v>
                </c:pt>
                <c:pt idx="56">
                  <c:v>2681.415</c:v>
                </c:pt>
                <c:pt idx="57">
                  <c:v>2857.69</c:v>
                </c:pt>
                <c:pt idx="58">
                  <c:v>3032.7930000000001</c:v>
                </c:pt>
                <c:pt idx="59">
                  <c:v>3212.3539999999998</c:v>
                </c:pt>
                <c:pt idx="60">
                  <c:v>3367.1060000000002</c:v>
                </c:pt>
                <c:pt idx="61">
                  <c:v>3468.585</c:v>
                </c:pt>
                <c:pt idx="62">
                  <c:v>3546.3679999999999</c:v>
                </c:pt>
                <c:pt idx="63">
                  <c:v>3626.0949999999998</c:v>
                </c:pt>
                <c:pt idx="64">
                  <c:v>3699.2</c:v>
                </c:pt>
                <c:pt idx="65">
                  <c:v>3778.2449999999999</c:v>
                </c:pt>
                <c:pt idx="66">
                  <c:v>3865.7159999999999</c:v>
                </c:pt>
                <c:pt idx="67">
                  <c:v>3956.4879999999998</c:v>
                </c:pt>
                <c:pt idx="68">
                  <c:v>4035.0450000000001</c:v>
                </c:pt>
                <c:pt idx="69">
                  <c:v>4106.2079999999996</c:v>
                </c:pt>
                <c:pt idx="70">
                  <c:v>4159.26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C9DC-4B80-AD62-48021C2BB957}"/>
            </c:ext>
          </c:extLst>
        </c:ser>
        <c:ser>
          <c:idx val="63"/>
          <c:order val="63"/>
          <c:tx>
            <c:strRef>
              <c:f>Sheet1!$BM$1</c:f>
              <c:strCache>
                <c:ptCount val="1"/>
                <c:pt idx="0">
                  <c:v>63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Sheet1!$BM$2:$BM$72</c:f>
              <c:numCache>
                <c:formatCode>0.000</c:formatCode>
                <c:ptCount val="71"/>
                <c:pt idx="0">
                  <c:v>1297.7950000000001</c:v>
                </c:pt>
                <c:pt idx="1">
                  <c:v>1306.317</c:v>
                </c:pt>
                <c:pt idx="2">
                  <c:v>1324.9259999999999</c:v>
                </c:pt>
                <c:pt idx="3">
                  <c:v>1349.07</c:v>
                </c:pt>
                <c:pt idx="4">
                  <c:v>1378.6</c:v>
                </c:pt>
                <c:pt idx="5">
                  <c:v>1416.3779999999999</c:v>
                </c:pt>
                <c:pt idx="6">
                  <c:v>1427.9069999999999</c:v>
                </c:pt>
                <c:pt idx="7">
                  <c:v>1430.4580000000001</c:v>
                </c:pt>
                <c:pt idx="8">
                  <c:v>1430.644</c:v>
                </c:pt>
                <c:pt idx="9">
                  <c:v>1437.9480000000001</c:v>
                </c:pt>
                <c:pt idx="10">
                  <c:v>1449.048</c:v>
                </c:pt>
                <c:pt idx="11">
                  <c:v>1465.393</c:v>
                </c:pt>
                <c:pt idx="12">
                  <c:v>1503.2280000000001</c:v>
                </c:pt>
                <c:pt idx="13">
                  <c:v>1549.58</c:v>
                </c:pt>
                <c:pt idx="14">
                  <c:v>1589.028</c:v>
                </c:pt>
                <c:pt idx="15">
                  <c:v>1623.1089999999999</c:v>
                </c:pt>
                <c:pt idx="16">
                  <c:v>1663.204</c:v>
                </c:pt>
                <c:pt idx="17">
                  <c:v>1697.7809999999999</c:v>
                </c:pt>
                <c:pt idx="18">
                  <c:v>1722.097</c:v>
                </c:pt>
                <c:pt idx="19">
                  <c:v>1741.693</c:v>
                </c:pt>
                <c:pt idx="20">
                  <c:v>1755.491</c:v>
                </c:pt>
                <c:pt idx="21">
                  <c:v>1780.3589999999999</c:v>
                </c:pt>
                <c:pt idx="22">
                  <c:v>1807.566</c:v>
                </c:pt>
                <c:pt idx="23">
                  <c:v>1827.586</c:v>
                </c:pt>
                <c:pt idx="24">
                  <c:v>1843.2349999999999</c:v>
                </c:pt>
                <c:pt idx="25">
                  <c:v>1853.6279999999999</c:v>
                </c:pt>
                <c:pt idx="26">
                  <c:v>1879.173</c:v>
                </c:pt>
                <c:pt idx="27">
                  <c:v>1914.501</c:v>
                </c:pt>
                <c:pt idx="28">
                  <c:v>1946.5550000000001</c:v>
                </c:pt>
                <c:pt idx="29">
                  <c:v>1971.018</c:v>
                </c:pt>
                <c:pt idx="30">
                  <c:v>1984.577</c:v>
                </c:pt>
                <c:pt idx="31">
                  <c:v>2004.877</c:v>
                </c:pt>
                <c:pt idx="32">
                  <c:v>2045.739</c:v>
                </c:pt>
                <c:pt idx="33">
                  <c:v>2090.7060000000001</c:v>
                </c:pt>
                <c:pt idx="34">
                  <c:v>2127.1729999999998</c:v>
                </c:pt>
                <c:pt idx="35">
                  <c:v>2158.0309999999999</c:v>
                </c:pt>
                <c:pt idx="36">
                  <c:v>2172.6370000000002</c:v>
                </c:pt>
                <c:pt idx="37">
                  <c:v>2173.4899999999998</c:v>
                </c:pt>
                <c:pt idx="38">
                  <c:v>2161.9290000000001</c:v>
                </c:pt>
                <c:pt idx="39">
                  <c:v>2152.2240000000002</c:v>
                </c:pt>
                <c:pt idx="40">
                  <c:v>2145.1179999999999</c:v>
                </c:pt>
                <c:pt idx="41">
                  <c:v>2119.5120000000002</c:v>
                </c:pt>
                <c:pt idx="42">
                  <c:v>2083.1610000000001</c:v>
                </c:pt>
                <c:pt idx="43">
                  <c:v>2041.4780000000001</c:v>
                </c:pt>
                <c:pt idx="44">
                  <c:v>2007.53</c:v>
                </c:pt>
                <c:pt idx="45">
                  <c:v>1979.0029999999999</c:v>
                </c:pt>
                <c:pt idx="46">
                  <c:v>1962.298</c:v>
                </c:pt>
                <c:pt idx="47">
                  <c:v>1977.0070000000001</c:v>
                </c:pt>
                <c:pt idx="48">
                  <c:v>2013.048</c:v>
                </c:pt>
                <c:pt idx="49">
                  <c:v>2055.047</c:v>
                </c:pt>
                <c:pt idx="50">
                  <c:v>2105.5390000000002</c:v>
                </c:pt>
                <c:pt idx="51">
                  <c:v>2158.6860000000001</c:v>
                </c:pt>
                <c:pt idx="52">
                  <c:v>2213.6669999999999</c:v>
                </c:pt>
                <c:pt idx="53">
                  <c:v>2274.3069999999998</c:v>
                </c:pt>
                <c:pt idx="54">
                  <c:v>2342.83</c:v>
                </c:pt>
                <c:pt idx="55">
                  <c:v>2413.663</c:v>
                </c:pt>
                <c:pt idx="56">
                  <c:v>2510.5079999999998</c:v>
                </c:pt>
                <c:pt idx="57">
                  <c:v>2658.5329999999999</c:v>
                </c:pt>
                <c:pt idx="58">
                  <c:v>2836.239</c:v>
                </c:pt>
                <c:pt idx="59">
                  <c:v>3011.145</c:v>
                </c:pt>
                <c:pt idx="60">
                  <c:v>3189.3449999999998</c:v>
                </c:pt>
                <c:pt idx="61">
                  <c:v>3329.3</c:v>
                </c:pt>
                <c:pt idx="62">
                  <c:v>3432.183</c:v>
                </c:pt>
                <c:pt idx="63">
                  <c:v>3510.855</c:v>
                </c:pt>
                <c:pt idx="64">
                  <c:v>3590.8389999999999</c:v>
                </c:pt>
                <c:pt idx="65">
                  <c:v>3664.0120000000002</c:v>
                </c:pt>
                <c:pt idx="66">
                  <c:v>3737.5070000000001</c:v>
                </c:pt>
                <c:pt idx="67">
                  <c:v>3823.9169999999999</c:v>
                </c:pt>
                <c:pt idx="68">
                  <c:v>3914.2890000000002</c:v>
                </c:pt>
                <c:pt idx="69">
                  <c:v>3993.65</c:v>
                </c:pt>
                <c:pt idx="70">
                  <c:v>4065.9830000000002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C9DC-4B80-AD62-48021C2BB957}"/>
            </c:ext>
          </c:extLst>
        </c:ser>
        <c:ser>
          <c:idx val="64"/>
          <c:order val="64"/>
          <c:tx>
            <c:strRef>
              <c:f>Sheet1!$BN$1</c:f>
              <c:strCache>
                <c:ptCount val="1"/>
                <c:pt idx="0">
                  <c:v>64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Sheet1!$BN$2:$BN$72</c:f>
              <c:numCache>
                <c:formatCode>0.000</c:formatCode>
                <c:ptCount val="71"/>
                <c:pt idx="0">
                  <c:v>1255.8920000000001</c:v>
                </c:pt>
                <c:pt idx="1">
                  <c:v>1261.703</c:v>
                </c:pt>
                <c:pt idx="2">
                  <c:v>1277.9870000000001</c:v>
                </c:pt>
                <c:pt idx="3">
                  <c:v>1301.249</c:v>
                </c:pt>
                <c:pt idx="4">
                  <c:v>1328.325</c:v>
                </c:pt>
                <c:pt idx="5">
                  <c:v>1361.117</c:v>
                </c:pt>
                <c:pt idx="6">
                  <c:v>1379.057</c:v>
                </c:pt>
                <c:pt idx="7">
                  <c:v>1392.835</c:v>
                </c:pt>
                <c:pt idx="8">
                  <c:v>1398.2190000000001</c:v>
                </c:pt>
                <c:pt idx="9">
                  <c:v>1401.68</c:v>
                </c:pt>
                <c:pt idx="10">
                  <c:v>1412.722</c:v>
                </c:pt>
                <c:pt idx="11">
                  <c:v>1414.248</c:v>
                </c:pt>
                <c:pt idx="12">
                  <c:v>1432.6120000000001</c:v>
                </c:pt>
                <c:pt idx="13">
                  <c:v>1469.924</c:v>
                </c:pt>
                <c:pt idx="14">
                  <c:v>1513.855</c:v>
                </c:pt>
                <c:pt idx="15">
                  <c:v>1550.778</c:v>
                </c:pt>
                <c:pt idx="16">
                  <c:v>1590.431</c:v>
                </c:pt>
                <c:pt idx="17">
                  <c:v>1631.3710000000001</c:v>
                </c:pt>
                <c:pt idx="18">
                  <c:v>1664.3420000000001</c:v>
                </c:pt>
                <c:pt idx="19">
                  <c:v>1685.9780000000001</c:v>
                </c:pt>
                <c:pt idx="20">
                  <c:v>1703.64</c:v>
                </c:pt>
                <c:pt idx="21">
                  <c:v>1723.155</c:v>
                </c:pt>
                <c:pt idx="22">
                  <c:v>1752.069</c:v>
                </c:pt>
                <c:pt idx="23">
                  <c:v>1779.4870000000001</c:v>
                </c:pt>
                <c:pt idx="24">
                  <c:v>1797.588</c:v>
                </c:pt>
                <c:pt idx="25">
                  <c:v>1812.1289999999999</c:v>
                </c:pt>
                <c:pt idx="26">
                  <c:v>1828.8119999999999</c:v>
                </c:pt>
                <c:pt idx="27">
                  <c:v>1861.0730000000001</c:v>
                </c:pt>
                <c:pt idx="28">
                  <c:v>1897.566</c:v>
                </c:pt>
                <c:pt idx="29">
                  <c:v>1926.7239999999999</c:v>
                </c:pt>
                <c:pt idx="30">
                  <c:v>1948.4390000000001</c:v>
                </c:pt>
                <c:pt idx="31">
                  <c:v>1953.607</c:v>
                </c:pt>
                <c:pt idx="32">
                  <c:v>1978.171</c:v>
                </c:pt>
                <c:pt idx="33">
                  <c:v>2019.5050000000001</c:v>
                </c:pt>
                <c:pt idx="34">
                  <c:v>2062.7579999999998</c:v>
                </c:pt>
                <c:pt idx="35">
                  <c:v>2098.0189999999998</c:v>
                </c:pt>
                <c:pt idx="36">
                  <c:v>2122.1619999999998</c:v>
                </c:pt>
                <c:pt idx="37">
                  <c:v>2140.6170000000002</c:v>
                </c:pt>
                <c:pt idx="38">
                  <c:v>2143.69</c:v>
                </c:pt>
                <c:pt idx="39">
                  <c:v>2133.2649999999999</c:v>
                </c:pt>
                <c:pt idx="40">
                  <c:v>2124.94</c:v>
                </c:pt>
                <c:pt idx="41">
                  <c:v>2108.5</c:v>
                </c:pt>
                <c:pt idx="42">
                  <c:v>2087.42</c:v>
                </c:pt>
                <c:pt idx="43">
                  <c:v>2054.8240000000001</c:v>
                </c:pt>
                <c:pt idx="44">
                  <c:v>2016.6890000000001</c:v>
                </c:pt>
                <c:pt idx="45">
                  <c:v>1986.6769999999999</c:v>
                </c:pt>
                <c:pt idx="46">
                  <c:v>1951.6579999999999</c:v>
                </c:pt>
                <c:pt idx="47">
                  <c:v>1941.338</c:v>
                </c:pt>
                <c:pt idx="48">
                  <c:v>1959.5709999999999</c:v>
                </c:pt>
                <c:pt idx="49">
                  <c:v>1996.152</c:v>
                </c:pt>
                <c:pt idx="50">
                  <c:v>2037.6020000000001</c:v>
                </c:pt>
                <c:pt idx="51">
                  <c:v>2084.2739999999999</c:v>
                </c:pt>
                <c:pt idx="52">
                  <c:v>2135.7379999999998</c:v>
                </c:pt>
                <c:pt idx="53">
                  <c:v>2190.1660000000002</c:v>
                </c:pt>
                <c:pt idx="54">
                  <c:v>2252.1770000000001</c:v>
                </c:pt>
                <c:pt idx="55">
                  <c:v>2323.0920000000001</c:v>
                </c:pt>
                <c:pt idx="56">
                  <c:v>2385.5120000000002</c:v>
                </c:pt>
                <c:pt idx="57">
                  <c:v>2486.5970000000002</c:v>
                </c:pt>
                <c:pt idx="58">
                  <c:v>2636.7159999999999</c:v>
                </c:pt>
                <c:pt idx="59">
                  <c:v>2814.1970000000001</c:v>
                </c:pt>
                <c:pt idx="60">
                  <c:v>2987.9659999999999</c:v>
                </c:pt>
                <c:pt idx="61">
                  <c:v>3150.6759999999999</c:v>
                </c:pt>
                <c:pt idx="62">
                  <c:v>3291.558</c:v>
                </c:pt>
                <c:pt idx="63">
                  <c:v>3395.04</c:v>
                </c:pt>
                <c:pt idx="64">
                  <c:v>3474.0360000000001</c:v>
                </c:pt>
                <c:pt idx="65">
                  <c:v>3554.076</c:v>
                </c:pt>
                <c:pt idx="66">
                  <c:v>3621.1379999999999</c:v>
                </c:pt>
                <c:pt idx="67">
                  <c:v>3694.0140000000001</c:v>
                </c:pt>
                <c:pt idx="68">
                  <c:v>3780.28</c:v>
                </c:pt>
                <c:pt idx="69">
                  <c:v>3871.35</c:v>
                </c:pt>
                <c:pt idx="70">
                  <c:v>3951.86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C9DC-4B80-AD62-48021C2BB957}"/>
            </c:ext>
          </c:extLst>
        </c:ser>
        <c:ser>
          <c:idx val="65"/>
          <c:order val="65"/>
          <c:tx>
            <c:strRef>
              <c:f>Sheet1!$BO$1</c:f>
              <c:strCache>
                <c:ptCount val="1"/>
                <c:pt idx="0">
                  <c:v>65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Sheet1!$BO$2:$BO$72</c:f>
              <c:numCache>
                <c:formatCode>0.000</c:formatCode>
                <c:ptCount val="71"/>
                <c:pt idx="0">
                  <c:v>1212.7650000000001</c:v>
                </c:pt>
                <c:pt idx="1">
                  <c:v>1214.857</c:v>
                </c:pt>
                <c:pt idx="2">
                  <c:v>1228.691</c:v>
                </c:pt>
                <c:pt idx="3">
                  <c:v>1250.538</c:v>
                </c:pt>
                <c:pt idx="4">
                  <c:v>1277.4949999999999</c:v>
                </c:pt>
                <c:pt idx="5">
                  <c:v>1307.3599999999999</c:v>
                </c:pt>
                <c:pt idx="6">
                  <c:v>1320.3309999999999</c:v>
                </c:pt>
                <c:pt idx="7">
                  <c:v>1340.473</c:v>
                </c:pt>
                <c:pt idx="8">
                  <c:v>1357.24</c:v>
                </c:pt>
                <c:pt idx="9">
                  <c:v>1366.0630000000001</c:v>
                </c:pt>
                <c:pt idx="10">
                  <c:v>1372.924</c:v>
                </c:pt>
                <c:pt idx="11">
                  <c:v>1375.3420000000001</c:v>
                </c:pt>
                <c:pt idx="12">
                  <c:v>1380.0719999999999</c:v>
                </c:pt>
                <c:pt idx="13">
                  <c:v>1399.8989999999999</c:v>
                </c:pt>
                <c:pt idx="14">
                  <c:v>1435.9079999999999</c:v>
                </c:pt>
                <c:pt idx="15">
                  <c:v>1477.1089999999999</c:v>
                </c:pt>
                <c:pt idx="16">
                  <c:v>1514.4670000000001</c:v>
                </c:pt>
                <c:pt idx="17">
                  <c:v>1556.6980000000001</c:v>
                </c:pt>
                <c:pt idx="18">
                  <c:v>1598.7629999999999</c:v>
                </c:pt>
                <c:pt idx="19">
                  <c:v>1630.6379999999999</c:v>
                </c:pt>
                <c:pt idx="20">
                  <c:v>1650.008</c:v>
                </c:pt>
                <c:pt idx="21">
                  <c:v>1663.6510000000001</c:v>
                </c:pt>
                <c:pt idx="22">
                  <c:v>1689.9690000000001</c:v>
                </c:pt>
                <c:pt idx="23">
                  <c:v>1723.722</c:v>
                </c:pt>
                <c:pt idx="24">
                  <c:v>1752.078</c:v>
                </c:pt>
                <c:pt idx="25">
                  <c:v>1768.42</c:v>
                </c:pt>
                <c:pt idx="26">
                  <c:v>1778.961</c:v>
                </c:pt>
                <c:pt idx="27">
                  <c:v>1805.2729999999999</c:v>
                </c:pt>
                <c:pt idx="28">
                  <c:v>1843.6880000000001</c:v>
                </c:pt>
                <c:pt idx="29">
                  <c:v>1880.473</c:v>
                </c:pt>
                <c:pt idx="30">
                  <c:v>1906.22</c:v>
                </c:pt>
                <c:pt idx="31">
                  <c:v>1910.7360000000001</c:v>
                </c:pt>
                <c:pt idx="32">
                  <c:v>1922.318</c:v>
                </c:pt>
                <c:pt idx="33">
                  <c:v>1950.972</c:v>
                </c:pt>
                <c:pt idx="34">
                  <c:v>1992.864</c:v>
                </c:pt>
                <c:pt idx="35">
                  <c:v>2034.452</c:v>
                </c:pt>
                <c:pt idx="36">
                  <c:v>2057.375</c:v>
                </c:pt>
                <c:pt idx="37">
                  <c:v>2086.2489999999998</c:v>
                </c:pt>
                <c:pt idx="38">
                  <c:v>2108.4670000000001</c:v>
                </c:pt>
                <c:pt idx="39">
                  <c:v>2113.6860000000001</c:v>
                </c:pt>
                <c:pt idx="40">
                  <c:v>2104.44</c:v>
                </c:pt>
                <c:pt idx="41">
                  <c:v>2083.1999999999998</c:v>
                </c:pt>
                <c:pt idx="42">
                  <c:v>2072.0160000000001</c:v>
                </c:pt>
                <c:pt idx="43">
                  <c:v>2055.9969999999998</c:v>
                </c:pt>
                <c:pt idx="44">
                  <c:v>2027.8720000000001</c:v>
                </c:pt>
                <c:pt idx="45">
                  <c:v>1993.528</c:v>
                </c:pt>
                <c:pt idx="46">
                  <c:v>1954.4349999999999</c:v>
                </c:pt>
                <c:pt idx="47">
                  <c:v>1926.5609999999999</c:v>
                </c:pt>
                <c:pt idx="48">
                  <c:v>1920.99</c:v>
                </c:pt>
                <c:pt idx="49">
                  <c:v>1940.69</c:v>
                </c:pt>
                <c:pt idx="50">
                  <c:v>1976.682</c:v>
                </c:pt>
                <c:pt idx="51">
                  <c:v>2013.7339999999999</c:v>
                </c:pt>
                <c:pt idx="52">
                  <c:v>2059.2570000000001</c:v>
                </c:pt>
                <c:pt idx="53">
                  <c:v>2110.7620000000002</c:v>
                </c:pt>
                <c:pt idx="54">
                  <c:v>2166.931</c:v>
                </c:pt>
                <c:pt idx="55">
                  <c:v>2231.4070000000002</c:v>
                </c:pt>
                <c:pt idx="56">
                  <c:v>2292.04</c:v>
                </c:pt>
                <c:pt idx="57">
                  <c:v>2359.3980000000001</c:v>
                </c:pt>
                <c:pt idx="58">
                  <c:v>2463.683</c:v>
                </c:pt>
                <c:pt idx="59">
                  <c:v>2614.3470000000002</c:v>
                </c:pt>
                <c:pt idx="60">
                  <c:v>2790.7240000000002</c:v>
                </c:pt>
                <c:pt idx="61">
                  <c:v>2948.7130000000002</c:v>
                </c:pt>
                <c:pt idx="62">
                  <c:v>3112.0630000000001</c:v>
                </c:pt>
                <c:pt idx="63">
                  <c:v>3253.1039999999998</c:v>
                </c:pt>
                <c:pt idx="64">
                  <c:v>3356.634</c:v>
                </c:pt>
                <c:pt idx="65">
                  <c:v>3435.761</c:v>
                </c:pt>
                <c:pt idx="66">
                  <c:v>3508.8870000000002</c:v>
                </c:pt>
                <c:pt idx="67">
                  <c:v>3575.59</c:v>
                </c:pt>
                <c:pt idx="68">
                  <c:v>3648.7429999999999</c:v>
                </c:pt>
                <c:pt idx="69">
                  <c:v>3735.9290000000001</c:v>
                </c:pt>
                <c:pt idx="70">
                  <c:v>3828.0320000000002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C9DC-4B80-AD62-48021C2BB957}"/>
            </c:ext>
          </c:extLst>
        </c:ser>
        <c:ser>
          <c:idx val="66"/>
          <c:order val="66"/>
          <c:tx>
            <c:strRef>
              <c:f>Sheet1!$BP$1</c:f>
              <c:strCache>
                <c:ptCount val="1"/>
                <c:pt idx="0">
                  <c:v>66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Sheet1!$BP$2:$BP$72</c:f>
              <c:numCache>
                <c:formatCode>0.000</c:formatCode>
                <c:ptCount val="71"/>
                <c:pt idx="0">
                  <c:v>1170.903</c:v>
                </c:pt>
                <c:pt idx="1">
                  <c:v>1166.9000000000001</c:v>
                </c:pt>
                <c:pt idx="2">
                  <c:v>1176.798</c:v>
                </c:pt>
                <c:pt idx="3">
                  <c:v>1196.519</c:v>
                </c:pt>
                <c:pt idx="4">
                  <c:v>1223.008</c:v>
                </c:pt>
                <c:pt idx="5">
                  <c:v>1253.5229999999999</c:v>
                </c:pt>
                <c:pt idx="6">
                  <c:v>1263.2049999999999</c:v>
                </c:pt>
                <c:pt idx="7">
                  <c:v>1278.3330000000001</c:v>
                </c:pt>
                <c:pt idx="8">
                  <c:v>1301.3879999999999</c:v>
                </c:pt>
                <c:pt idx="9">
                  <c:v>1321.7280000000001</c:v>
                </c:pt>
                <c:pt idx="10">
                  <c:v>1334.1089999999999</c:v>
                </c:pt>
                <c:pt idx="11">
                  <c:v>1333.373</c:v>
                </c:pt>
                <c:pt idx="12">
                  <c:v>1338.567</c:v>
                </c:pt>
                <c:pt idx="13">
                  <c:v>1345.9590000000001</c:v>
                </c:pt>
                <c:pt idx="14">
                  <c:v>1366.5070000000001</c:v>
                </c:pt>
                <c:pt idx="15">
                  <c:v>1400.9259999999999</c:v>
                </c:pt>
                <c:pt idx="16">
                  <c:v>1437.6120000000001</c:v>
                </c:pt>
                <c:pt idx="17">
                  <c:v>1477.1469999999999</c:v>
                </c:pt>
                <c:pt idx="18">
                  <c:v>1522.2280000000001</c:v>
                </c:pt>
                <c:pt idx="19">
                  <c:v>1565.903</c:v>
                </c:pt>
                <c:pt idx="20">
                  <c:v>1597.078</c:v>
                </c:pt>
                <c:pt idx="21">
                  <c:v>1602.9849999999999</c:v>
                </c:pt>
                <c:pt idx="22">
                  <c:v>1622.845</c:v>
                </c:pt>
                <c:pt idx="23">
                  <c:v>1656.7339999999999</c:v>
                </c:pt>
                <c:pt idx="24">
                  <c:v>1696.0229999999999</c:v>
                </c:pt>
                <c:pt idx="25">
                  <c:v>1725.481</c:v>
                </c:pt>
                <c:pt idx="26">
                  <c:v>1727.307</c:v>
                </c:pt>
                <c:pt idx="27">
                  <c:v>1747.0450000000001</c:v>
                </c:pt>
                <c:pt idx="28">
                  <c:v>1782.4280000000001</c:v>
                </c:pt>
                <c:pt idx="29">
                  <c:v>1826.1489999999999</c:v>
                </c:pt>
                <c:pt idx="30">
                  <c:v>1862.7239999999999</c:v>
                </c:pt>
                <c:pt idx="31">
                  <c:v>1862.19</c:v>
                </c:pt>
                <c:pt idx="32">
                  <c:v>1872.7139999999999</c:v>
                </c:pt>
                <c:pt idx="33">
                  <c:v>1890.546</c:v>
                </c:pt>
                <c:pt idx="34">
                  <c:v>1923.3789999999999</c:v>
                </c:pt>
                <c:pt idx="35">
                  <c:v>1965.8779999999999</c:v>
                </c:pt>
                <c:pt idx="36">
                  <c:v>1989.183</c:v>
                </c:pt>
                <c:pt idx="37">
                  <c:v>2016.6890000000001</c:v>
                </c:pt>
                <c:pt idx="38">
                  <c:v>2050.21</c:v>
                </c:pt>
                <c:pt idx="39">
                  <c:v>2076.116</c:v>
                </c:pt>
                <c:pt idx="40">
                  <c:v>2083.5169999999998</c:v>
                </c:pt>
                <c:pt idx="41">
                  <c:v>2057.607</c:v>
                </c:pt>
                <c:pt idx="42">
                  <c:v>2041.596</c:v>
                </c:pt>
                <c:pt idx="43">
                  <c:v>2036.1969999999999</c:v>
                </c:pt>
                <c:pt idx="44">
                  <c:v>2025.9590000000001</c:v>
                </c:pt>
                <c:pt idx="45">
                  <c:v>2002.5550000000001</c:v>
                </c:pt>
                <c:pt idx="46">
                  <c:v>1956.3869999999999</c:v>
                </c:pt>
                <c:pt idx="47">
                  <c:v>1924.444</c:v>
                </c:pt>
                <c:pt idx="48">
                  <c:v>1902.0640000000001</c:v>
                </c:pt>
                <c:pt idx="49">
                  <c:v>1899.22</c:v>
                </c:pt>
                <c:pt idx="50">
                  <c:v>1919.31</c:v>
                </c:pt>
                <c:pt idx="51">
                  <c:v>1950.07</c:v>
                </c:pt>
                <c:pt idx="52">
                  <c:v>1986.2360000000001</c:v>
                </c:pt>
                <c:pt idx="53">
                  <c:v>2032.2860000000001</c:v>
                </c:pt>
                <c:pt idx="54">
                  <c:v>2086.0439999999999</c:v>
                </c:pt>
                <c:pt idx="55">
                  <c:v>2145.0059999999999</c:v>
                </c:pt>
                <c:pt idx="56">
                  <c:v>2197.511</c:v>
                </c:pt>
                <c:pt idx="57">
                  <c:v>2262.9470000000001</c:v>
                </c:pt>
                <c:pt idx="58">
                  <c:v>2334.2260000000001</c:v>
                </c:pt>
                <c:pt idx="59">
                  <c:v>2440.2489999999998</c:v>
                </c:pt>
                <c:pt idx="60">
                  <c:v>2590.6480000000001</c:v>
                </c:pt>
                <c:pt idx="61">
                  <c:v>2750.8229999999999</c:v>
                </c:pt>
                <c:pt idx="62">
                  <c:v>2909.51</c:v>
                </c:pt>
                <c:pt idx="63">
                  <c:v>3072.7759999999998</c:v>
                </c:pt>
                <c:pt idx="64">
                  <c:v>3213.44</c:v>
                </c:pt>
                <c:pt idx="65">
                  <c:v>3316.8249999999998</c:v>
                </c:pt>
                <c:pt idx="66">
                  <c:v>3388.35</c:v>
                </c:pt>
                <c:pt idx="67">
                  <c:v>3461.1030000000001</c:v>
                </c:pt>
                <c:pt idx="68">
                  <c:v>3528.3220000000001</c:v>
                </c:pt>
                <c:pt idx="69">
                  <c:v>3602.7860000000001</c:v>
                </c:pt>
                <c:pt idx="70">
                  <c:v>3691.2150000000001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C9DC-4B80-AD62-48021C2BB957}"/>
            </c:ext>
          </c:extLst>
        </c:ser>
        <c:ser>
          <c:idx val="67"/>
          <c:order val="67"/>
          <c:tx>
            <c:strRef>
              <c:f>Sheet1!$BQ$1</c:f>
              <c:strCache>
                <c:ptCount val="1"/>
                <c:pt idx="0">
                  <c:v>67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Sheet1!$BQ$2:$BQ$72</c:f>
              <c:numCache>
                <c:formatCode>0.000</c:formatCode>
                <c:ptCount val="71"/>
                <c:pt idx="0">
                  <c:v>1114.9490000000001</c:v>
                </c:pt>
                <c:pt idx="1">
                  <c:v>1119.874</c:v>
                </c:pt>
                <c:pt idx="2">
                  <c:v>1123.904</c:v>
                </c:pt>
                <c:pt idx="3">
                  <c:v>1139.537</c:v>
                </c:pt>
                <c:pt idx="4">
                  <c:v>1164.26</c:v>
                </c:pt>
                <c:pt idx="5">
                  <c:v>1195.2619999999999</c:v>
                </c:pt>
                <c:pt idx="6">
                  <c:v>1205.837</c:v>
                </c:pt>
                <c:pt idx="7">
                  <c:v>1217.885</c:v>
                </c:pt>
                <c:pt idx="8">
                  <c:v>1235.857</c:v>
                </c:pt>
                <c:pt idx="9">
                  <c:v>1262.384</c:v>
                </c:pt>
                <c:pt idx="10">
                  <c:v>1286.4159999999999</c:v>
                </c:pt>
                <c:pt idx="11">
                  <c:v>1292.366</c:v>
                </c:pt>
                <c:pt idx="12">
                  <c:v>1294.4069999999999</c:v>
                </c:pt>
                <c:pt idx="13">
                  <c:v>1301.8510000000001</c:v>
                </c:pt>
                <c:pt idx="14">
                  <c:v>1311.193</c:v>
                </c:pt>
                <c:pt idx="15">
                  <c:v>1332.2</c:v>
                </c:pt>
                <c:pt idx="16">
                  <c:v>1358.26</c:v>
                </c:pt>
                <c:pt idx="17">
                  <c:v>1397.154</c:v>
                </c:pt>
                <c:pt idx="18">
                  <c:v>1439.1289999999999</c:v>
                </c:pt>
                <c:pt idx="19">
                  <c:v>1487.519</c:v>
                </c:pt>
                <c:pt idx="20">
                  <c:v>1533.18</c:v>
                </c:pt>
                <c:pt idx="21">
                  <c:v>1542.61</c:v>
                </c:pt>
                <c:pt idx="22">
                  <c:v>1555.175</c:v>
                </c:pt>
                <c:pt idx="23">
                  <c:v>1581.9939999999999</c:v>
                </c:pt>
                <c:pt idx="24">
                  <c:v>1624.123</c:v>
                </c:pt>
                <c:pt idx="25">
                  <c:v>1669.1120000000001</c:v>
                </c:pt>
                <c:pt idx="26">
                  <c:v>1675.4939999999999</c:v>
                </c:pt>
                <c:pt idx="27">
                  <c:v>1687.42</c:v>
                </c:pt>
                <c:pt idx="28">
                  <c:v>1715.797</c:v>
                </c:pt>
                <c:pt idx="29">
                  <c:v>1759.425</c:v>
                </c:pt>
                <c:pt idx="30">
                  <c:v>1807.97</c:v>
                </c:pt>
                <c:pt idx="31">
                  <c:v>1811.9690000000001</c:v>
                </c:pt>
                <c:pt idx="32">
                  <c:v>1817.8440000000001</c:v>
                </c:pt>
                <c:pt idx="33">
                  <c:v>1834.22</c:v>
                </c:pt>
                <c:pt idx="34">
                  <c:v>1858.394</c:v>
                </c:pt>
                <c:pt idx="35">
                  <c:v>1895.4559999999999</c:v>
                </c:pt>
                <c:pt idx="36">
                  <c:v>1915.739</c:v>
                </c:pt>
                <c:pt idx="37">
                  <c:v>1943.876</c:v>
                </c:pt>
                <c:pt idx="38">
                  <c:v>1975.8820000000001</c:v>
                </c:pt>
                <c:pt idx="39">
                  <c:v>2013.9749999999999</c:v>
                </c:pt>
                <c:pt idx="40">
                  <c:v>2043.6</c:v>
                </c:pt>
                <c:pt idx="41">
                  <c:v>2031.212</c:v>
                </c:pt>
                <c:pt idx="42">
                  <c:v>2010.912</c:v>
                </c:pt>
                <c:pt idx="43">
                  <c:v>2000.65</c:v>
                </c:pt>
                <c:pt idx="44">
                  <c:v>2001.748</c:v>
                </c:pt>
                <c:pt idx="45">
                  <c:v>1997.548</c:v>
                </c:pt>
                <c:pt idx="46">
                  <c:v>1960.271</c:v>
                </c:pt>
                <c:pt idx="47">
                  <c:v>1921.499</c:v>
                </c:pt>
                <c:pt idx="48">
                  <c:v>1895.046</c:v>
                </c:pt>
                <c:pt idx="49">
                  <c:v>1876.1569999999999</c:v>
                </c:pt>
                <c:pt idx="50">
                  <c:v>1875.01</c:v>
                </c:pt>
                <c:pt idx="51">
                  <c:v>1889.7670000000001</c:v>
                </c:pt>
                <c:pt idx="52">
                  <c:v>1919.9369999999999</c:v>
                </c:pt>
                <c:pt idx="53">
                  <c:v>1956.857</c:v>
                </c:pt>
                <c:pt idx="54">
                  <c:v>2005.57</c:v>
                </c:pt>
                <c:pt idx="55">
                  <c:v>2062.5909999999999</c:v>
                </c:pt>
                <c:pt idx="56">
                  <c:v>2108.1460000000002</c:v>
                </c:pt>
                <c:pt idx="57">
                  <c:v>2165.4969999999998</c:v>
                </c:pt>
                <c:pt idx="58">
                  <c:v>2234.7570000000001</c:v>
                </c:pt>
                <c:pt idx="59">
                  <c:v>2308.56</c:v>
                </c:pt>
                <c:pt idx="60">
                  <c:v>2415.5720000000001</c:v>
                </c:pt>
                <c:pt idx="61">
                  <c:v>2550.1039999999998</c:v>
                </c:pt>
                <c:pt idx="62">
                  <c:v>2710.9630000000002</c:v>
                </c:pt>
                <c:pt idx="63">
                  <c:v>2869.6729999999998</c:v>
                </c:pt>
                <c:pt idx="64">
                  <c:v>3032.3440000000001</c:v>
                </c:pt>
                <c:pt idx="65">
                  <c:v>3172.4349999999999</c:v>
                </c:pt>
                <c:pt idx="66">
                  <c:v>3267.1610000000001</c:v>
                </c:pt>
                <c:pt idx="67">
                  <c:v>3338.431</c:v>
                </c:pt>
                <c:pt idx="68">
                  <c:v>3411.6550000000002</c:v>
                </c:pt>
                <c:pt idx="69">
                  <c:v>3480.3919999999998</c:v>
                </c:pt>
                <c:pt idx="70">
                  <c:v>3556.482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C9DC-4B80-AD62-48021C2BB957}"/>
            </c:ext>
          </c:extLst>
        </c:ser>
        <c:ser>
          <c:idx val="68"/>
          <c:order val="68"/>
          <c:tx>
            <c:strRef>
              <c:f>Sheet1!$BR$1</c:f>
              <c:strCache>
                <c:ptCount val="1"/>
                <c:pt idx="0">
                  <c:v>68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Sheet1!$BR$2:$BR$72</c:f>
              <c:numCache>
                <c:formatCode>0.000</c:formatCode>
                <c:ptCount val="71"/>
                <c:pt idx="0">
                  <c:v>1038.1590000000001</c:v>
                </c:pt>
                <c:pt idx="1">
                  <c:v>1061.4079999999999</c:v>
                </c:pt>
                <c:pt idx="2">
                  <c:v>1071.6079999999999</c:v>
                </c:pt>
                <c:pt idx="3">
                  <c:v>1081.664</c:v>
                </c:pt>
                <c:pt idx="4">
                  <c:v>1102.181</c:v>
                </c:pt>
                <c:pt idx="5">
                  <c:v>1131.787</c:v>
                </c:pt>
                <c:pt idx="6">
                  <c:v>1145.8230000000001</c:v>
                </c:pt>
                <c:pt idx="7">
                  <c:v>1157.0340000000001</c:v>
                </c:pt>
                <c:pt idx="8">
                  <c:v>1172.1130000000001</c:v>
                </c:pt>
                <c:pt idx="9">
                  <c:v>1193.462</c:v>
                </c:pt>
                <c:pt idx="10">
                  <c:v>1223.5740000000001</c:v>
                </c:pt>
                <c:pt idx="11">
                  <c:v>1243.2070000000001</c:v>
                </c:pt>
                <c:pt idx="12">
                  <c:v>1251.1880000000001</c:v>
                </c:pt>
                <c:pt idx="13">
                  <c:v>1255.4939999999999</c:v>
                </c:pt>
                <c:pt idx="14">
                  <c:v>1264.501</c:v>
                </c:pt>
                <c:pt idx="15">
                  <c:v>1275.5509999999999</c:v>
                </c:pt>
                <c:pt idx="16">
                  <c:v>1286.9269999999999</c:v>
                </c:pt>
                <c:pt idx="17">
                  <c:v>1314.682</c:v>
                </c:pt>
                <c:pt idx="18">
                  <c:v>1356.037</c:v>
                </c:pt>
                <c:pt idx="19">
                  <c:v>1400.89</c:v>
                </c:pt>
                <c:pt idx="20">
                  <c:v>1452.94</c:v>
                </c:pt>
                <c:pt idx="21">
                  <c:v>1474.2619999999999</c:v>
                </c:pt>
                <c:pt idx="22">
                  <c:v>1487.384</c:v>
                </c:pt>
                <c:pt idx="23">
                  <c:v>1507.328</c:v>
                </c:pt>
                <c:pt idx="24">
                  <c:v>1541.7439999999999</c:v>
                </c:pt>
                <c:pt idx="25">
                  <c:v>1592.2650000000001</c:v>
                </c:pt>
                <c:pt idx="26">
                  <c:v>1614.3920000000001</c:v>
                </c:pt>
                <c:pt idx="27">
                  <c:v>1626.704</c:v>
                </c:pt>
                <c:pt idx="28">
                  <c:v>1648.175</c:v>
                </c:pt>
                <c:pt idx="29">
                  <c:v>1684.3879999999999</c:v>
                </c:pt>
                <c:pt idx="30">
                  <c:v>1735.799</c:v>
                </c:pt>
                <c:pt idx="31">
                  <c:v>1752.7619999999999</c:v>
                </c:pt>
                <c:pt idx="32">
                  <c:v>1760.8989999999999</c:v>
                </c:pt>
                <c:pt idx="33">
                  <c:v>1773.0350000000001</c:v>
                </c:pt>
                <c:pt idx="34">
                  <c:v>1795.3579999999999</c:v>
                </c:pt>
                <c:pt idx="35">
                  <c:v>1825.93</c:v>
                </c:pt>
                <c:pt idx="36">
                  <c:v>1841.865</c:v>
                </c:pt>
                <c:pt idx="37">
                  <c:v>1865.5650000000001</c:v>
                </c:pt>
                <c:pt idx="38">
                  <c:v>1898.453</c:v>
                </c:pt>
                <c:pt idx="39">
                  <c:v>1934.883</c:v>
                </c:pt>
                <c:pt idx="40">
                  <c:v>1977.577</c:v>
                </c:pt>
                <c:pt idx="41">
                  <c:v>1987.462</c:v>
                </c:pt>
                <c:pt idx="42">
                  <c:v>1979.048</c:v>
                </c:pt>
                <c:pt idx="43">
                  <c:v>1964.867</c:v>
                </c:pt>
                <c:pt idx="44">
                  <c:v>1961.049</c:v>
                </c:pt>
                <c:pt idx="45">
                  <c:v>1968.8989999999999</c:v>
                </c:pt>
                <c:pt idx="46">
                  <c:v>1951.009</c:v>
                </c:pt>
                <c:pt idx="47">
                  <c:v>1920.2439999999999</c:v>
                </c:pt>
                <c:pt idx="48">
                  <c:v>1887.1969999999999</c:v>
                </c:pt>
                <c:pt idx="49">
                  <c:v>1864.2370000000001</c:v>
                </c:pt>
                <c:pt idx="50">
                  <c:v>1847.8409999999999</c:v>
                </c:pt>
                <c:pt idx="51">
                  <c:v>1842.298</c:v>
                </c:pt>
                <c:pt idx="52">
                  <c:v>1856.8050000000001</c:v>
                </c:pt>
                <c:pt idx="53">
                  <c:v>1887.989</c:v>
                </c:pt>
                <c:pt idx="54">
                  <c:v>1927.729</c:v>
                </c:pt>
                <c:pt idx="55">
                  <c:v>1980.0730000000001</c:v>
                </c:pt>
                <c:pt idx="56">
                  <c:v>2022.915</c:v>
                </c:pt>
                <c:pt idx="57">
                  <c:v>2073.0929999999998</c:v>
                </c:pt>
                <c:pt idx="58">
                  <c:v>2134.3420000000001</c:v>
                </c:pt>
                <c:pt idx="59">
                  <c:v>2206.09</c:v>
                </c:pt>
                <c:pt idx="60">
                  <c:v>2281.7159999999999</c:v>
                </c:pt>
                <c:pt idx="61">
                  <c:v>2374.1419999999998</c:v>
                </c:pt>
                <c:pt idx="62">
                  <c:v>2509.5970000000002</c:v>
                </c:pt>
                <c:pt idx="63">
                  <c:v>2670.511</c:v>
                </c:pt>
                <c:pt idx="64">
                  <c:v>2828.768</c:v>
                </c:pt>
                <c:pt idx="65">
                  <c:v>2990.652</c:v>
                </c:pt>
                <c:pt idx="66">
                  <c:v>3120.951</c:v>
                </c:pt>
                <c:pt idx="67">
                  <c:v>3215.0740000000001</c:v>
                </c:pt>
                <c:pt idx="68">
                  <c:v>3286.9059999999999</c:v>
                </c:pt>
                <c:pt idx="69">
                  <c:v>3361.57</c:v>
                </c:pt>
                <c:pt idx="70">
                  <c:v>3432.1309999999999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C9DC-4B80-AD62-48021C2BB957}"/>
            </c:ext>
          </c:extLst>
        </c:ser>
        <c:ser>
          <c:idx val="69"/>
          <c:order val="69"/>
          <c:tx>
            <c:strRef>
              <c:f>Sheet1!$BS$1</c:f>
              <c:strCache>
                <c:ptCount val="1"/>
                <c:pt idx="0">
                  <c:v>69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Sheet1!$BS$2:$BS$72</c:f>
              <c:numCache>
                <c:formatCode>0.000</c:formatCode>
                <c:ptCount val="71"/>
                <c:pt idx="0">
                  <c:v>948.66899999999998</c:v>
                </c:pt>
                <c:pt idx="1">
                  <c:v>986.18700000000001</c:v>
                </c:pt>
                <c:pt idx="2">
                  <c:v>1010.497</c:v>
                </c:pt>
                <c:pt idx="3">
                  <c:v>1024.0550000000001</c:v>
                </c:pt>
                <c:pt idx="4">
                  <c:v>1039.3209999999999</c:v>
                </c:pt>
                <c:pt idx="5">
                  <c:v>1064.6130000000001</c:v>
                </c:pt>
                <c:pt idx="6">
                  <c:v>1083.2570000000001</c:v>
                </c:pt>
                <c:pt idx="7">
                  <c:v>1095.319</c:v>
                </c:pt>
                <c:pt idx="8">
                  <c:v>1107.8040000000001</c:v>
                </c:pt>
                <c:pt idx="9">
                  <c:v>1126.422</c:v>
                </c:pt>
                <c:pt idx="10">
                  <c:v>1151.2529999999999</c:v>
                </c:pt>
                <c:pt idx="11">
                  <c:v>1180.1289999999999</c:v>
                </c:pt>
                <c:pt idx="12">
                  <c:v>1200.5409999999999</c:v>
                </c:pt>
                <c:pt idx="13">
                  <c:v>1210.058</c:v>
                </c:pt>
                <c:pt idx="14">
                  <c:v>1215.9680000000001</c:v>
                </c:pt>
                <c:pt idx="15">
                  <c:v>1226.31</c:v>
                </c:pt>
                <c:pt idx="16">
                  <c:v>1228.7190000000001</c:v>
                </c:pt>
                <c:pt idx="17">
                  <c:v>1240.787</c:v>
                </c:pt>
                <c:pt idx="18">
                  <c:v>1270.4860000000001</c:v>
                </c:pt>
                <c:pt idx="19">
                  <c:v>1314.7139999999999</c:v>
                </c:pt>
                <c:pt idx="20">
                  <c:v>1362.7750000000001</c:v>
                </c:pt>
                <c:pt idx="21">
                  <c:v>1394.4870000000001</c:v>
                </c:pt>
                <c:pt idx="22">
                  <c:v>1414.62</c:v>
                </c:pt>
                <c:pt idx="23">
                  <c:v>1432.13</c:v>
                </c:pt>
                <c:pt idx="24">
                  <c:v>1460.0550000000001</c:v>
                </c:pt>
                <c:pt idx="25">
                  <c:v>1502.2049999999999</c:v>
                </c:pt>
                <c:pt idx="26">
                  <c:v>1539.604</c:v>
                </c:pt>
                <c:pt idx="27">
                  <c:v>1560.835</c:v>
                </c:pt>
                <c:pt idx="28">
                  <c:v>1578.5319999999999</c:v>
                </c:pt>
                <c:pt idx="29">
                  <c:v>1608.7650000000001</c:v>
                </c:pt>
                <c:pt idx="30">
                  <c:v>1652.3710000000001</c:v>
                </c:pt>
                <c:pt idx="31">
                  <c:v>1679.9059999999999</c:v>
                </c:pt>
                <c:pt idx="32">
                  <c:v>1697.2439999999999</c:v>
                </c:pt>
                <c:pt idx="33">
                  <c:v>1709.3789999999999</c:v>
                </c:pt>
                <c:pt idx="34">
                  <c:v>1727.873</c:v>
                </c:pt>
                <c:pt idx="35">
                  <c:v>1756.1990000000001</c:v>
                </c:pt>
                <c:pt idx="36">
                  <c:v>1771.1769999999999</c:v>
                </c:pt>
                <c:pt idx="37">
                  <c:v>1788.2429999999999</c:v>
                </c:pt>
                <c:pt idx="38">
                  <c:v>1815.279</c:v>
                </c:pt>
                <c:pt idx="39">
                  <c:v>1852.845</c:v>
                </c:pt>
                <c:pt idx="40">
                  <c:v>1893.7270000000001</c:v>
                </c:pt>
                <c:pt idx="41">
                  <c:v>1920.2439999999999</c:v>
                </c:pt>
                <c:pt idx="42">
                  <c:v>1931.4639999999999</c:v>
                </c:pt>
                <c:pt idx="43">
                  <c:v>1927.5260000000001</c:v>
                </c:pt>
                <c:pt idx="44">
                  <c:v>1920.143</c:v>
                </c:pt>
                <c:pt idx="45">
                  <c:v>1923.008</c:v>
                </c:pt>
                <c:pt idx="46">
                  <c:v>1919.61</c:v>
                </c:pt>
                <c:pt idx="47">
                  <c:v>1906.7180000000001</c:v>
                </c:pt>
                <c:pt idx="48">
                  <c:v>1880.7929999999999</c:v>
                </c:pt>
                <c:pt idx="49">
                  <c:v>1851.4829999999999</c:v>
                </c:pt>
                <c:pt idx="50">
                  <c:v>1831.039</c:v>
                </c:pt>
                <c:pt idx="51">
                  <c:v>1811.731</c:v>
                </c:pt>
                <c:pt idx="52">
                  <c:v>1806.249</c:v>
                </c:pt>
                <c:pt idx="53">
                  <c:v>1822.0920000000001</c:v>
                </c:pt>
                <c:pt idx="54">
                  <c:v>1856.2909999999999</c:v>
                </c:pt>
                <c:pt idx="55">
                  <c:v>1899.7760000000001</c:v>
                </c:pt>
                <c:pt idx="56">
                  <c:v>1937.9469999999999</c:v>
                </c:pt>
                <c:pt idx="57">
                  <c:v>1984.9749999999999</c:v>
                </c:pt>
                <c:pt idx="58">
                  <c:v>2038.8630000000001</c:v>
                </c:pt>
                <c:pt idx="59">
                  <c:v>2102.73</c:v>
                </c:pt>
                <c:pt idx="60">
                  <c:v>2176.297</c:v>
                </c:pt>
                <c:pt idx="61">
                  <c:v>2238.9949999999999</c:v>
                </c:pt>
                <c:pt idx="62">
                  <c:v>2332.7420000000002</c:v>
                </c:pt>
                <c:pt idx="63">
                  <c:v>2468.5369999999998</c:v>
                </c:pt>
                <c:pt idx="64">
                  <c:v>2629.0659999999998</c:v>
                </c:pt>
                <c:pt idx="65">
                  <c:v>2786.6889999999999</c:v>
                </c:pt>
                <c:pt idx="66">
                  <c:v>2938.0129999999999</c:v>
                </c:pt>
                <c:pt idx="67">
                  <c:v>3067.1480000000001</c:v>
                </c:pt>
                <c:pt idx="68">
                  <c:v>3161.442</c:v>
                </c:pt>
                <c:pt idx="69">
                  <c:v>3234.7689999999998</c:v>
                </c:pt>
                <c:pt idx="70">
                  <c:v>3311.1669999999999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C9DC-4B80-AD62-48021C2BB957}"/>
            </c:ext>
          </c:extLst>
        </c:ser>
        <c:ser>
          <c:idx val="70"/>
          <c:order val="70"/>
          <c:tx>
            <c:strRef>
              <c:f>Sheet1!$BT$1</c:f>
              <c:strCache>
                <c:ptCount val="1"/>
                <c:pt idx="0">
                  <c:v>70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Sheet1!$BT$2:$BT$72</c:f>
              <c:numCache>
                <c:formatCode>0.000</c:formatCode>
                <c:ptCount val="71"/>
                <c:pt idx="0">
                  <c:v>860.62400000000002</c:v>
                </c:pt>
                <c:pt idx="1">
                  <c:v>900.90099999999995</c:v>
                </c:pt>
                <c:pt idx="2">
                  <c:v>936.66099999999994</c:v>
                </c:pt>
                <c:pt idx="3">
                  <c:v>960.25099999999998</c:v>
                </c:pt>
                <c:pt idx="4">
                  <c:v>976.39200000000005</c:v>
                </c:pt>
                <c:pt idx="5">
                  <c:v>996.76900000000001</c:v>
                </c:pt>
                <c:pt idx="6">
                  <c:v>1018.708</c:v>
                </c:pt>
                <c:pt idx="7">
                  <c:v>1033.7180000000001</c:v>
                </c:pt>
                <c:pt idx="8">
                  <c:v>1044.4100000000001</c:v>
                </c:pt>
                <c:pt idx="9">
                  <c:v>1058.653</c:v>
                </c:pt>
                <c:pt idx="10">
                  <c:v>1080.9079999999999</c:v>
                </c:pt>
                <c:pt idx="11">
                  <c:v>1108.319</c:v>
                </c:pt>
                <c:pt idx="12">
                  <c:v>1137.1990000000001</c:v>
                </c:pt>
                <c:pt idx="13">
                  <c:v>1157.9190000000001</c:v>
                </c:pt>
                <c:pt idx="14">
                  <c:v>1168.338</c:v>
                </c:pt>
                <c:pt idx="15">
                  <c:v>1175.6389999999999</c:v>
                </c:pt>
                <c:pt idx="16">
                  <c:v>1178.6379999999999</c:v>
                </c:pt>
                <c:pt idx="17">
                  <c:v>1181.057</c:v>
                </c:pt>
                <c:pt idx="18">
                  <c:v>1194.0640000000001</c:v>
                </c:pt>
                <c:pt idx="19">
                  <c:v>1226.0999999999999</c:v>
                </c:pt>
                <c:pt idx="20">
                  <c:v>1273.511</c:v>
                </c:pt>
                <c:pt idx="21">
                  <c:v>1307.92</c:v>
                </c:pt>
                <c:pt idx="22">
                  <c:v>1335.347</c:v>
                </c:pt>
                <c:pt idx="23">
                  <c:v>1354.9559999999999</c:v>
                </c:pt>
                <c:pt idx="24">
                  <c:v>1377.4259999999999</c:v>
                </c:pt>
                <c:pt idx="25">
                  <c:v>1413.454</c:v>
                </c:pt>
                <c:pt idx="26">
                  <c:v>1455.702</c:v>
                </c:pt>
                <c:pt idx="27">
                  <c:v>1488.0530000000001</c:v>
                </c:pt>
                <c:pt idx="28">
                  <c:v>1507.867</c:v>
                </c:pt>
                <c:pt idx="29">
                  <c:v>1530.19</c:v>
                </c:pt>
                <c:pt idx="30">
                  <c:v>1568.7650000000001</c:v>
                </c:pt>
                <c:pt idx="31">
                  <c:v>1598.155</c:v>
                </c:pt>
                <c:pt idx="32">
                  <c:v>1623.704</c:v>
                </c:pt>
                <c:pt idx="33">
                  <c:v>1641.287</c:v>
                </c:pt>
                <c:pt idx="34">
                  <c:v>1657.52</c:v>
                </c:pt>
                <c:pt idx="35">
                  <c:v>1682.433</c:v>
                </c:pt>
                <c:pt idx="36">
                  <c:v>1701.7270000000001</c:v>
                </c:pt>
                <c:pt idx="37">
                  <c:v>1716.395</c:v>
                </c:pt>
                <c:pt idx="38">
                  <c:v>1734.5139999999999</c:v>
                </c:pt>
                <c:pt idx="39">
                  <c:v>1764.816</c:v>
                </c:pt>
                <c:pt idx="40">
                  <c:v>1807.0840000000001</c:v>
                </c:pt>
                <c:pt idx="41">
                  <c:v>1836.8150000000001</c:v>
                </c:pt>
                <c:pt idx="42">
                  <c:v>1863.047</c:v>
                </c:pt>
                <c:pt idx="43">
                  <c:v>1876.097</c:v>
                </c:pt>
                <c:pt idx="44">
                  <c:v>1877.298</c:v>
                </c:pt>
                <c:pt idx="45">
                  <c:v>1876.9349999999999</c:v>
                </c:pt>
                <c:pt idx="46">
                  <c:v>1871.94</c:v>
                </c:pt>
                <c:pt idx="47">
                  <c:v>1872.5319999999999</c:v>
                </c:pt>
                <c:pt idx="48">
                  <c:v>1862.991</c:v>
                </c:pt>
                <c:pt idx="49">
                  <c:v>1839.932</c:v>
                </c:pt>
                <c:pt idx="50">
                  <c:v>1813.403</c:v>
                </c:pt>
                <c:pt idx="51">
                  <c:v>1791.306</c:v>
                </c:pt>
                <c:pt idx="52">
                  <c:v>1772.3309999999999</c:v>
                </c:pt>
                <c:pt idx="53">
                  <c:v>1768.5</c:v>
                </c:pt>
                <c:pt idx="54">
                  <c:v>1787.626</c:v>
                </c:pt>
                <c:pt idx="55">
                  <c:v>1825.7270000000001</c:v>
                </c:pt>
                <c:pt idx="56">
                  <c:v>1855.4110000000001</c:v>
                </c:pt>
                <c:pt idx="57">
                  <c:v>1897.4860000000001</c:v>
                </c:pt>
                <c:pt idx="58">
                  <c:v>1947.819</c:v>
                </c:pt>
                <c:pt idx="59">
                  <c:v>2004.19</c:v>
                </c:pt>
                <c:pt idx="60">
                  <c:v>2070.0450000000001</c:v>
                </c:pt>
                <c:pt idx="61">
                  <c:v>2131.991</c:v>
                </c:pt>
                <c:pt idx="62">
                  <c:v>2196.3000000000002</c:v>
                </c:pt>
                <c:pt idx="63">
                  <c:v>2290.826</c:v>
                </c:pt>
                <c:pt idx="64">
                  <c:v>2426.5590000000002</c:v>
                </c:pt>
                <c:pt idx="65">
                  <c:v>2586.5329999999999</c:v>
                </c:pt>
                <c:pt idx="66">
                  <c:v>2733.308</c:v>
                </c:pt>
                <c:pt idx="67">
                  <c:v>2883.1880000000001</c:v>
                </c:pt>
                <c:pt idx="68">
                  <c:v>3011.8710000000001</c:v>
                </c:pt>
                <c:pt idx="69">
                  <c:v>3107.2249999999999</c:v>
                </c:pt>
                <c:pt idx="70">
                  <c:v>3182.3319999999999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C9DC-4B80-AD62-48021C2BB957}"/>
            </c:ext>
          </c:extLst>
        </c:ser>
        <c:ser>
          <c:idx val="71"/>
          <c:order val="71"/>
          <c:tx>
            <c:strRef>
              <c:f>Sheet1!$BU$1</c:f>
              <c:strCache>
                <c:ptCount val="1"/>
                <c:pt idx="0">
                  <c:v>71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Sheet1!$BU$2:$BU$72</c:f>
              <c:numCache>
                <c:formatCode>0.000</c:formatCode>
                <c:ptCount val="71"/>
                <c:pt idx="0">
                  <c:v>770.32299999999998</c:v>
                </c:pt>
                <c:pt idx="1">
                  <c:v>816.91399999999999</c:v>
                </c:pt>
                <c:pt idx="2">
                  <c:v>855.37099999999998</c:v>
                </c:pt>
                <c:pt idx="3">
                  <c:v>887.75</c:v>
                </c:pt>
                <c:pt idx="4">
                  <c:v>909.89200000000005</c:v>
                </c:pt>
                <c:pt idx="5">
                  <c:v>928.52200000000005</c:v>
                </c:pt>
                <c:pt idx="6">
                  <c:v>953.48</c:v>
                </c:pt>
                <c:pt idx="7">
                  <c:v>971.85500000000002</c:v>
                </c:pt>
                <c:pt idx="8">
                  <c:v>983.79899999999998</c:v>
                </c:pt>
                <c:pt idx="9">
                  <c:v>993.58</c:v>
                </c:pt>
                <c:pt idx="10">
                  <c:v>1009.671</c:v>
                </c:pt>
                <c:pt idx="11">
                  <c:v>1038.4559999999999</c:v>
                </c:pt>
                <c:pt idx="12">
                  <c:v>1065.867</c:v>
                </c:pt>
                <c:pt idx="13">
                  <c:v>1094.307</c:v>
                </c:pt>
                <c:pt idx="14">
                  <c:v>1114.731</c:v>
                </c:pt>
                <c:pt idx="15">
                  <c:v>1125.847</c:v>
                </c:pt>
                <c:pt idx="16">
                  <c:v>1127.0709999999999</c:v>
                </c:pt>
                <c:pt idx="17">
                  <c:v>1130.1679999999999</c:v>
                </c:pt>
                <c:pt idx="18">
                  <c:v>1132.8389999999999</c:v>
                </c:pt>
                <c:pt idx="19">
                  <c:v>1147.1669999999999</c:v>
                </c:pt>
                <c:pt idx="20">
                  <c:v>1181.828</c:v>
                </c:pt>
                <c:pt idx="21">
                  <c:v>1221.778</c:v>
                </c:pt>
                <c:pt idx="22">
                  <c:v>1252.421</c:v>
                </c:pt>
                <c:pt idx="23">
                  <c:v>1276.1859999999999</c:v>
                </c:pt>
                <c:pt idx="24">
                  <c:v>1295.8150000000001</c:v>
                </c:pt>
                <c:pt idx="25">
                  <c:v>1323.3489999999999</c:v>
                </c:pt>
                <c:pt idx="26">
                  <c:v>1372.405</c:v>
                </c:pt>
                <c:pt idx="27">
                  <c:v>1410.2439999999999</c:v>
                </c:pt>
                <c:pt idx="28">
                  <c:v>1437.0640000000001</c:v>
                </c:pt>
                <c:pt idx="29">
                  <c:v>1454.7280000000001</c:v>
                </c:pt>
                <c:pt idx="30">
                  <c:v>1481.2750000000001</c:v>
                </c:pt>
                <c:pt idx="31">
                  <c:v>1515.9690000000001</c:v>
                </c:pt>
                <c:pt idx="32">
                  <c:v>1543.6310000000001</c:v>
                </c:pt>
                <c:pt idx="33">
                  <c:v>1567.077</c:v>
                </c:pt>
                <c:pt idx="34">
                  <c:v>1585.0060000000001</c:v>
                </c:pt>
                <c:pt idx="35">
                  <c:v>1605.4010000000001</c:v>
                </c:pt>
                <c:pt idx="36">
                  <c:v>1628.134</c:v>
                </c:pt>
                <c:pt idx="37">
                  <c:v>1647.2280000000001</c:v>
                </c:pt>
                <c:pt idx="38">
                  <c:v>1661.5129999999999</c:v>
                </c:pt>
                <c:pt idx="39">
                  <c:v>1680.614</c:v>
                </c:pt>
                <c:pt idx="40">
                  <c:v>1714.2059999999999</c:v>
                </c:pt>
                <c:pt idx="41">
                  <c:v>1750.5060000000001</c:v>
                </c:pt>
                <c:pt idx="42">
                  <c:v>1780.0340000000001</c:v>
                </c:pt>
                <c:pt idx="43">
                  <c:v>1806.4590000000001</c:v>
                </c:pt>
                <c:pt idx="44">
                  <c:v>1821.9860000000001</c:v>
                </c:pt>
                <c:pt idx="45">
                  <c:v>1828.5429999999999</c:v>
                </c:pt>
                <c:pt idx="46">
                  <c:v>1824.0170000000001</c:v>
                </c:pt>
                <c:pt idx="47">
                  <c:v>1823.027</c:v>
                </c:pt>
                <c:pt idx="48">
                  <c:v>1826.0050000000001</c:v>
                </c:pt>
                <c:pt idx="49">
                  <c:v>1817.864</c:v>
                </c:pt>
                <c:pt idx="50">
                  <c:v>1796.723</c:v>
                </c:pt>
                <c:pt idx="51">
                  <c:v>1770.068</c:v>
                </c:pt>
                <c:pt idx="52">
                  <c:v>1748.3130000000001</c:v>
                </c:pt>
                <c:pt idx="53">
                  <c:v>1731.269</c:v>
                </c:pt>
                <c:pt idx="54">
                  <c:v>1730.9970000000001</c:v>
                </c:pt>
                <c:pt idx="55">
                  <c:v>1754.2560000000001</c:v>
                </c:pt>
                <c:pt idx="56">
                  <c:v>1778.9860000000001</c:v>
                </c:pt>
                <c:pt idx="57">
                  <c:v>1812.644</c:v>
                </c:pt>
                <c:pt idx="58">
                  <c:v>1857.7729999999999</c:v>
                </c:pt>
                <c:pt idx="59">
                  <c:v>1910.24</c:v>
                </c:pt>
                <c:pt idx="60">
                  <c:v>1968.4949999999999</c:v>
                </c:pt>
                <c:pt idx="61">
                  <c:v>2024.12</c:v>
                </c:pt>
                <c:pt idx="62">
                  <c:v>2087.7069999999999</c:v>
                </c:pt>
                <c:pt idx="63">
                  <c:v>2153.1170000000002</c:v>
                </c:pt>
                <c:pt idx="64">
                  <c:v>2248.058</c:v>
                </c:pt>
                <c:pt idx="65">
                  <c:v>2383.5819999999999</c:v>
                </c:pt>
                <c:pt idx="66">
                  <c:v>2532.36</c:v>
                </c:pt>
                <c:pt idx="67">
                  <c:v>2677.8879999999999</c:v>
                </c:pt>
                <c:pt idx="68">
                  <c:v>2826.9769999999999</c:v>
                </c:pt>
                <c:pt idx="69">
                  <c:v>2956.0390000000002</c:v>
                </c:pt>
                <c:pt idx="70">
                  <c:v>3052.723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C9DC-4B80-AD62-48021C2BB957}"/>
            </c:ext>
          </c:extLst>
        </c:ser>
        <c:ser>
          <c:idx val="72"/>
          <c:order val="72"/>
          <c:tx>
            <c:strRef>
              <c:f>Sheet1!$BV$1</c:f>
              <c:strCache>
                <c:ptCount val="1"/>
                <c:pt idx="0">
                  <c:v>72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Sheet1!$BV$2:$BV$72</c:f>
              <c:numCache>
                <c:formatCode>0.000</c:formatCode>
                <c:ptCount val="71"/>
                <c:pt idx="0">
                  <c:v>691.53499999999997</c:v>
                </c:pt>
                <c:pt idx="1">
                  <c:v>731.17399999999998</c:v>
                </c:pt>
                <c:pt idx="2">
                  <c:v>775.23199999999997</c:v>
                </c:pt>
                <c:pt idx="3">
                  <c:v>810.40099999999995</c:v>
                </c:pt>
                <c:pt idx="4">
                  <c:v>838.73199999999997</c:v>
                </c:pt>
                <c:pt idx="5">
                  <c:v>859.33299999999997</c:v>
                </c:pt>
                <c:pt idx="6">
                  <c:v>888.31200000000001</c:v>
                </c:pt>
                <c:pt idx="7">
                  <c:v>909.303</c:v>
                </c:pt>
                <c:pt idx="8">
                  <c:v>924.64400000000001</c:v>
                </c:pt>
                <c:pt idx="9">
                  <c:v>933.95500000000004</c:v>
                </c:pt>
                <c:pt idx="10">
                  <c:v>942.91099999999994</c:v>
                </c:pt>
                <c:pt idx="11">
                  <c:v>968.07799999999997</c:v>
                </c:pt>
                <c:pt idx="12">
                  <c:v>996.45500000000004</c:v>
                </c:pt>
                <c:pt idx="13">
                  <c:v>1023.448</c:v>
                </c:pt>
                <c:pt idx="14">
                  <c:v>1050.8779999999999</c:v>
                </c:pt>
                <c:pt idx="15">
                  <c:v>1070.8109999999999</c:v>
                </c:pt>
                <c:pt idx="16">
                  <c:v>1076.5229999999999</c:v>
                </c:pt>
                <c:pt idx="17">
                  <c:v>1077.7360000000001</c:v>
                </c:pt>
                <c:pt idx="18">
                  <c:v>1081.1669999999999</c:v>
                </c:pt>
                <c:pt idx="19">
                  <c:v>1084.4590000000001</c:v>
                </c:pt>
                <c:pt idx="20">
                  <c:v>1100.3779999999999</c:v>
                </c:pt>
                <c:pt idx="21">
                  <c:v>1133.56</c:v>
                </c:pt>
                <c:pt idx="22">
                  <c:v>1169.441</c:v>
                </c:pt>
                <c:pt idx="23">
                  <c:v>1196.9010000000001</c:v>
                </c:pt>
                <c:pt idx="24">
                  <c:v>1217.519</c:v>
                </c:pt>
                <c:pt idx="25">
                  <c:v>1237.26</c:v>
                </c:pt>
                <c:pt idx="26">
                  <c:v>1288.665</c:v>
                </c:pt>
                <c:pt idx="27">
                  <c:v>1332.34</c:v>
                </c:pt>
                <c:pt idx="28">
                  <c:v>1365.3209999999999</c:v>
                </c:pt>
                <c:pt idx="29">
                  <c:v>1385.9110000000001</c:v>
                </c:pt>
                <c:pt idx="30">
                  <c:v>1401.0360000000001</c:v>
                </c:pt>
                <c:pt idx="31">
                  <c:v>1430.5039999999999</c:v>
                </c:pt>
                <c:pt idx="32">
                  <c:v>1462.8689999999999</c:v>
                </c:pt>
                <c:pt idx="33">
                  <c:v>1488.6990000000001</c:v>
                </c:pt>
                <c:pt idx="34">
                  <c:v>1510.144</c:v>
                </c:pt>
                <c:pt idx="35">
                  <c:v>1528.4829999999999</c:v>
                </c:pt>
                <c:pt idx="36">
                  <c:v>1551.6880000000001</c:v>
                </c:pt>
                <c:pt idx="37">
                  <c:v>1573.8130000000001</c:v>
                </c:pt>
                <c:pt idx="38">
                  <c:v>1592.634</c:v>
                </c:pt>
                <c:pt idx="39">
                  <c:v>1606.4649999999999</c:v>
                </c:pt>
                <c:pt idx="40">
                  <c:v>1626.5709999999999</c:v>
                </c:pt>
                <c:pt idx="41">
                  <c:v>1658.595</c:v>
                </c:pt>
                <c:pt idx="42">
                  <c:v>1694.0509999999999</c:v>
                </c:pt>
                <c:pt idx="43">
                  <c:v>1723.8340000000001</c:v>
                </c:pt>
                <c:pt idx="44">
                  <c:v>1751.0809999999999</c:v>
                </c:pt>
                <c:pt idx="45">
                  <c:v>1769.298</c:v>
                </c:pt>
                <c:pt idx="46">
                  <c:v>1774.04</c:v>
                </c:pt>
                <c:pt idx="47">
                  <c:v>1773.202</c:v>
                </c:pt>
                <c:pt idx="48">
                  <c:v>1774.6469999999999</c:v>
                </c:pt>
                <c:pt idx="49">
                  <c:v>1778.1</c:v>
                </c:pt>
                <c:pt idx="50">
                  <c:v>1770.42</c:v>
                </c:pt>
                <c:pt idx="51">
                  <c:v>1750.057</c:v>
                </c:pt>
                <c:pt idx="52">
                  <c:v>1723.5060000000001</c:v>
                </c:pt>
                <c:pt idx="53">
                  <c:v>1703.684</c:v>
                </c:pt>
                <c:pt idx="54">
                  <c:v>1690.4549999999999</c:v>
                </c:pt>
                <c:pt idx="55">
                  <c:v>1694.56</c:v>
                </c:pt>
                <c:pt idx="56">
                  <c:v>1705.1010000000001</c:v>
                </c:pt>
                <c:pt idx="57">
                  <c:v>1733.7809999999999</c:v>
                </c:pt>
                <c:pt idx="58">
                  <c:v>1770.588</c:v>
                </c:pt>
                <c:pt idx="59">
                  <c:v>1817.6489999999999</c:v>
                </c:pt>
                <c:pt idx="60">
                  <c:v>1871.684</c:v>
                </c:pt>
                <c:pt idx="61">
                  <c:v>1920.8520000000001</c:v>
                </c:pt>
                <c:pt idx="62">
                  <c:v>1978.212</c:v>
                </c:pt>
                <c:pt idx="63">
                  <c:v>2042.9570000000001</c:v>
                </c:pt>
                <c:pt idx="64">
                  <c:v>2109.1329999999998</c:v>
                </c:pt>
                <c:pt idx="65">
                  <c:v>2204.3670000000002</c:v>
                </c:pt>
                <c:pt idx="66">
                  <c:v>2328.6889999999999</c:v>
                </c:pt>
                <c:pt idx="67">
                  <c:v>2476.2919999999999</c:v>
                </c:pt>
                <c:pt idx="68">
                  <c:v>2621.183</c:v>
                </c:pt>
                <c:pt idx="69">
                  <c:v>2770.2489999999998</c:v>
                </c:pt>
                <c:pt idx="70">
                  <c:v>2899.94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C9DC-4B80-AD62-48021C2BB957}"/>
            </c:ext>
          </c:extLst>
        </c:ser>
        <c:ser>
          <c:idx val="73"/>
          <c:order val="73"/>
          <c:tx>
            <c:strRef>
              <c:f>Sheet1!$BW$1</c:f>
              <c:strCache>
                <c:ptCount val="1"/>
                <c:pt idx="0">
                  <c:v>73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Sheet1!$BW$2:$BW$72</c:f>
              <c:numCache>
                <c:formatCode>0.000</c:formatCode>
                <c:ptCount val="71"/>
                <c:pt idx="0">
                  <c:v>632.26800000000003</c:v>
                </c:pt>
                <c:pt idx="1">
                  <c:v>655.84900000000005</c:v>
                </c:pt>
                <c:pt idx="2">
                  <c:v>693.84100000000001</c:v>
                </c:pt>
                <c:pt idx="3">
                  <c:v>734.05799999999999</c:v>
                </c:pt>
                <c:pt idx="4">
                  <c:v>765.33299999999997</c:v>
                </c:pt>
                <c:pt idx="5">
                  <c:v>789.52300000000002</c:v>
                </c:pt>
                <c:pt idx="6">
                  <c:v>821.21600000000001</c:v>
                </c:pt>
                <c:pt idx="7">
                  <c:v>847.27300000000002</c:v>
                </c:pt>
                <c:pt idx="8">
                  <c:v>864.79100000000005</c:v>
                </c:pt>
                <c:pt idx="9">
                  <c:v>877.50199999999995</c:v>
                </c:pt>
                <c:pt idx="10">
                  <c:v>884.26199999999994</c:v>
                </c:pt>
                <c:pt idx="11">
                  <c:v>901.18499999999995</c:v>
                </c:pt>
                <c:pt idx="12">
                  <c:v>926.90200000000004</c:v>
                </c:pt>
                <c:pt idx="13">
                  <c:v>954.48400000000004</c:v>
                </c:pt>
                <c:pt idx="14">
                  <c:v>980.529</c:v>
                </c:pt>
                <c:pt idx="15">
                  <c:v>1006.764</c:v>
                </c:pt>
                <c:pt idx="16">
                  <c:v>1020.84</c:v>
                </c:pt>
                <c:pt idx="17">
                  <c:v>1026.4649999999999</c:v>
                </c:pt>
                <c:pt idx="18">
                  <c:v>1027.895</c:v>
                </c:pt>
                <c:pt idx="19">
                  <c:v>1032.0129999999999</c:v>
                </c:pt>
                <c:pt idx="20">
                  <c:v>1036.1849999999999</c:v>
                </c:pt>
                <c:pt idx="21">
                  <c:v>1054.453</c:v>
                </c:pt>
                <c:pt idx="22">
                  <c:v>1084.7280000000001</c:v>
                </c:pt>
                <c:pt idx="23">
                  <c:v>1117.0830000000001</c:v>
                </c:pt>
                <c:pt idx="24">
                  <c:v>1141.8440000000001</c:v>
                </c:pt>
                <c:pt idx="25">
                  <c:v>1159.405</c:v>
                </c:pt>
                <c:pt idx="26">
                  <c:v>1204.8589999999999</c:v>
                </c:pt>
                <c:pt idx="27">
                  <c:v>1254.904</c:v>
                </c:pt>
                <c:pt idx="28">
                  <c:v>1292.7809999999999</c:v>
                </c:pt>
                <c:pt idx="29">
                  <c:v>1320.2439999999999</c:v>
                </c:pt>
                <c:pt idx="30">
                  <c:v>1334.229</c:v>
                </c:pt>
                <c:pt idx="31">
                  <c:v>1350.598</c:v>
                </c:pt>
                <c:pt idx="32">
                  <c:v>1379.432</c:v>
                </c:pt>
                <c:pt idx="33">
                  <c:v>1409.374</c:v>
                </c:pt>
                <c:pt idx="34">
                  <c:v>1433.4770000000001</c:v>
                </c:pt>
                <c:pt idx="35">
                  <c:v>1452.9880000000001</c:v>
                </c:pt>
                <c:pt idx="36">
                  <c:v>1474.2860000000001</c:v>
                </c:pt>
                <c:pt idx="37">
                  <c:v>1497.9549999999999</c:v>
                </c:pt>
                <c:pt idx="38">
                  <c:v>1519.402</c:v>
                </c:pt>
                <c:pt idx="39">
                  <c:v>1537.88</c:v>
                </c:pt>
                <c:pt idx="40">
                  <c:v>1551.278</c:v>
                </c:pt>
                <c:pt idx="41">
                  <c:v>1570.0930000000001</c:v>
                </c:pt>
                <c:pt idx="42">
                  <c:v>1603.1020000000001</c:v>
                </c:pt>
                <c:pt idx="43">
                  <c:v>1638.15</c:v>
                </c:pt>
                <c:pt idx="44">
                  <c:v>1668.7860000000001</c:v>
                </c:pt>
                <c:pt idx="45">
                  <c:v>1697.0640000000001</c:v>
                </c:pt>
                <c:pt idx="46">
                  <c:v>1712.7370000000001</c:v>
                </c:pt>
                <c:pt idx="47">
                  <c:v>1721.58</c:v>
                </c:pt>
                <c:pt idx="48">
                  <c:v>1722.8969999999999</c:v>
                </c:pt>
                <c:pt idx="49">
                  <c:v>1724.925</c:v>
                </c:pt>
                <c:pt idx="50">
                  <c:v>1727.933</c:v>
                </c:pt>
                <c:pt idx="51">
                  <c:v>1719.4929999999999</c:v>
                </c:pt>
                <c:pt idx="52">
                  <c:v>1700.194</c:v>
                </c:pt>
                <c:pt idx="53">
                  <c:v>1675.335</c:v>
                </c:pt>
                <c:pt idx="54">
                  <c:v>1659.3050000000001</c:v>
                </c:pt>
                <c:pt idx="55">
                  <c:v>1650.6849999999999</c:v>
                </c:pt>
                <c:pt idx="56">
                  <c:v>1642.885</c:v>
                </c:pt>
                <c:pt idx="57">
                  <c:v>1657.42</c:v>
                </c:pt>
                <c:pt idx="58">
                  <c:v>1689.2529999999999</c:v>
                </c:pt>
                <c:pt idx="59">
                  <c:v>1728.136</c:v>
                </c:pt>
                <c:pt idx="60">
                  <c:v>1776.595</c:v>
                </c:pt>
                <c:pt idx="61">
                  <c:v>1822.23</c:v>
                </c:pt>
                <c:pt idx="62">
                  <c:v>1873.223</c:v>
                </c:pt>
                <c:pt idx="63">
                  <c:v>1931.8610000000001</c:v>
                </c:pt>
                <c:pt idx="64">
                  <c:v>1997.4490000000001</c:v>
                </c:pt>
                <c:pt idx="65">
                  <c:v>2064.2869999999998</c:v>
                </c:pt>
                <c:pt idx="66">
                  <c:v>2148.442</c:v>
                </c:pt>
                <c:pt idx="67">
                  <c:v>2272.0509999999999</c:v>
                </c:pt>
                <c:pt idx="68">
                  <c:v>2419.0369999999998</c:v>
                </c:pt>
                <c:pt idx="69">
                  <c:v>2564.0010000000002</c:v>
                </c:pt>
                <c:pt idx="70">
                  <c:v>2713.2739999999999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C9DC-4B80-AD62-48021C2BB957}"/>
            </c:ext>
          </c:extLst>
        </c:ser>
        <c:ser>
          <c:idx val="74"/>
          <c:order val="74"/>
          <c:tx>
            <c:strRef>
              <c:f>Sheet1!$BX$1</c:f>
              <c:strCache>
                <c:ptCount val="1"/>
                <c:pt idx="0">
                  <c:v>74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Sheet1!$BX$2:$BX$72</c:f>
              <c:numCache>
                <c:formatCode>0.000</c:formatCode>
                <c:ptCount val="71"/>
                <c:pt idx="0">
                  <c:v>585.96799999999996</c:v>
                </c:pt>
                <c:pt idx="1">
                  <c:v>597.90300000000002</c:v>
                </c:pt>
                <c:pt idx="2">
                  <c:v>621.79499999999996</c:v>
                </c:pt>
                <c:pt idx="3">
                  <c:v>656.96199999999999</c:v>
                </c:pt>
                <c:pt idx="4">
                  <c:v>692.79499999999996</c:v>
                </c:pt>
                <c:pt idx="5">
                  <c:v>720.09</c:v>
                </c:pt>
                <c:pt idx="6">
                  <c:v>751.66499999999996</c:v>
                </c:pt>
                <c:pt idx="7">
                  <c:v>782.33399999999995</c:v>
                </c:pt>
                <c:pt idx="8">
                  <c:v>805.92200000000003</c:v>
                </c:pt>
                <c:pt idx="9">
                  <c:v>820.34299999999996</c:v>
                </c:pt>
                <c:pt idx="10">
                  <c:v>830.50300000000004</c:v>
                </c:pt>
                <c:pt idx="11">
                  <c:v>840.73800000000006</c:v>
                </c:pt>
                <c:pt idx="12">
                  <c:v>859.84699999999998</c:v>
                </c:pt>
                <c:pt idx="13">
                  <c:v>885.75300000000004</c:v>
                </c:pt>
                <c:pt idx="14">
                  <c:v>912.04499999999996</c:v>
                </c:pt>
                <c:pt idx="15">
                  <c:v>936.97199999999998</c:v>
                </c:pt>
                <c:pt idx="16">
                  <c:v>956.173</c:v>
                </c:pt>
                <c:pt idx="17">
                  <c:v>970.16899999999998</c:v>
                </c:pt>
                <c:pt idx="18">
                  <c:v>975.92700000000002</c:v>
                </c:pt>
                <c:pt idx="19">
                  <c:v>977.91200000000003</c:v>
                </c:pt>
                <c:pt idx="20">
                  <c:v>982.96</c:v>
                </c:pt>
                <c:pt idx="21">
                  <c:v>990.42</c:v>
                </c:pt>
                <c:pt idx="22">
                  <c:v>1008.002</c:v>
                </c:pt>
                <c:pt idx="23">
                  <c:v>1035.877</c:v>
                </c:pt>
                <c:pt idx="24">
                  <c:v>1065.1600000000001</c:v>
                </c:pt>
                <c:pt idx="25">
                  <c:v>1087.308</c:v>
                </c:pt>
                <c:pt idx="26">
                  <c:v>1122.443</c:v>
                </c:pt>
                <c:pt idx="27">
                  <c:v>1173.32</c:v>
                </c:pt>
                <c:pt idx="28">
                  <c:v>1221.6179999999999</c:v>
                </c:pt>
                <c:pt idx="29">
                  <c:v>1253.078</c:v>
                </c:pt>
                <c:pt idx="30">
                  <c:v>1274.6659999999999</c:v>
                </c:pt>
                <c:pt idx="31">
                  <c:v>1281.1310000000001</c:v>
                </c:pt>
                <c:pt idx="32">
                  <c:v>1299.8630000000001</c:v>
                </c:pt>
                <c:pt idx="33">
                  <c:v>1327.981</c:v>
                </c:pt>
                <c:pt idx="34">
                  <c:v>1355.6089999999999</c:v>
                </c:pt>
                <c:pt idx="35">
                  <c:v>1378.049</c:v>
                </c:pt>
                <c:pt idx="36">
                  <c:v>1396.4079999999999</c:v>
                </c:pt>
                <c:pt idx="37">
                  <c:v>1420.0709999999999</c:v>
                </c:pt>
                <c:pt idx="38">
                  <c:v>1444.1379999999999</c:v>
                </c:pt>
                <c:pt idx="39">
                  <c:v>1464.837</c:v>
                </c:pt>
                <c:pt idx="40">
                  <c:v>1482.991</c:v>
                </c:pt>
                <c:pt idx="41">
                  <c:v>1490.82</c:v>
                </c:pt>
                <c:pt idx="42">
                  <c:v>1513.729</c:v>
                </c:pt>
                <c:pt idx="43">
                  <c:v>1548.1320000000001</c:v>
                </c:pt>
                <c:pt idx="44">
                  <c:v>1583.3430000000001</c:v>
                </c:pt>
                <c:pt idx="45">
                  <c:v>1615.0319999999999</c:v>
                </c:pt>
                <c:pt idx="46">
                  <c:v>1637.547</c:v>
                </c:pt>
                <c:pt idx="47">
                  <c:v>1658.15</c:v>
                </c:pt>
                <c:pt idx="48">
                  <c:v>1669.6130000000001</c:v>
                </c:pt>
                <c:pt idx="49">
                  <c:v>1671.288</c:v>
                </c:pt>
                <c:pt idx="50">
                  <c:v>1673.0119999999999</c:v>
                </c:pt>
                <c:pt idx="51">
                  <c:v>1671.336</c:v>
                </c:pt>
                <c:pt idx="52">
                  <c:v>1665.414</c:v>
                </c:pt>
                <c:pt idx="53">
                  <c:v>1648.7460000000001</c:v>
                </c:pt>
                <c:pt idx="54">
                  <c:v>1627.4179999999999</c:v>
                </c:pt>
                <c:pt idx="55">
                  <c:v>1615.9559999999999</c:v>
                </c:pt>
                <c:pt idx="56">
                  <c:v>1596.328</c:v>
                </c:pt>
                <c:pt idx="57">
                  <c:v>1592.633</c:v>
                </c:pt>
                <c:pt idx="58">
                  <c:v>1610.3810000000001</c:v>
                </c:pt>
                <c:pt idx="59">
                  <c:v>1644.3420000000001</c:v>
                </c:pt>
                <c:pt idx="60">
                  <c:v>1684.798</c:v>
                </c:pt>
                <c:pt idx="61">
                  <c:v>1725.2629999999999</c:v>
                </c:pt>
                <c:pt idx="62">
                  <c:v>1772.787</c:v>
                </c:pt>
                <c:pt idx="63">
                  <c:v>1825.173</c:v>
                </c:pt>
                <c:pt idx="64">
                  <c:v>1884.7929999999999</c:v>
                </c:pt>
                <c:pt idx="65">
                  <c:v>1951.126</c:v>
                </c:pt>
                <c:pt idx="66">
                  <c:v>2006.787</c:v>
                </c:pt>
                <c:pt idx="67">
                  <c:v>2090.9</c:v>
                </c:pt>
                <c:pt idx="68">
                  <c:v>2214.3220000000001</c:v>
                </c:pt>
                <c:pt idx="69">
                  <c:v>2361.3440000000001</c:v>
                </c:pt>
                <c:pt idx="70">
                  <c:v>2506.5940000000001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C9DC-4B80-AD62-48021C2BB957}"/>
            </c:ext>
          </c:extLst>
        </c:ser>
        <c:ser>
          <c:idx val="75"/>
          <c:order val="75"/>
          <c:tx>
            <c:strRef>
              <c:f>Sheet1!$BY$1</c:f>
              <c:strCache>
                <c:ptCount val="1"/>
                <c:pt idx="0">
                  <c:v>75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Sheet1!$BY$2:$BY$72</c:f>
              <c:numCache>
                <c:formatCode>0.000</c:formatCode>
                <c:ptCount val="71"/>
                <c:pt idx="0">
                  <c:v>538.79700000000003</c:v>
                </c:pt>
                <c:pt idx="1">
                  <c:v>551.61199999999997</c:v>
                </c:pt>
                <c:pt idx="2">
                  <c:v>565.02700000000004</c:v>
                </c:pt>
                <c:pt idx="3">
                  <c:v>588.14700000000005</c:v>
                </c:pt>
                <c:pt idx="4">
                  <c:v>620.00300000000004</c:v>
                </c:pt>
                <c:pt idx="5">
                  <c:v>651.37300000000005</c:v>
                </c:pt>
                <c:pt idx="6">
                  <c:v>681.4</c:v>
                </c:pt>
                <c:pt idx="7">
                  <c:v>713.10299999999995</c:v>
                </c:pt>
                <c:pt idx="8">
                  <c:v>743.16300000000001</c:v>
                </c:pt>
                <c:pt idx="9">
                  <c:v>764.63099999999997</c:v>
                </c:pt>
                <c:pt idx="10">
                  <c:v>776.02800000000002</c:v>
                </c:pt>
                <c:pt idx="11">
                  <c:v>784.30899999999997</c:v>
                </c:pt>
                <c:pt idx="12">
                  <c:v>797.57299999999998</c:v>
                </c:pt>
                <c:pt idx="13">
                  <c:v>818.53</c:v>
                </c:pt>
                <c:pt idx="14">
                  <c:v>844.16899999999998</c:v>
                </c:pt>
                <c:pt idx="15">
                  <c:v>869.01400000000001</c:v>
                </c:pt>
                <c:pt idx="16">
                  <c:v>885.90099999999995</c:v>
                </c:pt>
                <c:pt idx="17">
                  <c:v>904.923</c:v>
                </c:pt>
                <c:pt idx="18">
                  <c:v>919.04600000000005</c:v>
                </c:pt>
                <c:pt idx="19">
                  <c:v>925.25400000000002</c:v>
                </c:pt>
                <c:pt idx="20">
                  <c:v>928.02599999999995</c:v>
                </c:pt>
                <c:pt idx="21">
                  <c:v>936.01700000000005</c:v>
                </c:pt>
                <c:pt idx="22">
                  <c:v>944.16099999999994</c:v>
                </c:pt>
                <c:pt idx="23">
                  <c:v>961.53300000000002</c:v>
                </c:pt>
                <c:pt idx="24">
                  <c:v>987.43</c:v>
                </c:pt>
                <c:pt idx="25">
                  <c:v>1013.723</c:v>
                </c:pt>
                <c:pt idx="26">
                  <c:v>1041.69</c:v>
                </c:pt>
                <c:pt idx="27">
                  <c:v>1086.2919999999999</c:v>
                </c:pt>
                <c:pt idx="28">
                  <c:v>1142.2270000000001</c:v>
                </c:pt>
                <c:pt idx="29">
                  <c:v>1188.201</c:v>
                </c:pt>
                <c:pt idx="30">
                  <c:v>1212.902</c:v>
                </c:pt>
                <c:pt idx="31">
                  <c:v>1217.248</c:v>
                </c:pt>
                <c:pt idx="32">
                  <c:v>1227.7449999999999</c:v>
                </c:pt>
                <c:pt idx="33">
                  <c:v>1248.7660000000001</c:v>
                </c:pt>
                <c:pt idx="34">
                  <c:v>1276.278</c:v>
                </c:pt>
                <c:pt idx="35">
                  <c:v>1301.6569999999999</c:v>
                </c:pt>
                <c:pt idx="36">
                  <c:v>1318.029</c:v>
                </c:pt>
                <c:pt idx="37">
                  <c:v>1339.818</c:v>
                </c:pt>
                <c:pt idx="38">
                  <c:v>1365.778</c:v>
                </c:pt>
                <c:pt idx="39">
                  <c:v>1390.172</c:v>
                </c:pt>
                <c:pt idx="40">
                  <c:v>1410.1389999999999</c:v>
                </c:pt>
                <c:pt idx="41">
                  <c:v>1416.82</c:v>
                </c:pt>
                <c:pt idx="42">
                  <c:v>1430.4739999999999</c:v>
                </c:pt>
                <c:pt idx="43">
                  <c:v>1457.8589999999999</c:v>
                </c:pt>
                <c:pt idx="44">
                  <c:v>1494.194</c:v>
                </c:pt>
                <c:pt idx="45">
                  <c:v>1529.758</c:v>
                </c:pt>
                <c:pt idx="46">
                  <c:v>1552.1189999999999</c:v>
                </c:pt>
                <c:pt idx="47">
                  <c:v>1579.9159999999999</c:v>
                </c:pt>
                <c:pt idx="48">
                  <c:v>1604.0319999999999</c:v>
                </c:pt>
                <c:pt idx="49">
                  <c:v>1616.376</c:v>
                </c:pt>
                <c:pt idx="50">
                  <c:v>1617.558</c:v>
                </c:pt>
                <c:pt idx="51">
                  <c:v>1610.0709999999999</c:v>
                </c:pt>
                <c:pt idx="52">
                  <c:v>1611.6659999999999</c:v>
                </c:pt>
                <c:pt idx="53">
                  <c:v>1609.788</c:v>
                </c:pt>
                <c:pt idx="54">
                  <c:v>1597.556</c:v>
                </c:pt>
                <c:pt idx="55">
                  <c:v>1580.5160000000001</c:v>
                </c:pt>
                <c:pt idx="56">
                  <c:v>1558.8320000000001</c:v>
                </c:pt>
                <c:pt idx="57">
                  <c:v>1543.357</c:v>
                </c:pt>
                <c:pt idx="58">
                  <c:v>1542.9949999999999</c:v>
                </c:pt>
                <c:pt idx="59">
                  <c:v>1562.973</c:v>
                </c:pt>
                <c:pt idx="60">
                  <c:v>1598.586</c:v>
                </c:pt>
                <c:pt idx="61">
                  <c:v>1631.4860000000001</c:v>
                </c:pt>
                <c:pt idx="62">
                  <c:v>1673.9369999999999</c:v>
                </c:pt>
                <c:pt idx="63">
                  <c:v>1722.943</c:v>
                </c:pt>
                <c:pt idx="64">
                  <c:v>1776.4459999999999</c:v>
                </c:pt>
                <c:pt idx="65">
                  <c:v>1836.96</c:v>
                </c:pt>
                <c:pt idx="66">
                  <c:v>1891.702</c:v>
                </c:pt>
                <c:pt idx="67">
                  <c:v>1947.768</c:v>
                </c:pt>
                <c:pt idx="68">
                  <c:v>2032.356</c:v>
                </c:pt>
                <c:pt idx="69">
                  <c:v>2156.1970000000001</c:v>
                </c:pt>
                <c:pt idx="70">
                  <c:v>2303.4490000000001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C9DC-4B80-AD62-48021C2BB957}"/>
            </c:ext>
          </c:extLst>
        </c:ser>
        <c:ser>
          <c:idx val="76"/>
          <c:order val="76"/>
          <c:tx>
            <c:strRef>
              <c:f>Sheet1!$BZ$1</c:f>
              <c:strCache>
                <c:ptCount val="1"/>
                <c:pt idx="0">
                  <c:v>76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Sheet1!$BZ$2:$BZ$72</c:f>
              <c:numCache>
                <c:formatCode>0.000</c:formatCode>
                <c:ptCount val="71"/>
                <c:pt idx="0">
                  <c:v>494.38799999999998</c:v>
                </c:pt>
                <c:pt idx="1">
                  <c:v>504.983</c:v>
                </c:pt>
                <c:pt idx="2">
                  <c:v>518.63499999999999</c:v>
                </c:pt>
                <c:pt idx="3">
                  <c:v>532.52</c:v>
                </c:pt>
                <c:pt idx="4">
                  <c:v>554.42600000000004</c:v>
                </c:pt>
                <c:pt idx="5">
                  <c:v>582.904</c:v>
                </c:pt>
                <c:pt idx="6">
                  <c:v>612.35500000000002</c:v>
                </c:pt>
                <c:pt idx="7">
                  <c:v>642.06700000000001</c:v>
                </c:pt>
                <c:pt idx="8">
                  <c:v>674.28099999999995</c:v>
                </c:pt>
                <c:pt idx="9">
                  <c:v>704.048</c:v>
                </c:pt>
                <c:pt idx="10">
                  <c:v>723.46100000000001</c:v>
                </c:pt>
                <c:pt idx="11">
                  <c:v>727.59799999999996</c:v>
                </c:pt>
                <c:pt idx="12">
                  <c:v>738.44799999999998</c:v>
                </c:pt>
                <c:pt idx="13">
                  <c:v>754.42499999999995</c:v>
                </c:pt>
                <c:pt idx="14">
                  <c:v>776.81100000000004</c:v>
                </c:pt>
                <c:pt idx="15">
                  <c:v>802.03899999999999</c:v>
                </c:pt>
                <c:pt idx="16">
                  <c:v>817.78899999999999</c:v>
                </c:pt>
                <c:pt idx="17">
                  <c:v>834.21699999999998</c:v>
                </c:pt>
                <c:pt idx="18">
                  <c:v>853.25099999999998</c:v>
                </c:pt>
                <c:pt idx="19">
                  <c:v>867.79700000000003</c:v>
                </c:pt>
                <c:pt idx="20">
                  <c:v>874.67600000000004</c:v>
                </c:pt>
                <c:pt idx="21">
                  <c:v>880.56600000000003</c:v>
                </c:pt>
                <c:pt idx="22">
                  <c:v>888.60699999999997</c:v>
                </c:pt>
                <c:pt idx="23">
                  <c:v>897.88599999999997</c:v>
                </c:pt>
                <c:pt idx="24">
                  <c:v>915.43799999999999</c:v>
                </c:pt>
                <c:pt idx="25">
                  <c:v>939.43499999999995</c:v>
                </c:pt>
                <c:pt idx="26">
                  <c:v>960.63699999999994</c:v>
                </c:pt>
                <c:pt idx="27">
                  <c:v>996.83500000000004</c:v>
                </c:pt>
                <c:pt idx="28">
                  <c:v>1050.55</c:v>
                </c:pt>
                <c:pt idx="29">
                  <c:v>1111.009</c:v>
                </c:pt>
                <c:pt idx="30">
                  <c:v>1154.338</c:v>
                </c:pt>
                <c:pt idx="31">
                  <c:v>1151.884</c:v>
                </c:pt>
                <c:pt idx="32">
                  <c:v>1159.556</c:v>
                </c:pt>
                <c:pt idx="33">
                  <c:v>1174.0139999999999</c:v>
                </c:pt>
                <c:pt idx="34">
                  <c:v>1197.433</c:v>
                </c:pt>
                <c:pt idx="35">
                  <c:v>1224.405</c:v>
                </c:pt>
                <c:pt idx="36">
                  <c:v>1238.81</c:v>
                </c:pt>
                <c:pt idx="37">
                  <c:v>1258.0070000000001</c:v>
                </c:pt>
                <c:pt idx="38">
                  <c:v>1283.155</c:v>
                </c:pt>
                <c:pt idx="39">
                  <c:v>1311.345</c:v>
                </c:pt>
                <c:pt idx="40">
                  <c:v>1336.08</c:v>
                </c:pt>
                <c:pt idx="41">
                  <c:v>1338.989</c:v>
                </c:pt>
                <c:pt idx="42">
                  <c:v>1350.7650000000001</c:v>
                </c:pt>
                <c:pt idx="43">
                  <c:v>1370.6010000000001</c:v>
                </c:pt>
                <c:pt idx="44">
                  <c:v>1402.96</c:v>
                </c:pt>
                <c:pt idx="45">
                  <c:v>1441.4069999999999</c:v>
                </c:pt>
                <c:pt idx="46">
                  <c:v>1463.904</c:v>
                </c:pt>
                <c:pt idx="47">
                  <c:v>1490.9949999999999</c:v>
                </c:pt>
                <c:pt idx="48">
                  <c:v>1522.7249999999999</c:v>
                </c:pt>
                <c:pt idx="49">
                  <c:v>1548.69</c:v>
                </c:pt>
                <c:pt idx="50">
                  <c:v>1561.0930000000001</c:v>
                </c:pt>
                <c:pt idx="51">
                  <c:v>1548.713</c:v>
                </c:pt>
                <c:pt idx="52">
                  <c:v>1544.152</c:v>
                </c:pt>
                <c:pt idx="53">
                  <c:v>1550.5070000000001</c:v>
                </c:pt>
                <c:pt idx="54">
                  <c:v>1554.424</c:v>
                </c:pt>
                <c:pt idx="55">
                  <c:v>1547.365</c:v>
                </c:pt>
                <c:pt idx="56">
                  <c:v>1520.828</c:v>
                </c:pt>
                <c:pt idx="57">
                  <c:v>1503.0619999999999</c:v>
                </c:pt>
                <c:pt idx="58">
                  <c:v>1490.9780000000001</c:v>
                </c:pt>
                <c:pt idx="59">
                  <c:v>1493</c:v>
                </c:pt>
                <c:pt idx="60">
                  <c:v>1514.759</c:v>
                </c:pt>
                <c:pt idx="61">
                  <c:v>1543.3420000000001</c:v>
                </c:pt>
                <c:pt idx="62">
                  <c:v>1578.1759999999999</c:v>
                </c:pt>
                <c:pt idx="63">
                  <c:v>1622.2280000000001</c:v>
                </c:pt>
                <c:pt idx="64">
                  <c:v>1672.4590000000001</c:v>
                </c:pt>
                <c:pt idx="65">
                  <c:v>1727.001</c:v>
                </c:pt>
                <c:pt idx="66">
                  <c:v>1775.75</c:v>
                </c:pt>
                <c:pt idx="67">
                  <c:v>1830.8430000000001</c:v>
                </c:pt>
                <c:pt idx="68">
                  <c:v>1887.817</c:v>
                </c:pt>
                <c:pt idx="69">
                  <c:v>1973.453</c:v>
                </c:pt>
                <c:pt idx="70">
                  <c:v>2097.8919999999998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C9DC-4B80-AD62-48021C2BB957}"/>
            </c:ext>
          </c:extLst>
        </c:ser>
        <c:ser>
          <c:idx val="77"/>
          <c:order val="77"/>
          <c:tx>
            <c:strRef>
              <c:f>Sheet1!$CA$1</c:f>
              <c:strCache>
                <c:ptCount val="1"/>
                <c:pt idx="0">
                  <c:v>77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Sheet1!$CA$2:$CA$72</c:f>
              <c:numCache>
                <c:formatCode>0.000</c:formatCode>
                <c:ptCount val="71"/>
                <c:pt idx="0">
                  <c:v>447.678</c:v>
                </c:pt>
                <c:pt idx="1">
                  <c:v>461.24099999999999</c:v>
                </c:pt>
                <c:pt idx="2">
                  <c:v>472.43599999999998</c:v>
                </c:pt>
                <c:pt idx="3">
                  <c:v>485.99099999999999</c:v>
                </c:pt>
                <c:pt idx="4">
                  <c:v>499.94299999999998</c:v>
                </c:pt>
                <c:pt idx="5">
                  <c:v>520.57899999999995</c:v>
                </c:pt>
                <c:pt idx="6">
                  <c:v>543.74300000000005</c:v>
                </c:pt>
                <c:pt idx="7">
                  <c:v>572.75599999999997</c:v>
                </c:pt>
                <c:pt idx="8">
                  <c:v>602.5</c:v>
                </c:pt>
                <c:pt idx="9">
                  <c:v>635.50900000000001</c:v>
                </c:pt>
                <c:pt idx="10">
                  <c:v>665.04600000000005</c:v>
                </c:pt>
                <c:pt idx="11">
                  <c:v>672.77</c:v>
                </c:pt>
                <c:pt idx="12">
                  <c:v>679.476</c:v>
                </c:pt>
                <c:pt idx="13">
                  <c:v>692.59699999999998</c:v>
                </c:pt>
                <c:pt idx="14">
                  <c:v>710.90300000000002</c:v>
                </c:pt>
                <c:pt idx="15">
                  <c:v>734.59400000000005</c:v>
                </c:pt>
                <c:pt idx="16">
                  <c:v>750.93299999999999</c:v>
                </c:pt>
                <c:pt idx="17">
                  <c:v>765.99300000000005</c:v>
                </c:pt>
                <c:pt idx="18">
                  <c:v>782.14599999999996</c:v>
                </c:pt>
                <c:pt idx="19">
                  <c:v>801.46699999999998</c:v>
                </c:pt>
                <c:pt idx="20">
                  <c:v>816.64</c:v>
                </c:pt>
                <c:pt idx="21">
                  <c:v>827.077</c:v>
                </c:pt>
                <c:pt idx="22">
                  <c:v>832.66700000000003</c:v>
                </c:pt>
                <c:pt idx="23">
                  <c:v>841.18299999999999</c:v>
                </c:pt>
                <c:pt idx="24">
                  <c:v>851.96199999999999</c:v>
                </c:pt>
                <c:pt idx="25">
                  <c:v>869.76499999999999</c:v>
                </c:pt>
                <c:pt idx="26">
                  <c:v>878.74400000000003</c:v>
                </c:pt>
                <c:pt idx="27">
                  <c:v>908.26400000000001</c:v>
                </c:pt>
                <c:pt idx="28">
                  <c:v>952.351</c:v>
                </c:pt>
                <c:pt idx="29">
                  <c:v>1014.686</c:v>
                </c:pt>
                <c:pt idx="30">
                  <c:v>1079.373</c:v>
                </c:pt>
                <c:pt idx="31">
                  <c:v>1089.653</c:v>
                </c:pt>
                <c:pt idx="32">
                  <c:v>1090.6020000000001</c:v>
                </c:pt>
                <c:pt idx="33">
                  <c:v>1101.5360000000001</c:v>
                </c:pt>
                <c:pt idx="34">
                  <c:v>1120.0640000000001</c:v>
                </c:pt>
                <c:pt idx="35">
                  <c:v>1145.9490000000001</c:v>
                </c:pt>
                <c:pt idx="36">
                  <c:v>1159.0170000000001</c:v>
                </c:pt>
                <c:pt idx="37">
                  <c:v>1175.9659999999999</c:v>
                </c:pt>
                <c:pt idx="38">
                  <c:v>1197.9169999999999</c:v>
                </c:pt>
                <c:pt idx="39">
                  <c:v>1226.3579999999999</c:v>
                </c:pt>
                <c:pt idx="40">
                  <c:v>1256.7860000000001</c:v>
                </c:pt>
                <c:pt idx="41">
                  <c:v>1259.9490000000001</c:v>
                </c:pt>
                <c:pt idx="42">
                  <c:v>1267.9549999999999</c:v>
                </c:pt>
                <c:pt idx="43">
                  <c:v>1285.1610000000001</c:v>
                </c:pt>
                <c:pt idx="44">
                  <c:v>1311.6369999999999</c:v>
                </c:pt>
                <c:pt idx="45">
                  <c:v>1349.134</c:v>
                </c:pt>
                <c:pt idx="46">
                  <c:v>1372.893</c:v>
                </c:pt>
                <c:pt idx="47">
                  <c:v>1399.7360000000001</c:v>
                </c:pt>
                <c:pt idx="48">
                  <c:v>1430.2750000000001</c:v>
                </c:pt>
                <c:pt idx="49">
                  <c:v>1464.366</c:v>
                </c:pt>
                <c:pt idx="50">
                  <c:v>1491.3910000000001</c:v>
                </c:pt>
                <c:pt idx="51">
                  <c:v>1486.461</c:v>
                </c:pt>
                <c:pt idx="52">
                  <c:v>1476.99</c:v>
                </c:pt>
                <c:pt idx="53">
                  <c:v>1476.816</c:v>
                </c:pt>
                <c:pt idx="54">
                  <c:v>1489.61</c:v>
                </c:pt>
                <c:pt idx="55">
                  <c:v>1500.038</c:v>
                </c:pt>
                <c:pt idx="56">
                  <c:v>1485.4559999999999</c:v>
                </c:pt>
                <c:pt idx="57">
                  <c:v>1462.4659999999999</c:v>
                </c:pt>
                <c:pt idx="58">
                  <c:v>1447.865</c:v>
                </c:pt>
                <c:pt idx="59">
                  <c:v>1438.248</c:v>
                </c:pt>
                <c:pt idx="60">
                  <c:v>1442.23</c:v>
                </c:pt>
                <c:pt idx="61">
                  <c:v>1457.845</c:v>
                </c:pt>
                <c:pt idx="62">
                  <c:v>1488.0940000000001</c:v>
                </c:pt>
                <c:pt idx="63">
                  <c:v>1524.501</c:v>
                </c:pt>
                <c:pt idx="64">
                  <c:v>1569.9179999999999</c:v>
                </c:pt>
                <c:pt idx="65">
                  <c:v>1621.3050000000001</c:v>
                </c:pt>
                <c:pt idx="66">
                  <c:v>1664.107</c:v>
                </c:pt>
                <c:pt idx="67">
                  <c:v>1713.184</c:v>
                </c:pt>
                <c:pt idx="68">
                  <c:v>1769.106</c:v>
                </c:pt>
                <c:pt idx="69">
                  <c:v>1827.5350000000001</c:v>
                </c:pt>
                <c:pt idx="70">
                  <c:v>1914.3889999999999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C9DC-4B80-AD62-48021C2BB957}"/>
            </c:ext>
          </c:extLst>
        </c:ser>
        <c:ser>
          <c:idx val="78"/>
          <c:order val="78"/>
          <c:tx>
            <c:strRef>
              <c:f>Sheet1!$CB$1</c:f>
              <c:strCache>
                <c:ptCount val="1"/>
                <c:pt idx="0">
                  <c:v>78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Sheet1!$CB$2:$CB$72</c:f>
              <c:numCache>
                <c:formatCode>0.000</c:formatCode>
                <c:ptCount val="71"/>
                <c:pt idx="0">
                  <c:v>395.03800000000001</c:v>
                </c:pt>
                <c:pt idx="1">
                  <c:v>415.59399999999999</c:v>
                </c:pt>
                <c:pt idx="2">
                  <c:v>429.25400000000002</c:v>
                </c:pt>
                <c:pt idx="3">
                  <c:v>440.19</c:v>
                </c:pt>
                <c:pt idx="4">
                  <c:v>453.28199999999998</c:v>
                </c:pt>
                <c:pt idx="5">
                  <c:v>467.25</c:v>
                </c:pt>
                <c:pt idx="6">
                  <c:v>481.78100000000001</c:v>
                </c:pt>
                <c:pt idx="7">
                  <c:v>504.06200000000001</c:v>
                </c:pt>
                <c:pt idx="8">
                  <c:v>532.95000000000005</c:v>
                </c:pt>
                <c:pt idx="9">
                  <c:v>562.98400000000004</c:v>
                </c:pt>
                <c:pt idx="10">
                  <c:v>596.84100000000001</c:v>
                </c:pt>
                <c:pt idx="11">
                  <c:v>613.83699999999999</c:v>
                </c:pt>
                <c:pt idx="12">
                  <c:v>622.35799999999995</c:v>
                </c:pt>
                <c:pt idx="13">
                  <c:v>631.35699999999997</c:v>
                </c:pt>
                <c:pt idx="14">
                  <c:v>646.40300000000002</c:v>
                </c:pt>
                <c:pt idx="15">
                  <c:v>666.93200000000002</c:v>
                </c:pt>
                <c:pt idx="16">
                  <c:v>684.11300000000006</c:v>
                </c:pt>
                <c:pt idx="17">
                  <c:v>699.29899999999998</c:v>
                </c:pt>
                <c:pt idx="18">
                  <c:v>713.84199999999998</c:v>
                </c:pt>
                <c:pt idx="19">
                  <c:v>729.97199999999998</c:v>
                </c:pt>
                <c:pt idx="20">
                  <c:v>749.77</c:v>
                </c:pt>
                <c:pt idx="21">
                  <c:v>768.904</c:v>
                </c:pt>
                <c:pt idx="22">
                  <c:v>779.06600000000003</c:v>
                </c:pt>
                <c:pt idx="23">
                  <c:v>784.75800000000004</c:v>
                </c:pt>
                <c:pt idx="24">
                  <c:v>794.09</c:v>
                </c:pt>
                <c:pt idx="25">
                  <c:v>806.43</c:v>
                </c:pt>
                <c:pt idx="26">
                  <c:v>804.60799999999995</c:v>
                </c:pt>
                <c:pt idx="27">
                  <c:v>818.71799999999996</c:v>
                </c:pt>
                <c:pt idx="28">
                  <c:v>856.22500000000002</c:v>
                </c:pt>
                <c:pt idx="29">
                  <c:v>907.745</c:v>
                </c:pt>
                <c:pt idx="30">
                  <c:v>978.43600000000004</c:v>
                </c:pt>
                <c:pt idx="31">
                  <c:v>1013.395</c:v>
                </c:pt>
                <c:pt idx="32">
                  <c:v>1024.7190000000001</c:v>
                </c:pt>
                <c:pt idx="33">
                  <c:v>1029.011</c:v>
                </c:pt>
                <c:pt idx="34">
                  <c:v>1043.3109999999999</c:v>
                </c:pt>
                <c:pt idx="35">
                  <c:v>1065.9780000000001</c:v>
                </c:pt>
                <c:pt idx="36">
                  <c:v>1078.98</c:v>
                </c:pt>
                <c:pt idx="37">
                  <c:v>1093.6379999999999</c:v>
                </c:pt>
                <c:pt idx="38">
                  <c:v>1113.0619999999999</c:v>
                </c:pt>
                <c:pt idx="39">
                  <c:v>1137.6980000000001</c:v>
                </c:pt>
                <c:pt idx="40">
                  <c:v>1169.4369999999999</c:v>
                </c:pt>
                <c:pt idx="41">
                  <c:v>1178.047</c:v>
                </c:pt>
                <c:pt idx="42">
                  <c:v>1183.9359999999999</c:v>
                </c:pt>
                <c:pt idx="43">
                  <c:v>1197.3499999999999</c:v>
                </c:pt>
                <c:pt idx="44">
                  <c:v>1220.4090000000001</c:v>
                </c:pt>
                <c:pt idx="45">
                  <c:v>1253.6659999999999</c:v>
                </c:pt>
                <c:pt idx="46">
                  <c:v>1278.665</c:v>
                </c:pt>
                <c:pt idx="47">
                  <c:v>1305.96</c:v>
                </c:pt>
                <c:pt idx="48">
                  <c:v>1335.94</c:v>
                </c:pt>
                <c:pt idx="49">
                  <c:v>1368.45</c:v>
                </c:pt>
                <c:pt idx="50">
                  <c:v>1404.162</c:v>
                </c:pt>
                <c:pt idx="51">
                  <c:v>1412.7439999999999</c:v>
                </c:pt>
                <c:pt idx="52">
                  <c:v>1409.0519999999999</c:v>
                </c:pt>
                <c:pt idx="53">
                  <c:v>1403.9169999999999</c:v>
                </c:pt>
                <c:pt idx="54">
                  <c:v>1409.7449999999999</c:v>
                </c:pt>
                <c:pt idx="55">
                  <c:v>1429.6590000000001</c:v>
                </c:pt>
                <c:pt idx="56">
                  <c:v>1435.55</c:v>
                </c:pt>
                <c:pt idx="57">
                  <c:v>1424.8440000000001</c:v>
                </c:pt>
                <c:pt idx="58">
                  <c:v>1404.6590000000001</c:v>
                </c:pt>
                <c:pt idx="59">
                  <c:v>1392.3230000000001</c:v>
                </c:pt>
                <c:pt idx="60">
                  <c:v>1384.77</c:v>
                </c:pt>
                <c:pt idx="61">
                  <c:v>1382.847</c:v>
                </c:pt>
                <c:pt idx="62">
                  <c:v>1400.921</c:v>
                </c:pt>
                <c:pt idx="63">
                  <c:v>1432.5</c:v>
                </c:pt>
                <c:pt idx="64">
                  <c:v>1470.2619999999999</c:v>
                </c:pt>
                <c:pt idx="65">
                  <c:v>1516.9829999999999</c:v>
                </c:pt>
                <c:pt idx="66">
                  <c:v>1556.636</c:v>
                </c:pt>
                <c:pt idx="67">
                  <c:v>1599.9359999999999</c:v>
                </c:pt>
                <c:pt idx="68">
                  <c:v>1649.797</c:v>
                </c:pt>
                <c:pt idx="69">
                  <c:v>1707.0619999999999</c:v>
                </c:pt>
                <c:pt idx="70">
                  <c:v>1767.1110000000001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C9DC-4B80-AD62-48021C2BB957}"/>
            </c:ext>
          </c:extLst>
        </c:ser>
        <c:ser>
          <c:idx val="79"/>
          <c:order val="79"/>
          <c:tx>
            <c:strRef>
              <c:f>Sheet1!$CC$1</c:f>
              <c:strCache>
                <c:ptCount val="1"/>
                <c:pt idx="0">
                  <c:v>79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Sheet1!$CC$2:$CC$72</c:f>
              <c:numCache>
                <c:formatCode>0.000</c:formatCode>
                <c:ptCount val="71"/>
                <c:pt idx="0">
                  <c:v>340.09</c:v>
                </c:pt>
                <c:pt idx="1">
                  <c:v>364.726</c:v>
                </c:pt>
                <c:pt idx="2">
                  <c:v>384.56200000000001</c:v>
                </c:pt>
                <c:pt idx="3">
                  <c:v>397.53899999999999</c:v>
                </c:pt>
                <c:pt idx="4">
                  <c:v>407.87799999999999</c:v>
                </c:pt>
                <c:pt idx="5">
                  <c:v>420.46</c:v>
                </c:pt>
                <c:pt idx="6">
                  <c:v>429.64</c:v>
                </c:pt>
                <c:pt idx="7">
                  <c:v>442.51900000000001</c:v>
                </c:pt>
                <c:pt idx="8">
                  <c:v>464.202</c:v>
                </c:pt>
                <c:pt idx="9">
                  <c:v>493.19299999999998</c:v>
                </c:pt>
                <c:pt idx="10">
                  <c:v>523.56200000000001</c:v>
                </c:pt>
                <c:pt idx="11">
                  <c:v>547.81600000000003</c:v>
                </c:pt>
                <c:pt idx="12">
                  <c:v>562.88300000000004</c:v>
                </c:pt>
                <c:pt idx="13">
                  <c:v>571.94399999999996</c:v>
                </c:pt>
                <c:pt idx="14">
                  <c:v>582.92200000000003</c:v>
                </c:pt>
                <c:pt idx="15">
                  <c:v>599.80499999999995</c:v>
                </c:pt>
                <c:pt idx="16">
                  <c:v>617.71600000000001</c:v>
                </c:pt>
                <c:pt idx="17">
                  <c:v>633.149</c:v>
                </c:pt>
                <c:pt idx="18">
                  <c:v>647.34</c:v>
                </c:pt>
                <c:pt idx="19">
                  <c:v>661.60199999999998</c:v>
                </c:pt>
                <c:pt idx="20">
                  <c:v>677.88199999999995</c:v>
                </c:pt>
                <c:pt idx="21">
                  <c:v>701.94600000000003</c:v>
                </c:pt>
                <c:pt idx="22">
                  <c:v>720.78300000000002</c:v>
                </c:pt>
                <c:pt idx="23">
                  <c:v>731.04700000000003</c:v>
                </c:pt>
                <c:pt idx="24">
                  <c:v>737.15700000000004</c:v>
                </c:pt>
                <c:pt idx="25">
                  <c:v>747.36199999999997</c:v>
                </c:pt>
                <c:pt idx="26">
                  <c:v>742.01700000000005</c:v>
                </c:pt>
                <c:pt idx="27">
                  <c:v>740.06700000000001</c:v>
                </c:pt>
                <c:pt idx="28">
                  <c:v>758.98800000000006</c:v>
                </c:pt>
                <c:pt idx="29">
                  <c:v>804.06500000000005</c:v>
                </c:pt>
                <c:pt idx="30">
                  <c:v>862.78200000000004</c:v>
                </c:pt>
                <c:pt idx="31">
                  <c:v>914.88699999999994</c:v>
                </c:pt>
                <c:pt idx="32">
                  <c:v>947.17899999999997</c:v>
                </c:pt>
                <c:pt idx="33">
                  <c:v>959.49300000000005</c:v>
                </c:pt>
                <c:pt idx="34">
                  <c:v>967.23199999999997</c:v>
                </c:pt>
                <c:pt idx="35">
                  <c:v>984.96699999999998</c:v>
                </c:pt>
                <c:pt idx="36">
                  <c:v>998.89400000000001</c:v>
                </c:pt>
                <c:pt idx="37">
                  <c:v>1012.023</c:v>
                </c:pt>
                <c:pt idx="38">
                  <c:v>1028.2049999999999</c:v>
                </c:pt>
                <c:pt idx="39">
                  <c:v>1050.0340000000001</c:v>
                </c:pt>
                <c:pt idx="40">
                  <c:v>1077.3599999999999</c:v>
                </c:pt>
                <c:pt idx="41">
                  <c:v>1091.8140000000001</c:v>
                </c:pt>
                <c:pt idx="42">
                  <c:v>1099.423</c:v>
                </c:pt>
                <c:pt idx="43">
                  <c:v>1108.329</c:v>
                </c:pt>
                <c:pt idx="44">
                  <c:v>1127.5360000000001</c:v>
                </c:pt>
                <c:pt idx="45">
                  <c:v>1156.5650000000001</c:v>
                </c:pt>
                <c:pt idx="46">
                  <c:v>1182.251</c:v>
                </c:pt>
                <c:pt idx="47">
                  <c:v>1209.67</c:v>
                </c:pt>
                <c:pt idx="48">
                  <c:v>1239.3630000000001</c:v>
                </c:pt>
                <c:pt idx="49">
                  <c:v>1271.1030000000001</c:v>
                </c:pt>
                <c:pt idx="50">
                  <c:v>1304.9090000000001</c:v>
                </c:pt>
                <c:pt idx="51">
                  <c:v>1324.181</c:v>
                </c:pt>
                <c:pt idx="52">
                  <c:v>1331.4469999999999</c:v>
                </c:pt>
                <c:pt idx="53">
                  <c:v>1330.3630000000001</c:v>
                </c:pt>
                <c:pt idx="54">
                  <c:v>1331.1130000000001</c:v>
                </c:pt>
                <c:pt idx="55">
                  <c:v>1343.577</c:v>
                </c:pt>
                <c:pt idx="56">
                  <c:v>1361.9780000000001</c:v>
                </c:pt>
                <c:pt idx="57">
                  <c:v>1372.318</c:v>
                </c:pt>
                <c:pt idx="58">
                  <c:v>1364.769</c:v>
                </c:pt>
                <c:pt idx="59">
                  <c:v>1346.511</c:v>
                </c:pt>
                <c:pt idx="60">
                  <c:v>1336.056</c:v>
                </c:pt>
                <c:pt idx="61">
                  <c:v>1321.6849999999999</c:v>
                </c:pt>
                <c:pt idx="62">
                  <c:v>1323.4480000000001</c:v>
                </c:pt>
                <c:pt idx="63">
                  <c:v>1343.6679999999999</c:v>
                </c:pt>
                <c:pt idx="64">
                  <c:v>1376.375</c:v>
                </c:pt>
                <c:pt idx="65">
                  <c:v>1415.442</c:v>
                </c:pt>
                <c:pt idx="66">
                  <c:v>1450.425</c:v>
                </c:pt>
                <c:pt idx="67">
                  <c:v>1490.768</c:v>
                </c:pt>
                <c:pt idx="68">
                  <c:v>1534.9970000000001</c:v>
                </c:pt>
                <c:pt idx="69">
                  <c:v>1586.1289999999999</c:v>
                </c:pt>
                <c:pt idx="70">
                  <c:v>1644.893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C9DC-4B80-AD62-48021C2BB957}"/>
            </c:ext>
          </c:extLst>
        </c:ser>
        <c:ser>
          <c:idx val="80"/>
          <c:order val="80"/>
          <c:tx>
            <c:strRef>
              <c:f>Sheet1!$CD$1</c:f>
              <c:strCache>
                <c:ptCount val="1"/>
                <c:pt idx="0">
                  <c:v>80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Sheet1!$CD$2:$CD$72</c:f>
              <c:numCache>
                <c:formatCode>0.000</c:formatCode>
                <c:ptCount val="71"/>
                <c:pt idx="0">
                  <c:v>289.44099999999997</c:v>
                </c:pt>
                <c:pt idx="1">
                  <c:v>311.99200000000002</c:v>
                </c:pt>
                <c:pt idx="2">
                  <c:v>335.339</c:v>
                </c:pt>
                <c:pt idx="3">
                  <c:v>353.77</c:v>
                </c:pt>
                <c:pt idx="4">
                  <c:v>365.76</c:v>
                </c:pt>
                <c:pt idx="5">
                  <c:v>375.46300000000002</c:v>
                </c:pt>
                <c:pt idx="6">
                  <c:v>384.64800000000002</c:v>
                </c:pt>
                <c:pt idx="7">
                  <c:v>391.613</c:v>
                </c:pt>
                <c:pt idx="8">
                  <c:v>403.101</c:v>
                </c:pt>
                <c:pt idx="9">
                  <c:v>424.38600000000002</c:v>
                </c:pt>
                <c:pt idx="10">
                  <c:v>453.51900000000001</c:v>
                </c:pt>
                <c:pt idx="11">
                  <c:v>478.505</c:v>
                </c:pt>
                <c:pt idx="12">
                  <c:v>499.01499999999999</c:v>
                </c:pt>
                <c:pt idx="13">
                  <c:v>511.923</c:v>
                </c:pt>
                <c:pt idx="14">
                  <c:v>521.24300000000005</c:v>
                </c:pt>
                <c:pt idx="15">
                  <c:v>534.13099999999997</c:v>
                </c:pt>
                <c:pt idx="16">
                  <c:v>552.38599999999997</c:v>
                </c:pt>
                <c:pt idx="17">
                  <c:v>568.06100000000004</c:v>
                </c:pt>
                <c:pt idx="18">
                  <c:v>581.89200000000005</c:v>
                </c:pt>
                <c:pt idx="19">
                  <c:v>595.30499999999995</c:v>
                </c:pt>
                <c:pt idx="20">
                  <c:v>609.44000000000005</c:v>
                </c:pt>
                <c:pt idx="21">
                  <c:v>630.15099999999995</c:v>
                </c:pt>
                <c:pt idx="22">
                  <c:v>653.77200000000005</c:v>
                </c:pt>
                <c:pt idx="23">
                  <c:v>672.65800000000002</c:v>
                </c:pt>
                <c:pt idx="24">
                  <c:v>683.31799999999998</c:v>
                </c:pt>
                <c:pt idx="25">
                  <c:v>689.89400000000001</c:v>
                </c:pt>
                <c:pt idx="26">
                  <c:v>687.154</c:v>
                </c:pt>
                <c:pt idx="27">
                  <c:v>678.17700000000002</c:v>
                </c:pt>
                <c:pt idx="28">
                  <c:v>675.78899999999999</c:v>
                </c:pt>
                <c:pt idx="29">
                  <c:v>699.13699999999994</c:v>
                </c:pt>
                <c:pt idx="30">
                  <c:v>751.57799999999997</c:v>
                </c:pt>
                <c:pt idx="31">
                  <c:v>804.05899999999997</c:v>
                </c:pt>
                <c:pt idx="32">
                  <c:v>851.11400000000003</c:v>
                </c:pt>
                <c:pt idx="33">
                  <c:v>880.69200000000001</c:v>
                </c:pt>
                <c:pt idx="34">
                  <c:v>894.09199999999998</c:v>
                </c:pt>
                <c:pt idx="35">
                  <c:v>905.34299999999996</c:v>
                </c:pt>
                <c:pt idx="36">
                  <c:v>918.90700000000004</c:v>
                </c:pt>
                <c:pt idx="37">
                  <c:v>931.82399999999996</c:v>
                </c:pt>
                <c:pt idx="38">
                  <c:v>945.01800000000003</c:v>
                </c:pt>
                <c:pt idx="39">
                  <c:v>962.65300000000002</c:v>
                </c:pt>
                <c:pt idx="40">
                  <c:v>986.89</c:v>
                </c:pt>
                <c:pt idx="41">
                  <c:v>1003.343</c:v>
                </c:pt>
                <c:pt idx="42">
                  <c:v>1014.297</c:v>
                </c:pt>
                <c:pt idx="43">
                  <c:v>1021.181</c:v>
                </c:pt>
                <c:pt idx="44">
                  <c:v>1033.4549999999999</c:v>
                </c:pt>
                <c:pt idx="45">
                  <c:v>1058.546</c:v>
                </c:pt>
                <c:pt idx="46">
                  <c:v>1085.019</c:v>
                </c:pt>
                <c:pt idx="47">
                  <c:v>1112.1990000000001</c:v>
                </c:pt>
                <c:pt idx="48">
                  <c:v>1140.9739999999999</c:v>
                </c:pt>
                <c:pt idx="49">
                  <c:v>1171.7940000000001</c:v>
                </c:pt>
                <c:pt idx="50">
                  <c:v>1204.6780000000001</c:v>
                </c:pt>
                <c:pt idx="51">
                  <c:v>1225.5260000000001</c:v>
                </c:pt>
                <c:pt idx="52">
                  <c:v>1241.702</c:v>
                </c:pt>
                <c:pt idx="53">
                  <c:v>1248.9449999999999</c:v>
                </c:pt>
                <c:pt idx="54">
                  <c:v>1251.9459999999999</c:v>
                </c:pt>
                <c:pt idx="55">
                  <c:v>1259.172</c:v>
                </c:pt>
                <c:pt idx="56">
                  <c:v>1272.529</c:v>
                </c:pt>
                <c:pt idx="57">
                  <c:v>1295.4939999999999</c:v>
                </c:pt>
                <c:pt idx="58">
                  <c:v>1309.5999999999999</c:v>
                </c:pt>
                <c:pt idx="59">
                  <c:v>1304.3599999999999</c:v>
                </c:pt>
                <c:pt idx="60">
                  <c:v>1287.6600000000001</c:v>
                </c:pt>
                <c:pt idx="61">
                  <c:v>1268.665</c:v>
                </c:pt>
                <c:pt idx="62">
                  <c:v>1258.579</c:v>
                </c:pt>
                <c:pt idx="63">
                  <c:v>1263.7339999999999</c:v>
                </c:pt>
                <c:pt idx="64">
                  <c:v>1285.9159999999999</c:v>
                </c:pt>
                <c:pt idx="65">
                  <c:v>1319.711</c:v>
                </c:pt>
                <c:pt idx="66">
                  <c:v>1346.9839999999999</c:v>
                </c:pt>
                <c:pt idx="67">
                  <c:v>1382.74</c:v>
                </c:pt>
                <c:pt idx="68">
                  <c:v>1424.184</c:v>
                </c:pt>
                <c:pt idx="69">
                  <c:v>1469.8019999999999</c:v>
                </c:pt>
                <c:pt idx="70">
                  <c:v>1522.35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C9DC-4B80-AD62-48021C2BB957}"/>
            </c:ext>
          </c:extLst>
        </c:ser>
        <c:ser>
          <c:idx val="81"/>
          <c:order val="81"/>
          <c:tx>
            <c:strRef>
              <c:f>Sheet1!$CE$1</c:f>
              <c:strCache>
                <c:ptCount val="1"/>
                <c:pt idx="0">
                  <c:v>81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Sheet1!$CE$2:$CE$72</c:f>
              <c:numCache>
                <c:formatCode>0.000</c:formatCode>
                <c:ptCount val="71"/>
                <c:pt idx="0">
                  <c:v>241.00299999999999</c:v>
                </c:pt>
                <c:pt idx="1">
                  <c:v>263.43400000000003</c:v>
                </c:pt>
                <c:pt idx="2">
                  <c:v>284.69299999999998</c:v>
                </c:pt>
                <c:pt idx="3">
                  <c:v>306.161</c:v>
                </c:pt>
                <c:pt idx="4">
                  <c:v>322.91699999999997</c:v>
                </c:pt>
                <c:pt idx="5">
                  <c:v>333.88400000000001</c:v>
                </c:pt>
                <c:pt idx="6">
                  <c:v>341.40300000000002</c:v>
                </c:pt>
                <c:pt idx="7">
                  <c:v>348.46</c:v>
                </c:pt>
                <c:pt idx="8">
                  <c:v>353.44900000000001</c:v>
                </c:pt>
                <c:pt idx="9">
                  <c:v>363.72500000000002</c:v>
                </c:pt>
                <c:pt idx="10">
                  <c:v>384.64699999999999</c:v>
                </c:pt>
                <c:pt idx="11">
                  <c:v>412.33800000000002</c:v>
                </c:pt>
                <c:pt idx="12">
                  <c:v>433.64400000000001</c:v>
                </c:pt>
                <c:pt idx="13">
                  <c:v>450.20600000000002</c:v>
                </c:pt>
                <c:pt idx="14">
                  <c:v>460.70299999999997</c:v>
                </c:pt>
                <c:pt idx="15">
                  <c:v>470.23</c:v>
                </c:pt>
                <c:pt idx="16">
                  <c:v>488.69299999999998</c:v>
                </c:pt>
                <c:pt idx="17">
                  <c:v>504.57100000000003</c:v>
                </c:pt>
                <c:pt idx="18">
                  <c:v>518.14200000000005</c:v>
                </c:pt>
                <c:pt idx="19">
                  <c:v>530.56799999999998</c:v>
                </c:pt>
                <c:pt idx="20">
                  <c:v>543.34199999999998</c:v>
                </c:pt>
                <c:pt idx="21">
                  <c:v>561.91899999999998</c:v>
                </c:pt>
                <c:pt idx="22">
                  <c:v>582.10599999999999</c:v>
                </c:pt>
                <c:pt idx="23">
                  <c:v>605.596</c:v>
                </c:pt>
                <c:pt idx="24">
                  <c:v>624.80200000000002</c:v>
                </c:pt>
                <c:pt idx="25">
                  <c:v>635.899</c:v>
                </c:pt>
                <c:pt idx="26">
                  <c:v>633.45600000000002</c:v>
                </c:pt>
                <c:pt idx="27">
                  <c:v>627.47500000000002</c:v>
                </c:pt>
                <c:pt idx="28">
                  <c:v>614.57799999999997</c:v>
                </c:pt>
                <c:pt idx="29">
                  <c:v>611.39499999999998</c:v>
                </c:pt>
                <c:pt idx="30">
                  <c:v>638.99199999999996</c:v>
                </c:pt>
                <c:pt idx="31">
                  <c:v>697.52599999999995</c:v>
                </c:pt>
                <c:pt idx="32">
                  <c:v>745.12699999999995</c:v>
                </c:pt>
                <c:pt idx="33">
                  <c:v>787.09500000000003</c:v>
                </c:pt>
                <c:pt idx="34">
                  <c:v>814.04600000000005</c:v>
                </c:pt>
                <c:pt idx="35">
                  <c:v>828.59500000000003</c:v>
                </c:pt>
                <c:pt idx="36">
                  <c:v>840.43499999999995</c:v>
                </c:pt>
                <c:pt idx="37">
                  <c:v>852.86099999999999</c:v>
                </c:pt>
                <c:pt idx="38">
                  <c:v>864.71100000000001</c:v>
                </c:pt>
                <c:pt idx="39">
                  <c:v>877.90200000000004</c:v>
                </c:pt>
                <c:pt idx="40">
                  <c:v>896.98900000000003</c:v>
                </c:pt>
                <c:pt idx="41">
                  <c:v>916.44399999999996</c:v>
                </c:pt>
                <c:pt idx="42">
                  <c:v>929.42100000000005</c:v>
                </c:pt>
                <c:pt idx="43">
                  <c:v>937.13400000000001</c:v>
                </c:pt>
                <c:pt idx="44">
                  <c:v>943.61199999999997</c:v>
                </c:pt>
                <c:pt idx="45">
                  <c:v>959.31799999999998</c:v>
                </c:pt>
                <c:pt idx="46">
                  <c:v>987.17600000000004</c:v>
                </c:pt>
                <c:pt idx="47">
                  <c:v>1014.723</c:v>
                </c:pt>
                <c:pt idx="48">
                  <c:v>1042.413</c:v>
                </c:pt>
                <c:pt idx="49">
                  <c:v>1071.377</c:v>
                </c:pt>
                <c:pt idx="50">
                  <c:v>1102.768</c:v>
                </c:pt>
                <c:pt idx="51">
                  <c:v>1126.1300000000001</c:v>
                </c:pt>
                <c:pt idx="52">
                  <c:v>1143.8240000000001</c:v>
                </c:pt>
                <c:pt idx="53">
                  <c:v>1158.1079999999999</c:v>
                </c:pt>
                <c:pt idx="54">
                  <c:v>1166.7139999999999</c:v>
                </c:pt>
                <c:pt idx="55">
                  <c:v>1174.3489999999999</c:v>
                </c:pt>
                <c:pt idx="56">
                  <c:v>1185.2619999999999</c:v>
                </c:pt>
                <c:pt idx="57">
                  <c:v>1202.6030000000001</c:v>
                </c:pt>
                <c:pt idx="58">
                  <c:v>1229.49</c:v>
                </c:pt>
                <c:pt idx="59">
                  <c:v>1246.556</c:v>
                </c:pt>
                <c:pt idx="60">
                  <c:v>1243.268</c:v>
                </c:pt>
                <c:pt idx="61">
                  <c:v>1216.4390000000001</c:v>
                </c:pt>
                <c:pt idx="62">
                  <c:v>1201.248</c:v>
                </c:pt>
                <c:pt idx="63">
                  <c:v>1195.1690000000001</c:v>
                </c:pt>
                <c:pt idx="64">
                  <c:v>1203.5519999999999</c:v>
                </c:pt>
                <c:pt idx="65">
                  <c:v>1227.6669999999999</c:v>
                </c:pt>
                <c:pt idx="66">
                  <c:v>1249.6500000000001</c:v>
                </c:pt>
                <c:pt idx="67">
                  <c:v>1277.4739999999999</c:v>
                </c:pt>
                <c:pt idx="68">
                  <c:v>1314.394</c:v>
                </c:pt>
                <c:pt idx="69">
                  <c:v>1357.365</c:v>
                </c:pt>
                <c:pt idx="70">
                  <c:v>1404.508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C9DC-4B80-AD62-48021C2BB957}"/>
            </c:ext>
          </c:extLst>
        </c:ser>
        <c:ser>
          <c:idx val="82"/>
          <c:order val="82"/>
          <c:tx>
            <c:strRef>
              <c:f>Sheet1!$CF$1</c:f>
              <c:strCache>
                <c:ptCount val="1"/>
                <c:pt idx="0">
                  <c:v>82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Sheet1!$CF$2:$CF$72</c:f>
              <c:numCache>
                <c:formatCode>0.000</c:formatCode>
                <c:ptCount val="71"/>
                <c:pt idx="0">
                  <c:v>200.84700000000001</c:v>
                </c:pt>
                <c:pt idx="1">
                  <c:v>217.07599999999999</c:v>
                </c:pt>
                <c:pt idx="2">
                  <c:v>238.10599999999999</c:v>
                </c:pt>
                <c:pt idx="3">
                  <c:v>257.56799999999998</c:v>
                </c:pt>
                <c:pt idx="4">
                  <c:v>276.92599999999999</c:v>
                </c:pt>
                <c:pt idx="5">
                  <c:v>291.97399999999999</c:v>
                </c:pt>
                <c:pt idx="6">
                  <c:v>301.51299999999998</c:v>
                </c:pt>
                <c:pt idx="7">
                  <c:v>307.00700000000001</c:v>
                </c:pt>
                <c:pt idx="8">
                  <c:v>312.15199999999999</c:v>
                </c:pt>
                <c:pt idx="9">
                  <c:v>315.32600000000002</c:v>
                </c:pt>
                <c:pt idx="10">
                  <c:v>324.41699999999997</c:v>
                </c:pt>
                <c:pt idx="11">
                  <c:v>347.601</c:v>
                </c:pt>
                <c:pt idx="12">
                  <c:v>371.32400000000001</c:v>
                </c:pt>
                <c:pt idx="13">
                  <c:v>388.77300000000002</c:v>
                </c:pt>
                <c:pt idx="14">
                  <c:v>401.16800000000001</c:v>
                </c:pt>
                <c:pt idx="15">
                  <c:v>409.21499999999997</c:v>
                </c:pt>
                <c:pt idx="16">
                  <c:v>426.89600000000002</c:v>
                </c:pt>
                <c:pt idx="17">
                  <c:v>442.904</c:v>
                </c:pt>
                <c:pt idx="18">
                  <c:v>456.524</c:v>
                </c:pt>
                <c:pt idx="19">
                  <c:v>468.16800000000001</c:v>
                </c:pt>
                <c:pt idx="20">
                  <c:v>479.31299999999999</c:v>
                </c:pt>
                <c:pt idx="21">
                  <c:v>495.99599999999998</c:v>
                </c:pt>
                <c:pt idx="22">
                  <c:v>514.11900000000003</c:v>
                </c:pt>
                <c:pt idx="23">
                  <c:v>534.06100000000004</c:v>
                </c:pt>
                <c:pt idx="24">
                  <c:v>557.66499999999996</c:v>
                </c:pt>
                <c:pt idx="25">
                  <c:v>577.22799999999995</c:v>
                </c:pt>
                <c:pt idx="26">
                  <c:v>583.50199999999995</c:v>
                </c:pt>
                <c:pt idx="27">
                  <c:v>577.50800000000004</c:v>
                </c:pt>
                <c:pt idx="28">
                  <c:v>568.01800000000003</c:v>
                </c:pt>
                <c:pt idx="29">
                  <c:v>550.86500000000001</c:v>
                </c:pt>
                <c:pt idx="30">
                  <c:v>546.73400000000004</c:v>
                </c:pt>
                <c:pt idx="31">
                  <c:v>590.12199999999996</c:v>
                </c:pt>
                <c:pt idx="32">
                  <c:v>643.279</c:v>
                </c:pt>
                <c:pt idx="33">
                  <c:v>685.97400000000005</c:v>
                </c:pt>
                <c:pt idx="34">
                  <c:v>722.93700000000001</c:v>
                </c:pt>
                <c:pt idx="35">
                  <c:v>747.31799999999998</c:v>
                </c:pt>
                <c:pt idx="36">
                  <c:v>764.95500000000004</c:v>
                </c:pt>
                <c:pt idx="37">
                  <c:v>775.53899999999999</c:v>
                </c:pt>
                <c:pt idx="38">
                  <c:v>786.774</c:v>
                </c:pt>
                <c:pt idx="39">
                  <c:v>797.49300000000005</c:v>
                </c:pt>
                <c:pt idx="40">
                  <c:v>810.678</c:v>
                </c:pt>
                <c:pt idx="41">
                  <c:v>830.65499999999997</c:v>
                </c:pt>
                <c:pt idx="42">
                  <c:v>846.08199999999999</c:v>
                </c:pt>
                <c:pt idx="43">
                  <c:v>855.82100000000003</c:v>
                </c:pt>
                <c:pt idx="44">
                  <c:v>860.58699999999999</c:v>
                </c:pt>
                <c:pt idx="45">
                  <c:v>866.70299999999997</c:v>
                </c:pt>
                <c:pt idx="46">
                  <c:v>888.52</c:v>
                </c:pt>
                <c:pt idx="47">
                  <c:v>916.94399999999996</c:v>
                </c:pt>
                <c:pt idx="48">
                  <c:v>944.66300000000001</c:v>
                </c:pt>
                <c:pt idx="49">
                  <c:v>971.79499999999996</c:v>
                </c:pt>
                <c:pt idx="50">
                  <c:v>1000.453</c:v>
                </c:pt>
                <c:pt idx="51">
                  <c:v>1025.57</c:v>
                </c:pt>
                <c:pt idx="52">
                  <c:v>1045.442</c:v>
                </c:pt>
                <c:pt idx="53">
                  <c:v>1061.0999999999999</c:v>
                </c:pt>
                <c:pt idx="54">
                  <c:v>1074.7760000000001</c:v>
                </c:pt>
                <c:pt idx="55">
                  <c:v>1085.2560000000001</c:v>
                </c:pt>
                <c:pt idx="56">
                  <c:v>1097.933</c:v>
                </c:pt>
                <c:pt idx="57">
                  <c:v>1112.402</c:v>
                </c:pt>
                <c:pt idx="58">
                  <c:v>1133.1179999999999</c:v>
                </c:pt>
                <c:pt idx="59">
                  <c:v>1163.172</c:v>
                </c:pt>
                <c:pt idx="60">
                  <c:v>1182.8579999999999</c:v>
                </c:pt>
                <c:pt idx="61">
                  <c:v>1168.499</c:v>
                </c:pt>
                <c:pt idx="62">
                  <c:v>1145.1869999999999</c:v>
                </c:pt>
                <c:pt idx="63">
                  <c:v>1133.537</c:v>
                </c:pt>
                <c:pt idx="64">
                  <c:v>1131.318</c:v>
                </c:pt>
                <c:pt idx="65">
                  <c:v>1142.9110000000001</c:v>
                </c:pt>
                <c:pt idx="66">
                  <c:v>1156.442</c:v>
                </c:pt>
                <c:pt idx="67">
                  <c:v>1178.606</c:v>
                </c:pt>
                <c:pt idx="68">
                  <c:v>1207.3530000000001</c:v>
                </c:pt>
                <c:pt idx="69">
                  <c:v>1245.835</c:v>
                </c:pt>
                <c:pt idx="70">
                  <c:v>1290.463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C9DC-4B80-AD62-48021C2BB957}"/>
            </c:ext>
          </c:extLst>
        </c:ser>
        <c:ser>
          <c:idx val="83"/>
          <c:order val="83"/>
          <c:tx>
            <c:strRef>
              <c:f>Sheet1!$CG$1</c:f>
              <c:strCache>
                <c:ptCount val="1"/>
                <c:pt idx="0">
                  <c:v>83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Sheet1!$CG$2:$CG$72</c:f>
              <c:numCache>
                <c:formatCode>0.000</c:formatCode>
                <c:ptCount val="71"/>
                <c:pt idx="0">
                  <c:v>172.41200000000001</c:v>
                </c:pt>
                <c:pt idx="1">
                  <c:v>178.90299999999999</c:v>
                </c:pt>
                <c:pt idx="2">
                  <c:v>193.71299999999999</c:v>
                </c:pt>
                <c:pt idx="3">
                  <c:v>212.922</c:v>
                </c:pt>
                <c:pt idx="4">
                  <c:v>230.39099999999999</c:v>
                </c:pt>
                <c:pt idx="5">
                  <c:v>247.61</c:v>
                </c:pt>
                <c:pt idx="6">
                  <c:v>261.94200000000001</c:v>
                </c:pt>
                <c:pt idx="7">
                  <c:v>268.84500000000003</c:v>
                </c:pt>
                <c:pt idx="8">
                  <c:v>272.50599999999997</c:v>
                </c:pt>
                <c:pt idx="9">
                  <c:v>275.88</c:v>
                </c:pt>
                <c:pt idx="10">
                  <c:v>277.262</c:v>
                </c:pt>
                <c:pt idx="11">
                  <c:v>291.23200000000003</c:v>
                </c:pt>
                <c:pt idx="12">
                  <c:v>310.69600000000003</c:v>
                </c:pt>
                <c:pt idx="13">
                  <c:v>330.3</c:v>
                </c:pt>
                <c:pt idx="14">
                  <c:v>343.70400000000001</c:v>
                </c:pt>
                <c:pt idx="15">
                  <c:v>351.89800000000002</c:v>
                </c:pt>
                <c:pt idx="16">
                  <c:v>368.64100000000002</c:v>
                </c:pt>
                <c:pt idx="17">
                  <c:v>383.25200000000001</c:v>
                </c:pt>
                <c:pt idx="18">
                  <c:v>396.911</c:v>
                </c:pt>
                <c:pt idx="19">
                  <c:v>408.42899999999997</c:v>
                </c:pt>
                <c:pt idx="20">
                  <c:v>418.25599999999997</c:v>
                </c:pt>
                <c:pt idx="21">
                  <c:v>433.36799999999999</c:v>
                </c:pt>
                <c:pt idx="22">
                  <c:v>448.404</c:v>
                </c:pt>
                <c:pt idx="23">
                  <c:v>466.32400000000001</c:v>
                </c:pt>
                <c:pt idx="24">
                  <c:v>486.23399999999998</c:v>
                </c:pt>
                <c:pt idx="25">
                  <c:v>509.98399999999998</c:v>
                </c:pt>
                <c:pt idx="26">
                  <c:v>528.89099999999996</c:v>
                </c:pt>
                <c:pt idx="27">
                  <c:v>531.55600000000004</c:v>
                </c:pt>
                <c:pt idx="28">
                  <c:v>521.76300000000003</c:v>
                </c:pt>
                <c:pt idx="29">
                  <c:v>508.45600000000002</c:v>
                </c:pt>
                <c:pt idx="30">
                  <c:v>486.90800000000002</c:v>
                </c:pt>
                <c:pt idx="31">
                  <c:v>501.90800000000002</c:v>
                </c:pt>
                <c:pt idx="32">
                  <c:v>541.072</c:v>
                </c:pt>
                <c:pt idx="33">
                  <c:v>588.83699999999999</c:v>
                </c:pt>
                <c:pt idx="34">
                  <c:v>626.70299999999997</c:v>
                </c:pt>
                <c:pt idx="35">
                  <c:v>658.71100000000001</c:v>
                </c:pt>
                <c:pt idx="36">
                  <c:v>686.14800000000002</c:v>
                </c:pt>
                <c:pt idx="37">
                  <c:v>701.32600000000002</c:v>
                </c:pt>
                <c:pt idx="38">
                  <c:v>710.60500000000002</c:v>
                </c:pt>
                <c:pt idx="39">
                  <c:v>720.59199999999998</c:v>
                </c:pt>
                <c:pt idx="40">
                  <c:v>730.17499999999995</c:v>
                </c:pt>
                <c:pt idx="41">
                  <c:v>748.02599999999995</c:v>
                </c:pt>
                <c:pt idx="42">
                  <c:v>764.39200000000005</c:v>
                </c:pt>
                <c:pt idx="43">
                  <c:v>776.01199999999994</c:v>
                </c:pt>
                <c:pt idx="44">
                  <c:v>782.78200000000004</c:v>
                </c:pt>
                <c:pt idx="45">
                  <c:v>784.63199999999995</c:v>
                </c:pt>
                <c:pt idx="46">
                  <c:v>797.05</c:v>
                </c:pt>
                <c:pt idx="47">
                  <c:v>818.74599999999998</c:v>
                </c:pt>
                <c:pt idx="48">
                  <c:v>846.91300000000001</c:v>
                </c:pt>
                <c:pt idx="49">
                  <c:v>873.84</c:v>
                </c:pt>
                <c:pt idx="50">
                  <c:v>899.98199999999997</c:v>
                </c:pt>
                <c:pt idx="51">
                  <c:v>925.19799999999998</c:v>
                </c:pt>
                <c:pt idx="52">
                  <c:v>946.41099999999994</c:v>
                </c:pt>
                <c:pt idx="53">
                  <c:v>963.82399999999996</c:v>
                </c:pt>
                <c:pt idx="54">
                  <c:v>978.62599999999998</c:v>
                </c:pt>
                <c:pt idx="55">
                  <c:v>992.16499999999996</c:v>
                </c:pt>
                <c:pt idx="56">
                  <c:v>1007.575</c:v>
                </c:pt>
                <c:pt idx="57">
                  <c:v>1022.494</c:v>
                </c:pt>
                <c:pt idx="58">
                  <c:v>1039.944</c:v>
                </c:pt>
                <c:pt idx="59">
                  <c:v>1063.336</c:v>
                </c:pt>
                <c:pt idx="60">
                  <c:v>1096.242</c:v>
                </c:pt>
                <c:pt idx="61">
                  <c:v>1105.7349999999999</c:v>
                </c:pt>
                <c:pt idx="62">
                  <c:v>1093.694</c:v>
                </c:pt>
                <c:pt idx="63">
                  <c:v>1073.6479999999999</c:v>
                </c:pt>
                <c:pt idx="64">
                  <c:v>1065.4059999999999</c:v>
                </c:pt>
                <c:pt idx="65">
                  <c:v>1067.0409999999999</c:v>
                </c:pt>
                <c:pt idx="66">
                  <c:v>1070.403</c:v>
                </c:pt>
                <c:pt idx="67">
                  <c:v>1084.3</c:v>
                </c:pt>
                <c:pt idx="68">
                  <c:v>1106.999</c:v>
                </c:pt>
                <c:pt idx="69">
                  <c:v>1137.0419999999999</c:v>
                </c:pt>
                <c:pt idx="70">
                  <c:v>1177.2070000000001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C9DC-4B80-AD62-48021C2BB957}"/>
            </c:ext>
          </c:extLst>
        </c:ser>
        <c:ser>
          <c:idx val="84"/>
          <c:order val="84"/>
          <c:tx>
            <c:strRef>
              <c:f>Sheet1!$CH$1</c:f>
              <c:strCache>
                <c:ptCount val="1"/>
                <c:pt idx="0">
                  <c:v>84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Sheet1!$CH$2:$CH$72</c:f>
              <c:numCache>
                <c:formatCode>0.000</c:formatCode>
                <c:ptCount val="71"/>
                <c:pt idx="0">
                  <c:v>152.34100000000001</c:v>
                </c:pt>
                <c:pt idx="1">
                  <c:v>152.25700000000001</c:v>
                </c:pt>
                <c:pt idx="2">
                  <c:v>157.429</c:v>
                </c:pt>
                <c:pt idx="3">
                  <c:v>170.46600000000001</c:v>
                </c:pt>
                <c:pt idx="4">
                  <c:v>187.69200000000001</c:v>
                </c:pt>
                <c:pt idx="5">
                  <c:v>203.14400000000001</c:v>
                </c:pt>
                <c:pt idx="6">
                  <c:v>220.80500000000001</c:v>
                </c:pt>
                <c:pt idx="7">
                  <c:v>231.649</c:v>
                </c:pt>
                <c:pt idx="8">
                  <c:v>236.08500000000001</c:v>
                </c:pt>
                <c:pt idx="9">
                  <c:v>238.03800000000001</c:v>
                </c:pt>
                <c:pt idx="10">
                  <c:v>239.66300000000001</c:v>
                </c:pt>
                <c:pt idx="11">
                  <c:v>247.19900000000001</c:v>
                </c:pt>
                <c:pt idx="12">
                  <c:v>258.16300000000001</c:v>
                </c:pt>
                <c:pt idx="13">
                  <c:v>273.77999999999997</c:v>
                </c:pt>
                <c:pt idx="14">
                  <c:v>289.10599999999999</c:v>
                </c:pt>
                <c:pt idx="15">
                  <c:v>298.43900000000002</c:v>
                </c:pt>
                <c:pt idx="16">
                  <c:v>314.93</c:v>
                </c:pt>
                <c:pt idx="17">
                  <c:v>327.79700000000003</c:v>
                </c:pt>
                <c:pt idx="18">
                  <c:v>339.43099999999998</c:v>
                </c:pt>
                <c:pt idx="19">
                  <c:v>350.87900000000002</c:v>
                </c:pt>
                <c:pt idx="20">
                  <c:v>360.39299999999997</c:v>
                </c:pt>
                <c:pt idx="21">
                  <c:v>375.51</c:v>
                </c:pt>
                <c:pt idx="22">
                  <c:v>387.20800000000003</c:v>
                </c:pt>
                <c:pt idx="23">
                  <c:v>400.81900000000002</c:v>
                </c:pt>
                <c:pt idx="24">
                  <c:v>418.71899999999999</c:v>
                </c:pt>
                <c:pt idx="25">
                  <c:v>438.62400000000002</c:v>
                </c:pt>
                <c:pt idx="26">
                  <c:v>465.19099999999997</c:v>
                </c:pt>
                <c:pt idx="27">
                  <c:v>480.96499999999997</c:v>
                </c:pt>
                <c:pt idx="28">
                  <c:v>479.79700000000003</c:v>
                </c:pt>
                <c:pt idx="29">
                  <c:v>465.92099999999999</c:v>
                </c:pt>
                <c:pt idx="30">
                  <c:v>448.67</c:v>
                </c:pt>
                <c:pt idx="31">
                  <c:v>443.96199999999999</c:v>
                </c:pt>
                <c:pt idx="32">
                  <c:v>456.916</c:v>
                </c:pt>
                <c:pt idx="33">
                  <c:v>491.85300000000001</c:v>
                </c:pt>
                <c:pt idx="34">
                  <c:v>534.29600000000005</c:v>
                </c:pt>
                <c:pt idx="35">
                  <c:v>567.38</c:v>
                </c:pt>
                <c:pt idx="36">
                  <c:v>601.58100000000002</c:v>
                </c:pt>
                <c:pt idx="37">
                  <c:v>624.98599999999999</c:v>
                </c:pt>
                <c:pt idx="38">
                  <c:v>637.66</c:v>
                </c:pt>
                <c:pt idx="39">
                  <c:v>645.58500000000004</c:v>
                </c:pt>
                <c:pt idx="40">
                  <c:v>654.32000000000005</c:v>
                </c:pt>
                <c:pt idx="41">
                  <c:v>670.06500000000005</c:v>
                </c:pt>
                <c:pt idx="42">
                  <c:v>685.43600000000004</c:v>
                </c:pt>
                <c:pt idx="43">
                  <c:v>698.39</c:v>
                </c:pt>
                <c:pt idx="44">
                  <c:v>706.44799999999998</c:v>
                </c:pt>
                <c:pt idx="45">
                  <c:v>710.27700000000004</c:v>
                </c:pt>
                <c:pt idx="46">
                  <c:v>716.73500000000001</c:v>
                </c:pt>
                <c:pt idx="47">
                  <c:v>728.31799999999998</c:v>
                </c:pt>
                <c:pt idx="48">
                  <c:v>749.14099999999996</c:v>
                </c:pt>
                <c:pt idx="49">
                  <c:v>776.19200000000001</c:v>
                </c:pt>
                <c:pt idx="50">
                  <c:v>801.94899999999996</c:v>
                </c:pt>
                <c:pt idx="51">
                  <c:v>827.11099999999999</c:v>
                </c:pt>
                <c:pt idx="52">
                  <c:v>848.16499999999996</c:v>
                </c:pt>
                <c:pt idx="53">
                  <c:v>866.41899999999998</c:v>
                </c:pt>
                <c:pt idx="54">
                  <c:v>882.44399999999996</c:v>
                </c:pt>
                <c:pt idx="55">
                  <c:v>896.81399999999996</c:v>
                </c:pt>
                <c:pt idx="56">
                  <c:v>914.96600000000001</c:v>
                </c:pt>
                <c:pt idx="57">
                  <c:v>930.79499999999996</c:v>
                </c:pt>
                <c:pt idx="58">
                  <c:v>947.41899999999998</c:v>
                </c:pt>
                <c:pt idx="59">
                  <c:v>967.20500000000004</c:v>
                </c:pt>
                <c:pt idx="60">
                  <c:v>992.99</c:v>
                </c:pt>
                <c:pt idx="61">
                  <c:v>1018.5309999999999</c:v>
                </c:pt>
                <c:pt idx="62">
                  <c:v>1028.5719999999999</c:v>
                </c:pt>
                <c:pt idx="63">
                  <c:v>1018.611</c:v>
                </c:pt>
                <c:pt idx="64">
                  <c:v>1001.715</c:v>
                </c:pt>
                <c:pt idx="65">
                  <c:v>996.88199999999995</c:v>
                </c:pt>
                <c:pt idx="66">
                  <c:v>992.95100000000002</c:v>
                </c:pt>
                <c:pt idx="67">
                  <c:v>997.04</c:v>
                </c:pt>
                <c:pt idx="68">
                  <c:v>1011.641</c:v>
                </c:pt>
                <c:pt idx="69">
                  <c:v>1035.221</c:v>
                </c:pt>
                <c:pt idx="70">
                  <c:v>1066.674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C9DC-4B80-AD62-48021C2BB957}"/>
            </c:ext>
          </c:extLst>
        </c:ser>
        <c:ser>
          <c:idx val="85"/>
          <c:order val="85"/>
          <c:tx>
            <c:strRef>
              <c:f>Sheet1!$CI$1</c:f>
              <c:strCache>
                <c:ptCount val="1"/>
                <c:pt idx="0">
                  <c:v>85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Sheet1!$CI$2:$CI$72</c:f>
              <c:numCache>
                <c:formatCode>0.000</c:formatCode>
                <c:ptCount val="71"/>
                <c:pt idx="0">
                  <c:v>133.79</c:v>
                </c:pt>
                <c:pt idx="1">
                  <c:v>133.84399999999999</c:v>
                </c:pt>
                <c:pt idx="2">
                  <c:v>132.50399999999999</c:v>
                </c:pt>
                <c:pt idx="3">
                  <c:v>136.047</c:v>
                </c:pt>
                <c:pt idx="4">
                  <c:v>147.17599999999999</c:v>
                </c:pt>
                <c:pt idx="5">
                  <c:v>162.398</c:v>
                </c:pt>
                <c:pt idx="6">
                  <c:v>180.09</c:v>
                </c:pt>
                <c:pt idx="7">
                  <c:v>193.77799999999999</c:v>
                </c:pt>
                <c:pt idx="8">
                  <c:v>201.27699999999999</c:v>
                </c:pt>
                <c:pt idx="9">
                  <c:v>203.35499999999999</c:v>
                </c:pt>
                <c:pt idx="10">
                  <c:v>203.619</c:v>
                </c:pt>
                <c:pt idx="11">
                  <c:v>212.262</c:v>
                </c:pt>
                <c:pt idx="12">
                  <c:v>217.233</c:v>
                </c:pt>
                <c:pt idx="13">
                  <c:v>225.084</c:v>
                </c:pt>
                <c:pt idx="14">
                  <c:v>236.72300000000001</c:v>
                </c:pt>
                <c:pt idx="15">
                  <c:v>247.75</c:v>
                </c:pt>
                <c:pt idx="16">
                  <c:v>265.613</c:v>
                </c:pt>
                <c:pt idx="17">
                  <c:v>277.73</c:v>
                </c:pt>
                <c:pt idx="18">
                  <c:v>286.803</c:v>
                </c:pt>
                <c:pt idx="19">
                  <c:v>295.58100000000002</c:v>
                </c:pt>
                <c:pt idx="20">
                  <c:v>304.90100000000001</c:v>
                </c:pt>
                <c:pt idx="21">
                  <c:v>322.029</c:v>
                </c:pt>
                <c:pt idx="22">
                  <c:v>332.57600000000002</c:v>
                </c:pt>
                <c:pt idx="23">
                  <c:v>341.05900000000003</c:v>
                </c:pt>
                <c:pt idx="24">
                  <c:v>353.40199999999999</c:v>
                </c:pt>
                <c:pt idx="25">
                  <c:v>371.29899999999998</c:v>
                </c:pt>
                <c:pt idx="26">
                  <c:v>397.11</c:v>
                </c:pt>
                <c:pt idx="27">
                  <c:v>420.76100000000002</c:v>
                </c:pt>
                <c:pt idx="28">
                  <c:v>433.20699999999999</c:v>
                </c:pt>
                <c:pt idx="29">
                  <c:v>427.947</c:v>
                </c:pt>
                <c:pt idx="30">
                  <c:v>409.87200000000001</c:v>
                </c:pt>
                <c:pt idx="31">
                  <c:v>406.34</c:v>
                </c:pt>
                <c:pt idx="32">
                  <c:v>400.863</c:v>
                </c:pt>
                <c:pt idx="33">
                  <c:v>411.77800000000002</c:v>
                </c:pt>
                <c:pt idx="34">
                  <c:v>442.55500000000001</c:v>
                </c:pt>
                <c:pt idx="35">
                  <c:v>479.71899999999999</c:v>
                </c:pt>
                <c:pt idx="36">
                  <c:v>515.31899999999996</c:v>
                </c:pt>
                <c:pt idx="37">
                  <c:v>544.46</c:v>
                </c:pt>
                <c:pt idx="38">
                  <c:v>563.79300000000001</c:v>
                </c:pt>
                <c:pt idx="39">
                  <c:v>573.91899999999998</c:v>
                </c:pt>
                <c:pt idx="40">
                  <c:v>580.48500000000001</c:v>
                </c:pt>
                <c:pt idx="41">
                  <c:v>596.17999999999995</c:v>
                </c:pt>
                <c:pt idx="42">
                  <c:v>610.01</c:v>
                </c:pt>
                <c:pt idx="43">
                  <c:v>623.07899999999995</c:v>
                </c:pt>
                <c:pt idx="44">
                  <c:v>632.84299999999996</c:v>
                </c:pt>
                <c:pt idx="45">
                  <c:v>637.36199999999997</c:v>
                </c:pt>
                <c:pt idx="46">
                  <c:v>644.70600000000002</c:v>
                </c:pt>
                <c:pt idx="47">
                  <c:v>649.66499999999996</c:v>
                </c:pt>
                <c:pt idx="48">
                  <c:v>659.72699999999998</c:v>
                </c:pt>
                <c:pt idx="49">
                  <c:v>678.91800000000001</c:v>
                </c:pt>
                <c:pt idx="50">
                  <c:v>704.529</c:v>
                </c:pt>
                <c:pt idx="51">
                  <c:v>731.92100000000005</c:v>
                </c:pt>
                <c:pt idx="52">
                  <c:v>752.64200000000005</c:v>
                </c:pt>
                <c:pt idx="53">
                  <c:v>770.39</c:v>
                </c:pt>
                <c:pt idx="54">
                  <c:v>786.65099999999995</c:v>
                </c:pt>
                <c:pt idx="55">
                  <c:v>801.66899999999998</c:v>
                </c:pt>
                <c:pt idx="56">
                  <c:v>821.48800000000006</c:v>
                </c:pt>
                <c:pt idx="57">
                  <c:v>838.59</c:v>
                </c:pt>
                <c:pt idx="58">
                  <c:v>854.34100000000001</c:v>
                </c:pt>
                <c:pt idx="59">
                  <c:v>872.07899999999995</c:v>
                </c:pt>
                <c:pt idx="60">
                  <c:v>893.952</c:v>
                </c:pt>
                <c:pt idx="61">
                  <c:v>916.10699999999997</c:v>
                </c:pt>
                <c:pt idx="62">
                  <c:v>940.77700000000004</c:v>
                </c:pt>
                <c:pt idx="63">
                  <c:v>951.14300000000003</c:v>
                </c:pt>
                <c:pt idx="64">
                  <c:v>943.15300000000002</c:v>
                </c:pt>
                <c:pt idx="65">
                  <c:v>929.41800000000001</c:v>
                </c:pt>
                <c:pt idx="66">
                  <c:v>921.31500000000005</c:v>
                </c:pt>
                <c:pt idx="67">
                  <c:v>918.06</c:v>
                </c:pt>
                <c:pt idx="68">
                  <c:v>923.20100000000002</c:v>
                </c:pt>
                <c:pt idx="69">
                  <c:v>938.83199999999999</c:v>
                </c:pt>
                <c:pt idx="70">
                  <c:v>963.4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C9DC-4B80-AD62-48021C2BB957}"/>
            </c:ext>
          </c:extLst>
        </c:ser>
        <c:ser>
          <c:idx val="86"/>
          <c:order val="86"/>
          <c:tx>
            <c:strRef>
              <c:f>Sheet1!$CJ$1</c:f>
              <c:strCache>
                <c:ptCount val="1"/>
                <c:pt idx="0">
                  <c:v>86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Sheet1!$CJ$2:$CJ$72</c:f>
              <c:numCache>
                <c:formatCode>0.000</c:formatCode>
                <c:ptCount val="71"/>
                <c:pt idx="0">
                  <c:v>118.074</c:v>
                </c:pt>
                <c:pt idx="1">
                  <c:v>116.97799999999999</c:v>
                </c:pt>
                <c:pt idx="2">
                  <c:v>115.702</c:v>
                </c:pt>
                <c:pt idx="3">
                  <c:v>112.827</c:v>
                </c:pt>
                <c:pt idx="4">
                  <c:v>114.627</c:v>
                </c:pt>
                <c:pt idx="5">
                  <c:v>123.83199999999999</c:v>
                </c:pt>
                <c:pt idx="6">
                  <c:v>142.291</c:v>
                </c:pt>
                <c:pt idx="7">
                  <c:v>156.85499999999999</c:v>
                </c:pt>
                <c:pt idx="8">
                  <c:v>166.68700000000001</c:v>
                </c:pt>
                <c:pt idx="9">
                  <c:v>170.934</c:v>
                </c:pt>
                <c:pt idx="10">
                  <c:v>170.66900000000001</c:v>
                </c:pt>
                <c:pt idx="11">
                  <c:v>178.589</c:v>
                </c:pt>
                <c:pt idx="12">
                  <c:v>184.94499999999999</c:v>
                </c:pt>
                <c:pt idx="13">
                  <c:v>187.25800000000001</c:v>
                </c:pt>
                <c:pt idx="14">
                  <c:v>191.887</c:v>
                </c:pt>
                <c:pt idx="15">
                  <c:v>199.53399999999999</c:v>
                </c:pt>
                <c:pt idx="16">
                  <c:v>218.19900000000001</c:v>
                </c:pt>
                <c:pt idx="17">
                  <c:v>232.589</c:v>
                </c:pt>
                <c:pt idx="18">
                  <c:v>240.404</c:v>
                </c:pt>
                <c:pt idx="19">
                  <c:v>245.785</c:v>
                </c:pt>
                <c:pt idx="20">
                  <c:v>251.779</c:v>
                </c:pt>
                <c:pt idx="21">
                  <c:v>269.97300000000001</c:v>
                </c:pt>
                <c:pt idx="22">
                  <c:v>283.50400000000002</c:v>
                </c:pt>
                <c:pt idx="23">
                  <c:v>289.65300000000002</c:v>
                </c:pt>
                <c:pt idx="24">
                  <c:v>295.05399999999997</c:v>
                </c:pt>
                <c:pt idx="25">
                  <c:v>306.137</c:v>
                </c:pt>
                <c:pt idx="26">
                  <c:v>332.10300000000001</c:v>
                </c:pt>
                <c:pt idx="27">
                  <c:v>355.90899999999999</c:v>
                </c:pt>
                <c:pt idx="28">
                  <c:v>376.476</c:v>
                </c:pt>
                <c:pt idx="29">
                  <c:v>385.36700000000002</c:v>
                </c:pt>
                <c:pt idx="30">
                  <c:v>375.90899999999999</c:v>
                </c:pt>
                <c:pt idx="31">
                  <c:v>368.541</c:v>
                </c:pt>
                <c:pt idx="32">
                  <c:v>363.86900000000003</c:v>
                </c:pt>
                <c:pt idx="33">
                  <c:v>357.63299999999998</c:v>
                </c:pt>
                <c:pt idx="34">
                  <c:v>366.577</c:v>
                </c:pt>
                <c:pt idx="35">
                  <c:v>393.23500000000001</c:v>
                </c:pt>
                <c:pt idx="36">
                  <c:v>431.07100000000003</c:v>
                </c:pt>
                <c:pt idx="37">
                  <c:v>463.27100000000002</c:v>
                </c:pt>
                <c:pt idx="38">
                  <c:v>487.31200000000001</c:v>
                </c:pt>
                <c:pt idx="39">
                  <c:v>502.53</c:v>
                </c:pt>
                <c:pt idx="40">
                  <c:v>510.10599999999999</c:v>
                </c:pt>
                <c:pt idx="41">
                  <c:v>523.495</c:v>
                </c:pt>
                <c:pt idx="42">
                  <c:v>538.096</c:v>
                </c:pt>
                <c:pt idx="43">
                  <c:v>550.16499999999996</c:v>
                </c:pt>
                <c:pt idx="44">
                  <c:v>561.12800000000004</c:v>
                </c:pt>
                <c:pt idx="45">
                  <c:v>567.71900000000005</c:v>
                </c:pt>
                <c:pt idx="46">
                  <c:v>573.28599999999994</c:v>
                </c:pt>
                <c:pt idx="47">
                  <c:v>579.87800000000004</c:v>
                </c:pt>
                <c:pt idx="48">
                  <c:v>582.71400000000006</c:v>
                </c:pt>
                <c:pt idx="49">
                  <c:v>590.58199999999999</c:v>
                </c:pt>
                <c:pt idx="50">
                  <c:v>607.87900000000002</c:v>
                </c:pt>
                <c:pt idx="51">
                  <c:v>635.83299999999997</c:v>
                </c:pt>
                <c:pt idx="52">
                  <c:v>660.46900000000005</c:v>
                </c:pt>
                <c:pt idx="53">
                  <c:v>677.51900000000001</c:v>
                </c:pt>
                <c:pt idx="54">
                  <c:v>692.82600000000002</c:v>
                </c:pt>
                <c:pt idx="55">
                  <c:v>707.43</c:v>
                </c:pt>
                <c:pt idx="56">
                  <c:v>726.49800000000005</c:v>
                </c:pt>
                <c:pt idx="57">
                  <c:v>746.90499999999997</c:v>
                </c:pt>
                <c:pt idx="58">
                  <c:v>762.50199999999995</c:v>
                </c:pt>
                <c:pt idx="59">
                  <c:v>777.63900000000001</c:v>
                </c:pt>
                <c:pt idx="60">
                  <c:v>796.27300000000002</c:v>
                </c:pt>
                <c:pt idx="61">
                  <c:v>816.10400000000004</c:v>
                </c:pt>
                <c:pt idx="62">
                  <c:v>839.178</c:v>
                </c:pt>
                <c:pt idx="63">
                  <c:v>862.77499999999998</c:v>
                </c:pt>
                <c:pt idx="64">
                  <c:v>873.36500000000001</c:v>
                </c:pt>
                <c:pt idx="65">
                  <c:v>867.36099999999999</c:v>
                </c:pt>
                <c:pt idx="66">
                  <c:v>851.82799999999997</c:v>
                </c:pt>
                <c:pt idx="67">
                  <c:v>844.99900000000002</c:v>
                </c:pt>
                <c:pt idx="68">
                  <c:v>842.73299999999995</c:v>
                </c:pt>
                <c:pt idx="69">
                  <c:v>849.23099999999999</c:v>
                </c:pt>
                <c:pt idx="70">
                  <c:v>865.99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C9DC-4B80-AD62-48021C2BB957}"/>
            </c:ext>
          </c:extLst>
        </c:ser>
        <c:ser>
          <c:idx val="87"/>
          <c:order val="87"/>
          <c:tx>
            <c:strRef>
              <c:f>Sheet1!$CK$1</c:f>
              <c:strCache>
                <c:ptCount val="1"/>
                <c:pt idx="0">
                  <c:v>87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Sheet1!$CK$2:$CK$72</c:f>
              <c:numCache>
                <c:formatCode>0.000</c:formatCode>
                <c:ptCount val="71"/>
                <c:pt idx="0">
                  <c:v>102.949</c:v>
                </c:pt>
                <c:pt idx="1">
                  <c:v>103.05500000000001</c:v>
                </c:pt>
                <c:pt idx="2">
                  <c:v>100.477</c:v>
                </c:pt>
                <c:pt idx="3">
                  <c:v>97.626000000000005</c:v>
                </c:pt>
                <c:pt idx="4">
                  <c:v>93.114999999999995</c:v>
                </c:pt>
                <c:pt idx="5">
                  <c:v>93.16</c:v>
                </c:pt>
                <c:pt idx="6">
                  <c:v>107.524</c:v>
                </c:pt>
                <c:pt idx="7">
                  <c:v>122.038</c:v>
                </c:pt>
                <c:pt idx="8">
                  <c:v>133.56800000000001</c:v>
                </c:pt>
                <c:pt idx="9">
                  <c:v>139.619</c:v>
                </c:pt>
                <c:pt idx="10">
                  <c:v>140.62899999999999</c:v>
                </c:pt>
                <c:pt idx="11">
                  <c:v>148.89500000000001</c:v>
                </c:pt>
                <c:pt idx="12">
                  <c:v>153.62899999999999</c:v>
                </c:pt>
                <c:pt idx="13">
                  <c:v>157.61699999999999</c:v>
                </c:pt>
                <c:pt idx="14">
                  <c:v>157.18299999999999</c:v>
                </c:pt>
                <c:pt idx="15">
                  <c:v>158.58699999999999</c:v>
                </c:pt>
                <c:pt idx="16">
                  <c:v>174.441</c:v>
                </c:pt>
                <c:pt idx="17">
                  <c:v>188.483</c:v>
                </c:pt>
                <c:pt idx="18">
                  <c:v>199.46</c:v>
                </c:pt>
                <c:pt idx="19">
                  <c:v>203.06</c:v>
                </c:pt>
                <c:pt idx="20">
                  <c:v>204.81100000000001</c:v>
                </c:pt>
                <c:pt idx="21">
                  <c:v>221.739</c:v>
                </c:pt>
                <c:pt idx="22">
                  <c:v>234.91</c:v>
                </c:pt>
                <c:pt idx="23">
                  <c:v>244.99</c:v>
                </c:pt>
                <c:pt idx="24">
                  <c:v>246.85499999999999</c:v>
                </c:pt>
                <c:pt idx="25">
                  <c:v>249.172</c:v>
                </c:pt>
                <c:pt idx="26">
                  <c:v>271.26900000000001</c:v>
                </c:pt>
                <c:pt idx="27">
                  <c:v>293.17200000000003</c:v>
                </c:pt>
                <c:pt idx="28">
                  <c:v>314.82900000000001</c:v>
                </c:pt>
                <c:pt idx="29">
                  <c:v>332.11799999999999</c:v>
                </c:pt>
                <c:pt idx="30">
                  <c:v>337.35700000000003</c:v>
                </c:pt>
                <c:pt idx="31">
                  <c:v>336.73899999999998</c:v>
                </c:pt>
                <c:pt idx="32">
                  <c:v>327.08199999999999</c:v>
                </c:pt>
                <c:pt idx="33">
                  <c:v>321.279</c:v>
                </c:pt>
                <c:pt idx="34">
                  <c:v>314.35000000000002</c:v>
                </c:pt>
                <c:pt idx="35">
                  <c:v>321.36399999999998</c:v>
                </c:pt>
                <c:pt idx="36">
                  <c:v>350.35500000000002</c:v>
                </c:pt>
                <c:pt idx="37">
                  <c:v>382.43599999999998</c:v>
                </c:pt>
                <c:pt idx="38">
                  <c:v>411.19900000000001</c:v>
                </c:pt>
                <c:pt idx="39">
                  <c:v>430.10300000000001</c:v>
                </c:pt>
                <c:pt idx="40">
                  <c:v>441.20699999999999</c:v>
                </c:pt>
                <c:pt idx="41">
                  <c:v>456.92599999999999</c:v>
                </c:pt>
                <c:pt idx="42">
                  <c:v>466.56099999999998</c:v>
                </c:pt>
                <c:pt idx="43">
                  <c:v>480.19900000000001</c:v>
                </c:pt>
                <c:pt idx="44">
                  <c:v>490.67700000000002</c:v>
                </c:pt>
                <c:pt idx="45">
                  <c:v>499.54599999999999</c:v>
                </c:pt>
                <c:pt idx="46">
                  <c:v>507.98099999999999</c:v>
                </c:pt>
                <c:pt idx="47">
                  <c:v>509.87299999999999</c:v>
                </c:pt>
                <c:pt idx="48">
                  <c:v>515.149</c:v>
                </c:pt>
                <c:pt idx="49">
                  <c:v>515.26800000000003</c:v>
                </c:pt>
                <c:pt idx="50">
                  <c:v>520.73500000000001</c:v>
                </c:pt>
                <c:pt idx="51">
                  <c:v>543.76599999999996</c:v>
                </c:pt>
                <c:pt idx="52">
                  <c:v>565.88599999999997</c:v>
                </c:pt>
                <c:pt idx="53">
                  <c:v>588.45100000000002</c:v>
                </c:pt>
                <c:pt idx="54">
                  <c:v>602.59199999999998</c:v>
                </c:pt>
                <c:pt idx="55">
                  <c:v>615.74900000000002</c:v>
                </c:pt>
                <c:pt idx="56">
                  <c:v>636.34400000000005</c:v>
                </c:pt>
                <c:pt idx="57">
                  <c:v>651.98800000000006</c:v>
                </c:pt>
                <c:pt idx="58">
                  <c:v>672.572</c:v>
                </c:pt>
                <c:pt idx="59">
                  <c:v>686.18700000000001</c:v>
                </c:pt>
                <c:pt idx="60">
                  <c:v>700.52</c:v>
                </c:pt>
                <c:pt idx="61">
                  <c:v>721.74699999999996</c:v>
                </c:pt>
                <c:pt idx="62">
                  <c:v>738.20699999999999</c:v>
                </c:pt>
                <c:pt idx="63">
                  <c:v>762.02499999999998</c:v>
                </c:pt>
                <c:pt idx="64">
                  <c:v>784.45799999999997</c:v>
                </c:pt>
                <c:pt idx="65">
                  <c:v>795.28499999999997</c:v>
                </c:pt>
                <c:pt idx="66">
                  <c:v>791.99400000000003</c:v>
                </c:pt>
                <c:pt idx="67">
                  <c:v>773.53599999999994</c:v>
                </c:pt>
                <c:pt idx="68">
                  <c:v>768.28099999999995</c:v>
                </c:pt>
                <c:pt idx="69">
                  <c:v>767.29</c:v>
                </c:pt>
                <c:pt idx="70">
                  <c:v>775.23800000000006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C9DC-4B80-AD62-48021C2BB957}"/>
            </c:ext>
          </c:extLst>
        </c:ser>
        <c:ser>
          <c:idx val="88"/>
          <c:order val="88"/>
          <c:tx>
            <c:strRef>
              <c:f>Sheet1!$CL$1</c:f>
              <c:strCache>
                <c:ptCount val="1"/>
                <c:pt idx="0">
                  <c:v>88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Sheet1!$CL$2:$CL$72</c:f>
              <c:numCache>
                <c:formatCode>0.000</c:formatCode>
                <c:ptCount val="71"/>
                <c:pt idx="0">
                  <c:v>86.587000000000003</c:v>
                </c:pt>
                <c:pt idx="1">
                  <c:v>89.539000000000001</c:v>
                </c:pt>
                <c:pt idx="2">
                  <c:v>88.308999999999997</c:v>
                </c:pt>
                <c:pt idx="3">
                  <c:v>84.03</c:v>
                </c:pt>
                <c:pt idx="4">
                  <c:v>79.516000000000005</c:v>
                </c:pt>
                <c:pt idx="5">
                  <c:v>73.361999999999995</c:v>
                </c:pt>
                <c:pt idx="6">
                  <c:v>81.341999999999999</c:v>
                </c:pt>
                <c:pt idx="7">
                  <c:v>91.106999999999999</c:v>
                </c:pt>
                <c:pt idx="8">
                  <c:v>101.745</c:v>
                </c:pt>
                <c:pt idx="9">
                  <c:v>110.301</c:v>
                </c:pt>
                <c:pt idx="10">
                  <c:v>112.584</c:v>
                </c:pt>
                <c:pt idx="11">
                  <c:v>122.631</c:v>
                </c:pt>
                <c:pt idx="12">
                  <c:v>127.179</c:v>
                </c:pt>
                <c:pt idx="13">
                  <c:v>128.65799999999999</c:v>
                </c:pt>
                <c:pt idx="14">
                  <c:v>130.20500000000001</c:v>
                </c:pt>
                <c:pt idx="15">
                  <c:v>127.027</c:v>
                </c:pt>
                <c:pt idx="16">
                  <c:v>138.965</c:v>
                </c:pt>
                <c:pt idx="17">
                  <c:v>149.214</c:v>
                </c:pt>
                <c:pt idx="18">
                  <c:v>158.68199999999999</c:v>
                </c:pt>
                <c:pt idx="19">
                  <c:v>166.316</c:v>
                </c:pt>
                <c:pt idx="20">
                  <c:v>165.75200000000001</c:v>
                </c:pt>
                <c:pt idx="21">
                  <c:v>180.637</c:v>
                </c:pt>
                <c:pt idx="22">
                  <c:v>191.58600000000001</c:v>
                </c:pt>
                <c:pt idx="23">
                  <c:v>199.857</c:v>
                </c:pt>
                <c:pt idx="24">
                  <c:v>206.58199999999999</c:v>
                </c:pt>
                <c:pt idx="25">
                  <c:v>204.15899999999999</c:v>
                </c:pt>
                <c:pt idx="26">
                  <c:v>221.27699999999999</c:v>
                </c:pt>
                <c:pt idx="27">
                  <c:v>236.61799999999999</c:v>
                </c:pt>
                <c:pt idx="28">
                  <c:v>254.339</c:v>
                </c:pt>
                <c:pt idx="29">
                  <c:v>273.685</c:v>
                </c:pt>
                <c:pt idx="30">
                  <c:v>287.61099999999999</c:v>
                </c:pt>
                <c:pt idx="31">
                  <c:v>300.71600000000001</c:v>
                </c:pt>
                <c:pt idx="32">
                  <c:v>297.452</c:v>
                </c:pt>
                <c:pt idx="33">
                  <c:v>285.51499999999999</c:v>
                </c:pt>
                <c:pt idx="34">
                  <c:v>278.64299999999997</c:v>
                </c:pt>
                <c:pt idx="35">
                  <c:v>271.06200000000001</c:v>
                </c:pt>
                <c:pt idx="36">
                  <c:v>287.06900000000002</c:v>
                </c:pt>
                <c:pt idx="37">
                  <c:v>307.488</c:v>
                </c:pt>
                <c:pt idx="38">
                  <c:v>333.78300000000002</c:v>
                </c:pt>
                <c:pt idx="39">
                  <c:v>359.07400000000001</c:v>
                </c:pt>
                <c:pt idx="40">
                  <c:v>372.84100000000001</c:v>
                </c:pt>
                <c:pt idx="41">
                  <c:v>394.51100000000002</c:v>
                </c:pt>
                <c:pt idx="42">
                  <c:v>403.79599999999999</c:v>
                </c:pt>
                <c:pt idx="43">
                  <c:v>409.79399999999998</c:v>
                </c:pt>
                <c:pt idx="44">
                  <c:v>422.61399999999998</c:v>
                </c:pt>
                <c:pt idx="45">
                  <c:v>431.505</c:v>
                </c:pt>
                <c:pt idx="46">
                  <c:v>445.77600000000001</c:v>
                </c:pt>
                <c:pt idx="47">
                  <c:v>448.83100000000002</c:v>
                </c:pt>
                <c:pt idx="48">
                  <c:v>446.53699999999998</c:v>
                </c:pt>
                <c:pt idx="49">
                  <c:v>449.976</c:v>
                </c:pt>
                <c:pt idx="50">
                  <c:v>447.214</c:v>
                </c:pt>
                <c:pt idx="51">
                  <c:v>465.26900000000001</c:v>
                </c:pt>
                <c:pt idx="52">
                  <c:v>478.57400000000001</c:v>
                </c:pt>
                <c:pt idx="53">
                  <c:v>495.46</c:v>
                </c:pt>
                <c:pt idx="54">
                  <c:v>516.61400000000003</c:v>
                </c:pt>
                <c:pt idx="55">
                  <c:v>528.09900000000005</c:v>
                </c:pt>
                <c:pt idx="56">
                  <c:v>552.78499999999997</c:v>
                </c:pt>
                <c:pt idx="57">
                  <c:v>565.84100000000001</c:v>
                </c:pt>
                <c:pt idx="58">
                  <c:v>577.69200000000001</c:v>
                </c:pt>
                <c:pt idx="59">
                  <c:v>598.03300000000002</c:v>
                </c:pt>
                <c:pt idx="60">
                  <c:v>609.5</c:v>
                </c:pt>
                <c:pt idx="61">
                  <c:v>633.65499999999997</c:v>
                </c:pt>
                <c:pt idx="62">
                  <c:v>647.17100000000005</c:v>
                </c:pt>
                <c:pt idx="63">
                  <c:v>660.10699999999997</c:v>
                </c:pt>
                <c:pt idx="64">
                  <c:v>684.59299999999996</c:v>
                </c:pt>
                <c:pt idx="65">
                  <c:v>705.87599999999998</c:v>
                </c:pt>
                <c:pt idx="66">
                  <c:v>722.75</c:v>
                </c:pt>
                <c:pt idx="67">
                  <c:v>715.971</c:v>
                </c:pt>
                <c:pt idx="68">
                  <c:v>694.875</c:v>
                </c:pt>
                <c:pt idx="69">
                  <c:v>691.46199999999999</c:v>
                </c:pt>
                <c:pt idx="70">
                  <c:v>691.83500000000004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C9DC-4B80-AD62-48021C2BB957}"/>
            </c:ext>
          </c:extLst>
        </c:ser>
        <c:ser>
          <c:idx val="89"/>
          <c:order val="89"/>
          <c:tx>
            <c:strRef>
              <c:f>Sheet1!$CM$1</c:f>
              <c:strCache>
                <c:ptCount val="1"/>
                <c:pt idx="0">
                  <c:v>89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80000"/>
                  <a:lumOff val="2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Sheet1!$CM$2:$CM$72</c:f>
              <c:numCache>
                <c:formatCode>0.000</c:formatCode>
                <c:ptCount val="71"/>
                <c:pt idx="0">
                  <c:v>70.132000000000005</c:v>
                </c:pt>
                <c:pt idx="1">
                  <c:v>74.795000000000002</c:v>
                </c:pt>
                <c:pt idx="2">
                  <c:v>76.367000000000004</c:v>
                </c:pt>
                <c:pt idx="3">
                  <c:v>73.611000000000004</c:v>
                </c:pt>
                <c:pt idx="4">
                  <c:v>67.555000000000007</c:v>
                </c:pt>
                <c:pt idx="5">
                  <c:v>61.371000000000002</c:v>
                </c:pt>
                <c:pt idx="6">
                  <c:v>63.816000000000003</c:v>
                </c:pt>
                <c:pt idx="7">
                  <c:v>69.441000000000003</c:v>
                </c:pt>
                <c:pt idx="8">
                  <c:v>74.659000000000006</c:v>
                </c:pt>
                <c:pt idx="9">
                  <c:v>81.471000000000004</c:v>
                </c:pt>
                <c:pt idx="10">
                  <c:v>87.061000000000007</c:v>
                </c:pt>
                <c:pt idx="11">
                  <c:v>97.528999999999996</c:v>
                </c:pt>
                <c:pt idx="12">
                  <c:v>104.68</c:v>
                </c:pt>
                <c:pt idx="13">
                  <c:v>105.45399999999999</c:v>
                </c:pt>
                <c:pt idx="14">
                  <c:v>103.61799999999999</c:v>
                </c:pt>
                <c:pt idx="15">
                  <c:v>102.727</c:v>
                </c:pt>
                <c:pt idx="16">
                  <c:v>110.652</c:v>
                </c:pt>
                <c:pt idx="17">
                  <c:v>119.235</c:v>
                </c:pt>
                <c:pt idx="18">
                  <c:v>123.919</c:v>
                </c:pt>
                <c:pt idx="19">
                  <c:v>128.87100000000001</c:v>
                </c:pt>
                <c:pt idx="20">
                  <c:v>133.20599999999999</c:v>
                </c:pt>
                <c:pt idx="21">
                  <c:v>145.19399999999999</c:v>
                </c:pt>
                <c:pt idx="22">
                  <c:v>156.37200000000001</c:v>
                </c:pt>
                <c:pt idx="23">
                  <c:v>161.44499999999999</c:v>
                </c:pt>
                <c:pt idx="24">
                  <c:v>164.893</c:v>
                </c:pt>
                <c:pt idx="25">
                  <c:v>168.25800000000001</c:v>
                </c:pt>
                <c:pt idx="26">
                  <c:v>180.04300000000001</c:v>
                </c:pt>
                <c:pt idx="27">
                  <c:v>193.559</c:v>
                </c:pt>
                <c:pt idx="28">
                  <c:v>202.047</c:v>
                </c:pt>
                <c:pt idx="29">
                  <c:v>215.44800000000001</c:v>
                </c:pt>
                <c:pt idx="30">
                  <c:v>232.416</c:v>
                </c:pt>
                <c:pt idx="31">
                  <c:v>254.11099999999999</c:v>
                </c:pt>
                <c:pt idx="32">
                  <c:v>263.97000000000003</c:v>
                </c:pt>
                <c:pt idx="33">
                  <c:v>258.06799999999998</c:v>
                </c:pt>
                <c:pt idx="34">
                  <c:v>243.90899999999999</c:v>
                </c:pt>
                <c:pt idx="35">
                  <c:v>236.00399999999999</c:v>
                </c:pt>
                <c:pt idx="36">
                  <c:v>240.44900000000001</c:v>
                </c:pt>
                <c:pt idx="37">
                  <c:v>252.79</c:v>
                </c:pt>
                <c:pt idx="38">
                  <c:v>264.608</c:v>
                </c:pt>
                <c:pt idx="39">
                  <c:v>285.084</c:v>
                </c:pt>
                <c:pt idx="40">
                  <c:v>306.904</c:v>
                </c:pt>
                <c:pt idx="41">
                  <c:v>330.524</c:v>
                </c:pt>
                <c:pt idx="42">
                  <c:v>347.858</c:v>
                </c:pt>
                <c:pt idx="43">
                  <c:v>350.81599999999997</c:v>
                </c:pt>
                <c:pt idx="44">
                  <c:v>353.29399999999998</c:v>
                </c:pt>
                <c:pt idx="45">
                  <c:v>365.29199999999997</c:v>
                </c:pt>
                <c:pt idx="46">
                  <c:v>381.61599999999999</c:v>
                </c:pt>
                <c:pt idx="47">
                  <c:v>392.52100000000002</c:v>
                </c:pt>
                <c:pt idx="48">
                  <c:v>389.74299999999999</c:v>
                </c:pt>
                <c:pt idx="49">
                  <c:v>382.80799999999999</c:v>
                </c:pt>
                <c:pt idx="50">
                  <c:v>384.28</c:v>
                </c:pt>
                <c:pt idx="51">
                  <c:v>396.05200000000002</c:v>
                </c:pt>
                <c:pt idx="52">
                  <c:v>408.87900000000002</c:v>
                </c:pt>
                <c:pt idx="53">
                  <c:v>412.983</c:v>
                </c:pt>
                <c:pt idx="54">
                  <c:v>425.20499999999998</c:v>
                </c:pt>
                <c:pt idx="55">
                  <c:v>445.15499999999997</c:v>
                </c:pt>
                <c:pt idx="56">
                  <c:v>469.52699999999999</c:v>
                </c:pt>
                <c:pt idx="57">
                  <c:v>490.32799999999997</c:v>
                </c:pt>
                <c:pt idx="58">
                  <c:v>495.51799999999997</c:v>
                </c:pt>
                <c:pt idx="59">
                  <c:v>503.20699999999999</c:v>
                </c:pt>
                <c:pt idx="60">
                  <c:v>523.16899999999998</c:v>
                </c:pt>
                <c:pt idx="61">
                  <c:v>545.83100000000002</c:v>
                </c:pt>
                <c:pt idx="62">
                  <c:v>566.745</c:v>
                </c:pt>
                <c:pt idx="63">
                  <c:v>572.41399999999999</c:v>
                </c:pt>
                <c:pt idx="64">
                  <c:v>581.76499999999999</c:v>
                </c:pt>
                <c:pt idx="65">
                  <c:v>606.93899999999996</c:v>
                </c:pt>
                <c:pt idx="66">
                  <c:v>635.23500000000001</c:v>
                </c:pt>
                <c:pt idx="67">
                  <c:v>649.61300000000006</c:v>
                </c:pt>
                <c:pt idx="68">
                  <c:v>639.60799999999995</c:v>
                </c:pt>
                <c:pt idx="69">
                  <c:v>616.13099999999997</c:v>
                </c:pt>
                <c:pt idx="70">
                  <c:v>614.64099999999996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C9DC-4B80-AD62-48021C2BB957}"/>
            </c:ext>
          </c:extLst>
        </c:ser>
        <c:ser>
          <c:idx val="90"/>
          <c:order val="90"/>
          <c:tx>
            <c:strRef>
              <c:f>Sheet1!$CN$1</c:f>
              <c:strCache>
                <c:ptCount val="1"/>
                <c:pt idx="0">
                  <c:v>90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Sheet1!$CN$2:$CN$72</c:f>
              <c:numCache>
                <c:formatCode>0.000</c:formatCode>
                <c:ptCount val="71"/>
                <c:pt idx="0">
                  <c:v>54.923999999999999</c:v>
                </c:pt>
                <c:pt idx="1">
                  <c:v>59.734999999999999</c:v>
                </c:pt>
                <c:pt idx="2">
                  <c:v>63.203000000000003</c:v>
                </c:pt>
                <c:pt idx="3">
                  <c:v>63.235999999999997</c:v>
                </c:pt>
                <c:pt idx="4">
                  <c:v>58.887</c:v>
                </c:pt>
                <c:pt idx="5">
                  <c:v>51.046999999999997</c:v>
                </c:pt>
                <c:pt idx="6">
                  <c:v>52.49</c:v>
                </c:pt>
                <c:pt idx="7">
                  <c:v>54.204000000000001</c:v>
                </c:pt>
                <c:pt idx="8">
                  <c:v>57.515999999999998</c:v>
                </c:pt>
                <c:pt idx="9">
                  <c:v>58.225999999999999</c:v>
                </c:pt>
                <c:pt idx="10">
                  <c:v>61.216000000000001</c:v>
                </c:pt>
                <c:pt idx="11">
                  <c:v>74.009</c:v>
                </c:pt>
                <c:pt idx="12">
                  <c:v>82.51</c:v>
                </c:pt>
                <c:pt idx="13">
                  <c:v>86.721000000000004</c:v>
                </c:pt>
                <c:pt idx="14">
                  <c:v>83.671999999999997</c:v>
                </c:pt>
                <c:pt idx="15">
                  <c:v>78.528999999999996</c:v>
                </c:pt>
                <c:pt idx="16">
                  <c:v>87.801000000000002</c:v>
                </c:pt>
                <c:pt idx="17">
                  <c:v>94.191000000000003</c:v>
                </c:pt>
                <c:pt idx="18">
                  <c:v>99.451999999999998</c:v>
                </c:pt>
                <c:pt idx="19">
                  <c:v>98.62</c:v>
                </c:pt>
                <c:pt idx="20">
                  <c:v>99.09</c:v>
                </c:pt>
                <c:pt idx="21">
                  <c:v>114.288</c:v>
                </c:pt>
                <c:pt idx="22">
                  <c:v>124.56</c:v>
                </c:pt>
                <c:pt idx="23">
                  <c:v>132.114</c:v>
                </c:pt>
                <c:pt idx="24">
                  <c:v>131.374</c:v>
                </c:pt>
                <c:pt idx="25">
                  <c:v>129.995</c:v>
                </c:pt>
                <c:pt idx="26">
                  <c:v>145.29599999999999</c:v>
                </c:pt>
                <c:pt idx="27">
                  <c:v>156.072</c:v>
                </c:pt>
                <c:pt idx="28">
                  <c:v>165.90600000000001</c:v>
                </c:pt>
                <c:pt idx="29">
                  <c:v>167.42599999999999</c:v>
                </c:pt>
                <c:pt idx="30">
                  <c:v>176.458</c:v>
                </c:pt>
                <c:pt idx="31">
                  <c:v>201.52099999999999</c:v>
                </c:pt>
                <c:pt idx="32">
                  <c:v>220.51900000000001</c:v>
                </c:pt>
                <c:pt idx="33">
                  <c:v>227.13800000000001</c:v>
                </c:pt>
                <c:pt idx="34">
                  <c:v>218.649</c:v>
                </c:pt>
                <c:pt idx="35">
                  <c:v>202.30199999999999</c:v>
                </c:pt>
                <c:pt idx="36">
                  <c:v>205.43299999999999</c:v>
                </c:pt>
                <c:pt idx="37">
                  <c:v>209.85</c:v>
                </c:pt>
                <c:pt idx="38">
                  <c:v>218.499</c:v>
                </c:pt>
                <c:pt idx="39">
                  <c:v>221.69</c:v>
                </c:pt>
                <c:pt idx="40">
                  <c:v>236.34700000000001</c:v>
                </c:pt>
                <c:pt idx="41">
                  <c:v>266.48</c:v>
                </c:pt>
                <c:pt idx="42">
                  <c:v>288.24599999999998</c:v>
                </c:pt>
                <c:pt idx="43">
                  <c:v>301.33499999999998</c:v>
                </c:pt>
                <c:pt idx="44">
                  <c:v>298.06400000000002</c:v>
                </c:pt>
                <c:pt idx="45">
                  <c:v>297.00099999999998</c:v>
                </c:pt>
                <c:pt idx="46">
                  <c:v>316.85899999999998</c:v>
                </c:pt>
                <c:pt idx="47">
                  <c:v>332.16899999999998</c:v>
                </c:pt>
                <c:pt idx="48">
                  <c:v>339.32</c:v>
                </c:pt>
                <c:pt idx="49">
                  <c:v>330.30900000000003</c:v>
                </c:pt>
                <c:pt idx="50">
                  <c:v>318.642</c:v>
                </c:pt>
                <c:pt idx="51">
                  <c:v>333.68200000000002</c:v>
                </c:pt>
                <c:pt idx="52">
                  <c:v>344.096</c:v>
                </c:pt>
                <c:pt idx="53">
                  <c:v>352.14699999999999</c:v>
                </c:pt>
                <c:pt idx="54">
                  <c:v>347.54500000000002</c:v>
                </c:pt>
                <c:pt idx="55">
                  <c:v>355.27</c:v>
                </c:pt>
                <c:pt idx="56">
                  <c:v>387.10899999999998</c:v>
                </c:pt>
                <c:pt idx="57">
                  <c:v>411.38900000000001</c:v>
                </c:pt>
                <c:pt idx="58">
                  <c:v>428.02600000000001</c:v>
                </c:pt>
                <c:pt idx="59">
                  <c:v>425.02800000000002</c:v>
                </c:pt>
                <c:pt idx="60">
                  <c:v>428.447</c:v>
                </c:pt>
                <c:pt idx="61">
                  <c:v>458.23899999999998</c:v>
                </c:pt>
                <c:pt idx="62">
                  <c:v>482.11900000000003</c:v>
                </c:pt>
                <c:pt idx="63">
                  <c:v>499.67500000000001</c:v>
                </c:pt>
                <c:pt idx="64">
                  <c:v>497.44900000000001</c:v>
                </c:pt>
                <c:pt idx="65">
                  <c:v>503.24599999999998</c:v>
                </c:pt>
                <c:pt idx="66">
                  <c:v>535.69799999999998</c:v>
                </c:pt>
                <c:pt idx="67">
                  <c:v>564.05799999999999</c:v>
                </c:pt>
                <c:pt idx="68">
                  <c:v>576.16899999999998</c:v>
                </c:pt>
                <c:pt idx="69">
                  <c:v>563.17100000000005</c:v>
                </c:pt>
                <c:pt idx="70">
                  <c:v>537.39300000000003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C9DC-4B80-AD62-48021C2BB957}"/>
            </c:ext>
          </c:extLst>
        </c:ser>
        <c:ser>
          <c:idx val="91"/>
          <c:order val="91"/>
          <c:tx>
            <c:strRef>
              <c:f>Sheet1!$CO$1</c:f>
              <c:strCache>
                <c:ptCount val="1"/>
                <c:pt idx="0">
                  <c:v>91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Sheet1!$CO$2:$CO$72</c:f>
              <c:numCache>
                <c:formatCode>0.000</c:formatCode>
                <c:ptCount val="71"/>
                <c:pt idx="0">
                  <c:v>44.055</c:v>
                </c:pt>
                <c:pt idx="1">
                  <c:v>46.387999999999998</c:v>
                </c:pt>
                <c:pt idx="2">
                  <c:v>49.497999999999998</c:v>
                </c:pt>
                <c:pt idx="3">
                  <c:v>51.640999999999998</c:v>
                </c:pt>
                <c:pt idx="4">
                  <c:v>50.082000000000001</c:v>
                </c:pt>
                <c:pt idx="5">
                  <c:v>44.134</c:v>
                </c:pt>
                <c:pt idx="6">
                  <c:v>43.343000000000004</c:v>
                </c:pt>
                <c:pt idx="7">
                  <c:v>43.555999999999997</c:v>
                </c:pt>
                <c:pt idx="8">
                  <c:v>44.576000000000001</c:v>
                </c:pt>
                <c:pt idx="9">
                  <c:v>45.603000000000002</c:v>
                </c:pt>
                <c:pt idx="10">
                  <c:v>41.808999999999997</c:v>
                </c:pt>
                <c:pt idx="11">
                  <c:v>51.5</c:v>
                </c:pt>
                <c:pt idx="12">
                  <c:v>60.984000000000002</c:v>
                </c:pt>
                <c:pt idx="13">
                  <c:v>67.483999999999995</c:v>
                </c:pt>
                <c:pt idx="14">
                  <c:v>68.715000000000003</c:v>
                </c:pt>
                <c:pt idx="15">
                  <c:v>61.848999999999997</c:v>
                </c:pt>
                <c:pt idx="16">
                  <c:v>66.528000000000006</c:v>
                </c:pt>
                <c:pt idx="17">
                  <c:v>72.805000000000007</c:v>
                </c:pt>
                <c:pt idx="18">
                  <c:v>77.688999999999993</c:v>
                </c:pt>
                <c:pt idx="19">
                  <c:v>79.665000000000006</c:v>
                </c:pt>
                <c:pt idx="20">
                  <c:v>73.343999999999994</c:v>
                </c:pt>
                <c:pt idx="21">
                  <c:v>84.144000000000005</c:v>
                </c:pt>
                <c:pt idx="22">
                  <c:v>95.313000000000002</c:v>
                </c:pt>
                <c:pt idx="23">
                  <c:v>103.934</c:v>
                </c:pt>
                <c:pt idx="24">
                  <c:v>107.91500000000001</c:v>
                </c:pt>
                <c:pt idx="25">
                  <c:v>101.35599999999999</c:v>
                </c:pt>
                <c:pt idx="26">
                  <c:v>111.273</c:v>
                </c:pt>
                <c:pt idx="27">
                  <c:v>122.456</c:v>
                </c:pt>
                <c:pt idx="28">
                  <c:v>132.15299999999999</c:v>
                </c:pt>
                <c:pt idx="29">
                  <c:v>138.21199999999999</c:v>
                </c:pt>
                <c:pt idx="30">
                  <c:v>132.726</c:v>
                </c:pt>
                <c:pt idx="31">
                  <c:v>151.37799999999999</c:v>
                </c:pt>
                <c:pt idx="32">
                  <c:v>170.547</c:v>
                </c:pt>
                <c:pt idx="33">
                  <c:v>186.85400000000001</c:v>
                </c:pt>
                <c:pt idx="34">
                  <c:v>190.27500000000001</c:v>
                </c:pt>
                <c:pt idx="35">
                  <c:v>179.23</c:v>
                </c:pt>
                <c:pt idx="36">
                  <c:v>174.64500000000001</c:v>
                </c:pt>
                <c:pt idx="37">
                  <c:v>174.87299999999999</c:v>
                </c:pt>
                <c:pt idx="38">
                  <c:v>179.24199999999999</c:v>
                </c:pt>
                <c:pt idx="39">
                  <c:v>184.17500000000001</c:v>
                </c:pt>
                <c:pt idx="40">
                  <c:v>178.739</c:v>
                </c:pt>
                <c:pt idx="41">
                  <c:v>203.08799999999999</c:v>
                </c:pt>
                <c:pt idx="42">
                  <c:v>226.09100000000001</c:v>
                </c:pt>
                <c:pt idx="43">
                  <c:v>246.07599999999999</c:v>
                </c:pt>
                <c:pt idx="44">
                  <c:v>255.00899999999999</c:v>
                </c:pt>
                <c:pt idx="45">
                  <c:v>245.48</c:v>
                </c:pt>
                <c:pt idx="46">
                  <c:v>254.92500000000001</c:v>
                </c:pt>
                <c:pt idx="47">
                  <c:v>268.79199999999997</c:v>
                </c:pt>
                <c:pt idx="48">
                  <c:v>282.76</c:v>
                </c:pt>
                <c:pt idx="49">
                  <c:v>285.81400000000002</c:v>
                </c:pt>
                <c:pt idx="50">
                  <c:v>270.50099999999998</c:v>
                </c:pt>
                <c:pt idx="51">
                  <c:v>274.072</c:v>
                </c:pt>
                <c:pt idx="52">
                  <c:v>282.40199999999999</c:v>
                </c:pt>
                <c:pt idx="53">
                  <c:v>291.858</c:v>
                </c:pt>
                <c:pt idx="54">
                  <c:v>295.54899999999998</c:v>
                </c:pt>
                <c:pt idx="55">
                  <c:v>282.37700000000001</c:v>
                </c:pt>
                <c:pt idx="56">
                  <c:v>305.36700000000002</c:v>
                </c:pt>
                <c:pt idx="57">
                  <c:v>329.42700000000002</c:v>
                </c:pt>
                <c:pt idx="58">
                  <c:v>353.37599999999998</c:v>
                </c:pt>
                <c:pt idx="59">
                  <c:v>365.57799999999997</c:v>
                </c:pt>
                <c:pt idx="60">
                  <c:v>354.303</c:v>
                </c:pt>
                <c:pt idx="61">
                  <c:v>371.06700000000001</c:v>
                </c:pt>
                <c:pt idx="62">
                  <c:v>393.26299999999998</c:v>
                </c:pt>
                <c:pt idx="63">
                  <c:v>418.26400000000001</c:v>
                </c:pt>
                <c:pt idx="64">
                  <c:v>432.42200000000003</c:v>
                </c:pt>
                <c:pt idx="65">
                  <c:v>422.339</c:v>
                </c:pt>
                <c:pt idx="66">
                  <c:v>439.48700000000002</c:v>
                </c:pt>
                <c:pt idx="67">
                  <c:v>463.99200000000002</c:v>
                </c:pt>
                <c:pt idx="68">
                  <c:v>492.613</c:v>
                </c:pt>
                <c:pt idx="69">
                  <c:v>502.66</c:v>
                </c:pt>
                <c:pt idx="70">
                  <c:v>486.74400000000003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C9DC-4B80-AD62-48021C2BB957}"/>
            </c:ext>
          </c:extLst>
        </c:ser>
        <c:ser>
          <c:idx val="92"/>
          <c:order val="92"/>
          <c:tx>
            <c:strRef>
              <c:f>Sheet1!$CP$1</c:f>
              <c:strCache>
                <c:ptCount val="1"/>
                <c:pt idx="0">
                  <c:v>92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8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Sheet1!$CP$2:$CP$72</c:f>
              <c:numCache>
                <c:formatCode>0.000</c:formatCode>
                <c:ptCount val="71"/>
                <c:pt idx="0">
                  <c:v>36.962000000000003</c:v>
                </c:pt>
                <c:pt idx="1">
                  <c:v>37.331000000000003</c:v>
                </c:pt>
                <c:pt idx="2">
                  <c:v>37.978999999999999</c:v>
                </c:pt>
                <c:pt idx="3">
                  <c:v>39.284999999999997</c:v>
                </c:pt>
                <c:pt idx="4">
                  <c:v>40.061</c:v>
                </c:pt>
                <c:pt idx="5">
                  <c:v>36.901000000000003</c:v>
                </c:pt>
                <c:pt idx="6">
                  <c:v>37.43</c:v>
                </c:pt>
                <c:pt idx="7">
                  <c:v>35.594000000000001</c:v>
                </c:pt>
                <c:pt idx="8">
                  <c:v>34.606999999999999</c:v>
                </c:pt>
                <c:pt idx="9">
                  <c:v>34.954999999999998</c:v>
                </c:pt>
                <c:pt idx="10">
                  <c:v>33.701999999999998</c:v>
                </c:pt>
                <c:pt idx="11">
                  <c:v>35.520000000000003</c:v>
                </c:pt>
                <c:pt idx="12">
                  <c:v>41.802</c:v>
                </c:pt>
                <c:pt idx="13">
                  <c:v>47.954000000000001</c:v>
                </c:pt>
                <c:pt idx="14">
                  <c:v>52.421999999999997</c:v>
                </c:pt>
                <c:pt idx="15">
                  <c:v>50.677</c:v>
                </c:pt>
                <c:pt idx="16">
                  <c:v>52.594999999999999</c:v>
                </c:pt>
                <c:pt idx="17">
                  <c:v>54.475999999999999</c:v>
                </c:pt>
                <c:pt idx="18">
                  <c:v>57.774999999999999</c:v>
                </c:pt>
                <c:pt idx="19">
                  <c:v>61.182000000000002</c:v>
                </c:pt>
                <c:pt idx="20">
                  <c:v>59.896000000000001</c:v>
                </c:pt>
                <c:pt idx="21">
                  <c:v>62.746000000000002</c:v>
                </c:pt>
                <c:pt idx="22">
                  <c:v>69.155000000000001</c:v>
                </c:pt>
                <c:pt idx="23">
                  <c:v>76.344999999999999</c:v>
                </c:pt>
                <c:pt idx="24">
                  <c:v>83.353999999999999</c:v>
                </c:pt>
                <c:pt idx="25">
                  <c:v>83.759</c:v>
                </c:pt>
                <c:pt idx="26">
                  <c:v>87.26</c:v>
                </c:pt>
                <c:pt idx="27">
                  <c:v>92.644000000000005</c:v>
                </c:pt>
                <c:pt idx="28">
                  <c:v>99.653000000000006</c:v>
                </c:pt>
                <c:pt idx="29">
                  <c:v>108.199</c:v>
                </c:pt>
                <c:pt idx="30">
                  <c:v>110.453</c:v>
                </c:pt>
                <c:pt idx="31">
                  <c:v>114.852</c:v>
                </c:pt>
                <c:pt idx="32">
                  <c:v>126.23699999999999</c:v>
                </c:pt>
                <c:pt idx="33">
                  <c:v>139.51599999999999</c:v>
                </c:pt>
                <c:pt idx="34">
                  <c:v>153.166</c:v>
                </c:pt>
                <c:pt idx="35">
                  <c:v>153.41499999999999</c:v>
                </c:pt>
                <c:pt idx="36">
                  <c:v>154.53200000000001</c:v>
                </c:pt>
                <c:pt idx="37">
                  <c:v>146.99700000000001</c:v>
                </c:pt>
                <c:pt idx="38">
                  <c:v>144.30500000000001</c:v>
                </c:pt>
                <c:pt idx="39">
                  <c:v>148.60400000000001</c:v>
                </c:pt>
                <c:pt idx="40">
                  <c:v>149.82300000000001</c:v>
                </c:pt>
                <c:pt idx="41">
                  <c:v>154.84899999999999</c:v>
                </c:pt>
                <c:pt idx="42">
                  <c:v>169.85599999999999</c:v>
                </c:pt>
                <c:pt idx="43">
                  <c:v>185.79499999999999</c:v>
                </c:pt>
                <c:pt idx="44">
                  <c:v>204.06700000000001</c:v>
                </c:pt>
                <c:pt idx="45">
                  <c:v>208.82300000000001</c:v>
                </c:pt>
                <c:pt idx="46">
                  <c:v>211.316</c:v>
                </c:pt>
                <c:pt idx="47">
                  <c:v>213.14500000000001</c:v>
                </c:pt>
                <c:pt idx="48">
                  <c:v>220.745</c:v>
                </c:pt>
                <c:pt idx="49">
                  <c:v>233.09299999999999</c:v>
                </c:pt>
                <c:pt idx="50">
                  <c:v>231.98699999999999</c:v>
                </c:pt>
                <c:pt idx="51">
                  <c:v>232.94900000000001</c:v>
                </c:pt>
                <c:pt idx="52">
                  <c:v>228.93799999999999</c:v>
                </c:pt>
                <c:pt idx="53">
                  <c:v>230.899</c:v>
                </c:pt>
                <c:pt idx="54">
                  <c:v>239.738</c:v>
                </c:pt>
                <c:pt idx="55">
                  <c:v>239.18</c:v>
                </c:pt>
                <c:pt idx="56">
                  <c:v>243.965</c:v>
                </c:pt>
                <c:pt idx="57">
                  <c:v>255.751</c:v>
                </c:pt>
                <c:pt idx="58">
                  <c:v>271.839</c:v>
                </c:pt>
                <c:pt idx="59">
                  <c:v>295.23700000000002</c:v>
                </c:pt>
                <c:pt idx="60">
                  <c:v>302.92700000000002</c:v>
                </c:pt>
                <c:pt idx="61">
                  <c:v>307.94799999999998</c:v>
                </c:pt>
                <c:pt idx="62">
                  <c:v>313.64299999999997</c:v>
                </c:pt>
                <c:pt idx="63">
                  <c:v>328.16399999999999</c:v>
                </c:pt>
                <c:pt idx="64">
                  <c:v>354.25900000000001</c:v>
                </c:pt>
                <c:pt idx="65">
                  <c:v>365.04700000000003</c:v>
                </c:pt>
                <c:pt idx="66">
                  <c:v>370.22</c:v>
                </c:pt>
                <c:pt idx="67">
                  <c:v>375.339</c:v>
                </c:pt>
                <c:pt idx="68">
                  <c:v>392.06599999999997</c:v>
                </c:pt>
                <c:pt idx="69">
                  <c:v>421.11900000000003</c:v>
                </c:pt>
                <c:pt idx="70">
                  <c:v>429.166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C9DC-4B80-AD62-48021C2BB957}"/>
            </c:ext>
          </c:extLst>
        </c:ser>
        <c:ser>
          <c:idx val="93"/>
          <c:order val="93"/>
          <c:tx>
            <c:strRef>
              <c:f>Sheet1!$CQ$1</c:f>
              <c:strCache>
                <c:ptCount val="1"/>
                <c:pt idx="0">
                  <c:v>93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Sheet1!$CQ$2:$CQ$72</c:f>
              <c:numCache>
                <c:formatCode>0.000</c:formatCode>
                <c:ptCount val="71"/>
                <c:pt idx="0">
                  <c:v>28.573</c:v>
                </c:pt>
                <c:pt idx="1">
                  <c:v>31.24</c:v>
                </c:pt>
                <c:pt idx="2">
                  <c:v>30.707000000000001</c:v>
                </c:pt>
                <c:pt idx="3">
                  <c:v>29.587</c:v>
                </c:pt>
                <c:pt idx="4">
                  <c:v>29.055</c:v>
                </c:pt>
                <c:pt idx="5">
                  <c:v>28.459</c:v>
                </c:pt>
                <c:pt idx="6">
                  <c:v>31.216999999999999</c:v>
                </c:pt>
                <c:pt idx="7">
                  <c:v>30.687000000000001</c:v>
                </c:pt>
                <c:pt idx="8">
                  <c:v>27.832999999999998</c:v>
                </c:pt>
                <c:pt idx="9">
                  <c:v>25.666</c:v>
                </c:pt>
                <c:pt idx="10">
                  <c:v>25.343</c:v>
                </c:pt>
                <c:pt idx="11">
                  <c:v>28.568000000000001</c:v>
                </c:pt>
                <c:pt idx="12">
                  <c:v>29.244</c:v>
                </c:pt>
                <c:pt idx="13">
                  <c:v>32.098999999999997</c:v>
                </c:pt>
                <c:pt idx="14">
                  <c:v>34.895000000000003</c:v>
                </c:pt>
                <c:pt idx="15">
                  <c:v>37.335999999999999</c:v>
                </c:pt>
                <c:pt idx="16">
                  <c:v>42.988999999999997</c:v>
                </c:pt>
                <c:pt idx="17">
                  <c:v>43.298000000000002</c:v>
                </c:pt>
                <c:pt idx="18">
                  <c:v>42.398000000000003</c:v>
                </c:pt>
                <c:pt idx="19">
                  <c:v>42.747</c:v>
                </c:pt>
                <c:pt idx="20">
                  <c:v>44.692</c:v>
                </c:pt>
                <c:pt idx="21">
                  <c:v>51.107999999999997</c:v>
                </c:pt>
                <c:pt idx="22">
                  <c:v>52.116999999999997</c:v>
                </c:pt>
                <c:pt idx="23">
                  <c:v>54.173000000000002</c:v>
                </c:pt>
                <c:pt idx="24">
                  <c:v>57.414000000000001</c:v>
                </c:pt>
                <c:pt idx="25">
                  <c:v>62.807000000000002</c:v>
                </c:pt>
                <c:pt idx="26">
                  <c:v>71.902000000000001</c:v>
                </c:pt>
                <c:pt idx="27">
                  <c:v>73.236999999999995</c:v>
                </c:pt>
                <c:pt idx="28">
                  <c:v>74.043999999999997</c:v>
                </c:pt>
                <c:pt idx="29">
                  <c:v>76.819999999999993</c:v>
                </c:pt>
                <c:pt idx="30">
                  <c:v>84.194000000000003</c:v>
                </c:pt>
                <c:pt idx="31">
                  <c:v>95.278999999999996</c:v>
                </c:pt>
                <c:pt idx="32">
                  <c:v>96.933000000000007</c:v>
                </c:pt>
                <c:pt idx="33">
                  <c:v>101.054</c:v>
                </c:pt>
                <c:pt idx="34">
                  <c:v>108.47</c:v>
                </c:pt>
                <c:pt idx="35">
                  <c:v>119.482</c:v>
                </c:pt>
                <c:pt idx="36">
                  <c:v>131.80600000000001</c:v>
                </c:pt>
                <c:pt idx="37">
                  <c:v>129.84100000000001</c:v>
                </c:pt>
                <c:pt idx="38">
                  <c:v>119.342</c:v>
                </c:pt>
                <c:pt idx="39">
                  <c:v>113.71299999999999</c:v>
                </c:pt>
                <c:pt idx="40">
                  <c:v>117.94499999999999</c:v>
                </c:pt>
                <c:pt idx="41">
                  <c:v>129.346</c:v>
                </c:pt>
                <c:pt idx="42">
                  <c:v>130.97399999999999</c:v>
                </c:pt>
                <c:pt idx="43">
                  <c:v>136.69399999999999</c:v>
                </c:pt>
                <c:pt idx="44">
                  <c:v>145.619</c:v>
                </c:pt>
                <c:pt idx="45">
                  <c:v>162.16399999999999</c:v>
                </c:pt>
                <c:pt idx="46">
                  <c:v>179.11</c:v>
                </c:pt>
                <c:pt idx="47">
                  <c:v>177.39599999999999</c:v>
                </c:pt>
                <c:pt idx="48">
                  <c:v>171.376</c:v>
                </c:pt>
                <c:pt idx="49">
                  <c:v>172.48599999999999</c:v>
                </c:pt>
                <c:pt idx="50">
                  <c:v>183.17</c:v>
                </c:pt>
                <c:pt idx="51">
                  <c:v>199.018</c:v>
                </c:pt>
                <c:pt idx="52">
                  <c:v>194.91900000000001</c:v>
                </c:pt>
                <c:pt idx="53">
                  <c:v>183.625</c:v>
                </c:pt>
                <c:pt idx="54">
                  <c:v>179.506</c:v>
                </c:pt>
                <c:pt idx="55">
                  <c:v>187.81200000000001</c:v>
                </c:pt>
                <c:pt idx="56">
                  <c:v>205.839</c:v>
                </c:pt>
                <c:pt idx="57">
                  <c:v>205.78200000000001</c:v>
                </c:pt>
                <c:pt idx="58">
                  <c:v>206.20500000000001</c:v>
                </c:pt>
                <c:pt idx="59">
                  <c:v>214.142</c:v>
                </c:pt>
                <c:pt idx="60">
                  <c:v>236.934</c:v>
                </c:pt>
                <c:pt idx="61">
                  <c:v>262.20800000000003</c:v>
                </c:pt>
                <c:pt idx="62">
                  <c:v>261.55599999999998</c:v>
                </c:pt>
                <c:pt idx="63">
                  <c:v>256.12</c:v>
                </c:pt>
                <c:pt idx="64">
                  <c:v>262.94900000000001</c:v>
                </c:pt>
                <c:pt idx="65">
                  <c:v>290.161</c:v>
                </c:pt>
                <c:pt idx="66">
                  <c:v>318.63499999999999</c:v>
                </c:pt>
                <c:pt idx="67">
                  <c:v>317.779</c:v>
                </c:pt>
                <c:pt idx="68">
                  <c:v>311.01299999999998</c:v>
                </c:pt>
                <c:pt idx="69">
                  <c:v>320.10899999999998</c:v>
                </c:pt>
                <c:pt idx="70">
                  <c:v>349.64600000000002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C9DC-4B80-AD62-48021C2BB957}"/>
            </c:ext>
          </c:extLst>
        </c:ser>
        <c:ser>
          <c:idx val="94"/>
          <c:order val="94"/>
          <c:tx>
            <c:strRef>
              <c:f>Sheet1!$CR$1</c:f>
              <c:strCache>
                <c:ptCount val="1"/>
                <c:pt idx="0">
                  <c:v>94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Sheet1!$CR$2:$CR$72</c:f>
              <c:numCache>
                <c:formatCode>0.000</c:formatCode>
                <c:ptCount val="71"/>
                <c:pt idx="0">
                  <c:v>18.885000000000002</c:v>
                </c:pt>
                <c:pt idx="1">
                  <c:v>24.062999999999999</c:v>
                </c:pt>
                <c:pt idx="2">
                  <c:v>25.6</c:v>
                </c:pt>
                <c:pt idx="3">
                  <c:v>24.099</c:v>
                </c:pt>
                <c:pt idx="4">
                  <c:v>21.181000000000001</c:v>
                </c:pt>
                <c:pt idx="5">
                  <c:v>18.806999999999999</c:v>
                </c:pt>
                <c:pt idx="6">
                  <c:v>23.99</c:v>
                </c:pt>
                <c:pt idx="7">
                  <c:v>25.498999999999999</c:v>
                </c:pt>
                <c:pt idx="8">
                  <c:v>23.934000000000001</c:v>
                </c:pt>
                <c:pt idx="9">
                  <c:v>20.079000000000001</c:v>
                </c:pt>
                <c:pt idx="10">
                  <c:v>16.731999999999999</c:v>
                </c:pt>
                <c:pt idx="11">
                  <c:v>21.402999999999999</c:v>
                </c:pt>
                <c:pt idx="12">
                  <c:v>23.443999999999999</c:v>
                </c:pt>
                <c:pt idx="13">
                  <c:v>22.965</c:v>
                </c:pt>
                <c:pt idx="14">
                  <c:v>22.376999999999999</c:v>
                </c:pt>
                <c:pt idx="15">
                  <c:v>21.824000000000002</c:v>
                </c:pt>
                <c:pt idx="16">
                  <c:v>31.567</c:v>
                </c:pt>
                <c:pt idx="17">
                  <c:v>35.265999999999998</c:v>
                </c:pt>
                <c:pt idx="18">
                  <c:v>33.981000000000002</c:v>
                </c:pt>
                <c:pt idx="19">
                  <c:v>30.321000000000002</c:v>
                </c:pt>
                <c:pt idx="20">
                  <c:v>27.731000000000002</c:v>
                </c:pt>
                <c:pt idx="21">
                  <c:v>37.982999999999997</c:v>
                </c:pt>
                <c:pt idx="22">
                  <c:v>42.295000000000002</c:v>
                </c:pt>
                <c:pt idx="23">
                  <c:v>41.491999999999997</c:v>
                </c:pt>
                <c:pt idx="24">
                  <c:v>39.216999999999999</c:v>
                </c:pt>
                <c:pt idx="25">
                  <c:v>38.502000000000002</c:v>
                </c:pt>
                <c:pt idx="26">
                  <c:v>53.69</c:v>
                </c:pt>
                <c:pt idx="27">
                  <c:v>60.106000000000002</c:v>
                </c:pt>
                <c:pt idx="28">
                  <c:v>59.235999999999997</c:v>
                </c:pt>
                <c:pt idx="29">
                  <c:v>55.42</c:v>
                </c:pt>
                <c:pt idx="30">
                  <c:v>53.95</c:v>
                </c:pt>
                <c:pt idx="31">
                  <c:v>72.292000000000002</c:v>
                </c:pt>
                <c:pt idx="32">
                  <c:v>80.064999999999998</c:v>
                </c:pt>
                <c:pt idx="33">
                  <c:v>78.978999999999999</c:v>
                </c:pt>
                <c:pt idx="34">
                  <c:v>75.861999999999995</c:v>
                </c:pt>
                <c:pt idx="35">
                  <c:v>77.432000000000002</c:v>
                </c:pt>
                <c:pt idx="36">
                  <c:v>102.169</c:v>
                </c:pt>
                <c:pt idx="37">
                  <c:v>110.20399999999999</c:v>
                </c:pt>
                <c:pt idx="38">
                  <c:v>105.143</c:v>
                </c:pt>
                <c:pt idx="39">
                  <c:v>91.667000000000002</c:v>
                </c:pt>
                <c:pt idx="40">
                  <c:v>83.105000000000004</c:v>
                </c:pt>
                <c:pt idx="41">
                  <c:v>101.274</c:v>
                </c:pt>
                <c:pt idx="42">
                  <c:v>108.883</c:v>
                </c:pt>
                <c:pt idx="43">
                  <c:v>107.15</c:v>
                </c:pt>
                <c:pt idx="44">
                  <c:v>103.621</c:v>
                </c:pt>
                <c:pt idx="45">
                  <c:v>105.504</c:v>
                </c:pt>
                <c:pt idx="46">
                  <c:v>138.42699999999999</c:v>
                </c:pt>
                <c:pt idx="47">
                  <c:v>149.60400000000001</c:v>
                </c:pt>
                <c:pt idx="48">
                  <c:v>143.48599999999999</c:v>
                </c:pt>
                <c:pt idx="49">
                  <c:v>129.435</c:v>
                </c:pt>
                <c:pt idx="50">
                  <c:v>124.04600000000001</c:v>
                </c:pt>
                <c:pt idx="51">
                  <c:v>156.304</c:v>
                </c:pt>
                <c:pt idx="52">
                  <c:v>165.63900000000001</c:v>
                </c:pt>
                <c:pt idx="53">
                  <c:v>156.73699999999999</c:v>
                </c:pt>
                <c:pt idx="54">
                  <c:v>138.40600000000001</c:v>
                </c:pt>
                <c:pt idx="55">
                  <c:v>128.27000000000001</c:v>
                </c:pt>
                <c:pt idx="56">
                  <c:v>160.71600000000001</c:v>
                </c:pt>
                <c:pt idx="57">
                  <c:v>172.69200000000001</c:v>
                </c:pt>
                <c:pt idx="58">
                  <c:v>167.65600000000001</c:v>
                </c:pt>
                <c:pt idx="59">
                  <c:v>156.571</c:v>
                </c:pt>
                <c:pt idx="60">
                  <c:v>156.32400000000001</c:v>
                </c:pt>
                <c:pt idx="61">
                  <c:v>203.929</c:v>
                </c:pt>
                <c:pt idx="62">
                  <c:v>221.45599999999999</c:v>
                </c:pt>
                <c:pt idx="63">
                  <c:v>215.08099999999999</c:v>
                </c:pt>
                <c:pt idx="64">
                  <c:v>198.505</c:v>
                </c:pt>
                <c:pt idx="65">
                  <c:v>197.68100000000001</c:v>
                </c:pt>
                <c:pt idx="66">
                  <c:v>251.72900000000001</c:v>
                </c:pt>
                <c:pt idx="67">
                  <c:v>271.94400000000002</c:v>
                </c:pt>
                <c:pt idx="68">
                  <c:v>265.18700000000001</c:v>
                </c:pt>
                <c:pt idx="69">
                  <c:v>246.66800000000001</c:v>
                </c:pt>
                <c:pt idx="70">
                  <c:v>248.18700000000001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C9DC-4B80-AD62-48021C2BB957}"/>
            </c:ext>
          </c:extLst>
        </c:ser>
        <c:ser>
          <c:idx val="95"/>
          <c:order val="95"/>
          <c:tx>
            <c:strRef>
              <c:f>Sheet1!$CS$1</c:f>
              <c:strCache>
                <c:ptCount val="1"/>
                <c:pt idx="0">
                  <c:v>95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60000"/>
                  <a:lumOff val="4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Sheet1!$CS$2:$CS$72</c:f>
              <c:numCache>
                <c:formatCode>0.000</c:formatCode>
                <c:ptCount val="71"/>
                <c:pt idx="0">
                  <c:v>13.112</c:v>
                </c:pt>
                <c:pt idx="1">
                  <c:v>15.801</c:v>
                </c:pt>
                <c:pt idx="2">
                  <c:v>19.617999999999999</c:v>
                </c:pt>
                <c:pt idx="3">
                  <c:v>19.972999999999999</c:v>
                </c:pt>
                <c:pt idx="4">
                  <c:v>17.478000000000002</c:v>
                </c:pt>
                <c:pt idx="5">
                  <c:v>12.760999999999999</c:v>
                </c:pt>
                <c:pt idx="6">
                  <c:v>15.749000000000001</c:v>
                </c:pt>
                <c:pt idx="7">
                  <c:v>19.495000000000001</c:v>
                </c:pt>
                <c:pt idx="8">
                  <c:v>19.774000000000001</c:v>
                </c:pt>
                <c:pt idx="9">
                  <c:v>17.187999999999999</c:v>
                </c:pt>
                <c:pt idx="10">
                  <c:v>12.331</c:v>
                </c:pt>
                <c:pt idx="11">
                  <c:v>14.023999999999999</c:v>
                </c:pt>
                <c:pt idx="12">
                  <c:v>17.47</c:v>
                </c:pt>
                <c:pt idx="13">
                  <c:v>18.318000000000001</c:v>
                </c:pt>
                <c:pt idx="14">
                  <c:v>16.672000000000001</c:v>
                </c:pt>
                <c:pt idx="15">
                  <c:v>12.648999999999999</c:v>
                </c:pt>
                <c:pt idx="16">
                  <c:v>18.327000000000002</c:v>
                </c:pt>
                <c:pt idx="17">
                  <c:v>25.771999999999998</c:v>
                </c:pt>
                <c:pt idx="18">
                  <c:v>27.527999999999999</c:v>
                </c:pt>
                <c:pt idx="19">
                  <c:v>24.664999999999999</c:v>
                </c:pt>
                <c:pt idx="20">
                  <c:v>18.254000000000001</c:v>
                </c:pt>
                <c:pt idx="21">
                  <c:v>23.373000000000001</c:v>
                </c:pt>
                <c:pt idx="22">
                  <c:v>31.257000000000001</c:v>
                </c:pt>
                <c:pt idx="23">
                  <c:v>33.484999999999999</c:v>
                </c:pt>
                <c:pt idx="24">
                  <c:v>30.885999999999999</c:v>
                </c:pt>
                <c:pt idx="25">
                  <c:v>24.273</c:v>
                </c:pt>
                <c:pt idx="26">
                  <c:v>32.625</c:v>
                </c:pt>
                <c:pt idx="27">
                  <c:v>44.619</c:v>
                </c:pt>
                <c:pt idx="28">
                  <c:v>48.326999999999998</c:v>
                </c:pt>
                <c:pt idx="29">
                  <c:v>45.218000000000004</c:v>
                </c:pt>
                <c:pt idx="30">
                  <c:v>36.768999999999998</c:v>
                </c:pt>
                <c:pt idx="31">
                  <c:v>45.890999999999998</c:v>
                </c:pt>
                <c:pt idx="32">
                  <c:v>60.357999999999997</c:v>
                </c:pt>
                <c:pt idx="33">
                  <c:v>64.823999999999998</c:v>
                </c:pt>
                <c:pt idx="34">
                  <c:v>61.018999999999998</c:v>
                </c:pt>
                <c:pt idx="35">
                  <c:v>50.677</c:v>
                </c:pt>
                <c:pt idx="36">
                  <c:v>65.622</c:v>
                </c:pt>
                <c:pt idx="37">
                  <c:v>84.861999999999995</c:v>
                </c:pt>
                <c:pt idx="38">
                  <c:v>88.594999999999999</c:v>
                </c:pt>
                <c:pt idx="39">
                  <c:v>80.429000000000002</c:v>
                </c:pt>
                <c:pt idx="40">
                  <c:v>63.981000000000002</c:v>
                </c:pt>
                <c:pt idx="41">
                  <c:v>70.631</c:v>
                </c:pt>
                <c:pt idx="42">
                  <c:v>84.613</c:v>
                </c:pt>
                <c:pt idx="43">
                  <c:v>88.46</c:v>
                </c:pt>
                <c:pt idx="44">
                  <c:v>83.396000000000001</c:v>
                </c:pt>
                <c:pt idx="45">
                  <c:v>70.584999999999994</c:v>
                </c:pt>
                <c:pt idx="46">
                  <c:v>89.266999999999996</c:v>
                </c:pt>
                <c:pt idx="47">
                  <c:v>114.85</c:v>
                </c:pt>
                <c:pt idx="48">
                  <c:v>120.105</c:v>
                </c:pt>
                <c:pt idx="49">
                  <c:v>109.435</c:v>
                </c:pt>
                <c:pt idx="50">
                  <c:v>87.366</c:v>
                </c:pt>
                <c:pt idx="51">
                  <c:v>104.807</c:v>
                </c:pt>
                <c:pt idx="52">
                  <c:v>129.11600000000001</c:v>
                </c:pt>
                <c:pt idx="53">
                  <c:v>132.131</c:v>
                </c:pt>
                <c:pt idx="54">
                  <c:v>118.63500000000001</c:v>
                </c:pt>
                <c:pt idx="55">
                  <c:v>93.316000000000003</c:v>
                </c:pt>
                <c:pt idx="56">
                  <c:v>108.595</c:v>
                </c:pt>
                <c:pt idx="57">
                  <c:v>133.77199999999999</c:v>
                </c:pt>
                <c:pt idx="58">
                  <c:v>139.59100000000001</c:v>
                </c:pt>
                <c:pt idx="59">
                  <c:v>129.459</c:v>
                </c:pt>
                <c:pt idx="60">
                  <c:v>106.848</c:v>
                </c:pt>
                <c:pt idx="61">
                  <c:v>133.11000000000001</c:v>
                </c:pt>
                <c:pt idx="62">
                  <c:v>170.89599999999999</c:v>
                </c:pt>
                <c:pt idx="63">
                  <c:v>180.63300000000001</c:v>
                </c:pt>
                <c:pt idx="64">
                  <c:v>168.53</c:v>
                </c:pt>
                <c:pt idx="65">
                  <c:v>140.858</c:v>
                </c:pt>
                <c:pt idx="66">
                  <c:v>169.50200000000001</c:v>
                </c:pt>
                <c:pt idx="67">
                  <c:v>213.07499999999999</c:v>
                </c:pt>
                <c:pt idx="68">
                  <c:v>225.12299999999999</c:v>
                </c:pt>
                <c:pt idx="69">
                  <c:v>212.578</c:v>
                </c:pt>
                <c:pt idx="70">
                  <c:v>182.358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C9DC-4B80-AD62-48021C2BB957}"/>
            </c:ext>
          </c:extLst>
        </c:ser>
        <c:ser>
          <c:idx val="96"/>
          <c:order val="96"/>
          <c:tx>
            <c:strRef>
              <c:f>Sheet1!$CT$1</c:f>
              <c:strCache>
                <c:ptCount val="1"/>
                <c:pt idx="0">
                  <c:v>96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Sheet1!$CT$2:$CT$72</c:f>
              <c:numCache>
                <c:formatCode>0.000</c:formatCode>
                <c:ptCount val="71"/>
                <c:pt idx="0">
                  <c:v>11.18</c:v>
                </c:pt>
                <c:pt idx="1">
                  <c:v>11.365</c:v>
                </c:pt>
                <c:pt idx="2">
                  <c:v>12.760999999999999</c:v>
                </c:pt>
                <c:pt idx="3">
                  <c:v>15.182</c:v>
                </c:pt>
                <c:pt idx="4">
                  <c:v>14.336</c:v>
                </c:pt>
                <c:pt idx="5">
                  <c:v>10.847</c:v>
                </c:pt>
                <c:pt idx="6">
                  <c:v>10.734999999999999</c:v>
                </c:pt>
                <c:pt idx="7">
                  <c:v>12.675000000000001</c:v>
                </c:pt>
                <c:pt idx="8">
                  <c:v>14.994</c:v>
                </c:pt>
                <c:pt idx="9">
                  <c:v>14.053000000000001</c:v>
                </c:pt>
                <c:pt idx="10">
                  <c:v>10.446</c:v>
                </c:pt>
                <c:pt idx="11">
                  <c:v>10.281000000000001</c:v>
                </c:pt>
                <c:pt idx="12">
                  <c:v>11.321999999999999</c:v>
                </c:pt>
                <c:pt idx="13">
                  <c:v>13.536</c:v>
                </c:pt>
                <c:pt idx="14">
                  <c:v>13.180999999999999</c:v>
                </c:pt>
                <c:pt idx="15">
                  <c:v>10.372999999999999</c:v>
                </c:pt>
                <c:pt idx="16">
                  <c:v>11.052</c:v>
                </c:pt>
                <c:pt idx="17">
                  <c:v>14.815</c:v>
                </c:pt>
                <c:pt idx="18">
                  <c:v>19.966999999999999</c:v>
                </c:pt>
                <c:pt idx="19">
                  <c:v>19.79</c:v>
                </c:pt>
                <c:pt idx="20">
                  <c:v>15.356</c:v>
                </c:pt>
                <c:pt idx="21">
                  <c:v>16.259</c:v>
                </c:pt>
                <c:pt idx="22">
                  <c:v>19.003</c:v>
                </c:pt>
                <c:pt idx="23">
                  <c:v>24.530999999999999</c:v>
                </c:pt>
                <c:pt idx="24">
                  <c:v>24.69</c:v>
                </c:pt>
                <c:pt idx="25">
                  <c:v>20.291</c:v>
                </c:pt>
                <c:pt idx="26">
                  <c:v>22.021000000000001</c:v>
                </c:pt>
                <c:pt idx="27">
                  <c:v>26.777000000000001</c:v>
                </c:pt>
                <c:pt idx="28">
                  <c:v>35.56</c:v>
                </c:pt>
                <c:pt idx="29">
                  <c:v>36.533999999999999</c:v>
                </c:pt>
                <c:pt idx="30">
                  <c:v>31.175999999999998</c:v>
                </c:pt>
                <c:pt idx="31">
                  <c:v>33.527000000000001</c:v>
                </c:pt>
                <c:pt idx="32">
                  <c:v>37.811999999999998</c:v>
                </c:pt>
                <c:pt idx="33">
                  <c:v>48.405000000000001</c:v>
                </c:pt>
                <c:pt idx="34">
                  <c:v>49.576999999999998</c:v>
                </c:pt>
                <c:pt idx="35">
                  <c:v>43.063000000000002</c:v>
                </c:pt>
                <c:pt idx="36">
                  <c:v>45.813000000000002</c:v>
                </c:pt>
                <c:pt idx="37">
                  <c:v>53.814</c:v>
                </c:pt>
                <c:pt idx="38">
                  <c:v>67.549000000000007</c:v>
                </c:pt>
                <c:pt idx="39">
                  <c:v>66.972999999999999</c:v>
                </c:pt>
                <c:pt idx="40">
                  <c:v>55.703000000000003</c:v>
                </c:pt>
                <c:pt idx="41">
                  <c:v>56.752000000000002</c:v>
                </c:pt>
                <c:pt idx="42">
                  <c:v>58.164000000000001</c:v>
                </c:pt>
                <c:pt idx="43">
                  <c:v>67.983999999999995</c:v>
                </c:pt>
                <c:pt idx="44">
                  <c:v>68.096999999999994</c:v>
                </c:pt>
                <c:pt idx="45">
                  <c:v>59.676000000000002</c:v>
                </c:pt>
                <c:pt idx="46">
                  <c:v>62.131999999999998</c:v>
                </c:pt>
                <c:pt idx="47">
                  <c:v>73.135000000000005</c:v>
                </c:pt>
                <c:pt idx="48">
                  <c:v>91.277000000000001</c:v>
                </c:pt>
                <c:pt idx="49">
                  <c:v>90.486000000000004</c:v>
                </c:pt>
                <c:pt idx="50">
                  <c:v>75.272999999999996</c:v>
                </c:pt>
                <c:pt idx="51">
                  <c:v>77.245999999999995</c:v>
                </c:pt>
                <c:pt idx="52">
                  <c:v>85.347999999999999</c:v>
                </c:pt>
                <c:pt idx="53">
                  <c:v>101.828</c:v>
                </c:pt>
                <c:pt idx="54">
                  <c:v>98.694000000000003</c:v>
                </c:pt>
                <c:pt idx="55">
                  <c:v>80.64</c:v>
                </c:pt>
                <c:pt idx="56">
                  <c:v>81.718000000000004</c:v>
                </c:pt>
                <c:pt idx="57">
                  <c:v>89.022000000000006</c:v>
                </c:pt>
                <c:pt idx="58">
                  <c:v>106.863</c:v>
                </c:pt>
                <c:pt idx="59">
                  <c:v>106.43</c:v>
                </c:pt>
                <c:pt idx="60">
                  <c:v>91.188999999999993</c:v>
                </c:pt>
                <c:pt idx="61">
                  <c:v>95.823999999999998</c:v>
                </c:pt>
                <c:pt idx="62">
                  <c:v>109.878</c:v>
                </c:pt>
                <c:pt idx="63">
                  <c:v>137.809</c:v>
                </c:pt>
                <c:pt idx="64">
                  <c:v>139.74600000000001</c:v>
                </c:pt>
                <c:pt idx="65">
                  <c:v>121.949</c:v>
                </c:pt>
                <c:pt idx="66">
                  <c:v>129.73500000000001</c:v>
                </c:pt>
                <c:pt idx="67">
                  <c:v>141.172</c:v>
                </c:pt>
                <c:pt idx="68">
                  <c:v>174.31899999999999</c:v>
                </c:pt>
                <c:pt idx="69">
                  <c:v>178.28899999999999</c:v>
                </c:pt>
                <c:pt idx="70">
                  <c:v>159.995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C9DC-4B80-AD62-48021C2BB957}"/>
            </c:ext>
          </c:extLst>
        </c:ser>
        <c:ser>
          <c:idx val="97"/>
          <c:order val="97"/>
          <c:tx>
            <c:strRef>
              <c:f>Sheet1!$CU$1</c:f>
              <c:strCache>
                <c:ptCount val="1"/>
                <c:pt idx="0">
                  <c:v>97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Sheet1!$CU$2:$CU$72</c:f>
              <c:numCache>
                <c:formatCode>0.000</c:formatCode>
                <c:ptCount val="71"/>
                <c:pt idx="0">
                  <c:v>8.9619999999999997</c:v>
                </c:pt>
                <c:pt idx="1">
                  <c:v>9.1319999999999997</c:v>
                </c:pt>
                <c:pt idx="2">
                  <c:v>9.1080000000000005</c:v>
                </c:pt>
                <c:pt idx="3">
                  <c:v>9.7260000000000009</c:v>
                </c:pt>
                <c:pt idx="4">
                  <c:v>10.738</c:v>
                </c:pt>
                <c:pt idx="5">
                  <c:v>8.6890000000000001</c:v>
                </c:pt>
                <c:pt idx="6">
                  <c:v>8.6029999999999998</c:v>
                </c:pt>
                <c:pt idx="7">
                  <c:v>8.5519999999999996</c:v>
                </c:pt>
                <c:pt idx="8">
                  <c:v>9.5969999999999995</c:v>
                </c:pt>
                <c:pt idx="9">
                  <c:v>10.497999999999999</c:v>
                </c:pt>
                <c:pt idx="10">
                  <c:v>8.3379999999999992</c:v>
                </c:pt>
                <c:pt idx="11">
                  <c:v>8.1519999999999992</c:v>
                </c:pt>
                <c:pt idx="12">
                  <c:v>7.9409999999999998</c:v>
                </c:pt>
                <c:pt idx="13">
                  <c:v>8.6170000000000009</c:v>
                </c:pt>
                <c:pt idx="14">
                  <c:v>9.593</c:v>
                </c:pt>
                <c:pt idx="15">
                  <c:v>8.0389999999999997</c:v>
                </c:pt>
                <c:pt idx="16">
                  <c:v>8.5730000000000004</c:v>
                </c:pt>
                <c:pt idx="17">
                  <c:v>9.3520000000000003</c:v>
                </c:pt>
                <c:pt idx="18">
                  <c:v>11.297000000000001</c:v>
                </c:pt>
                <c:pt idx="19">
                  <c:v>14.162000000000001</c:v>
                </c:pt>
                <c:pt idx="20">
                  <c:v>12.058999999999999</c:v>
                </c:pt>
                <c:pt idx="21">
                  <c:v>12.769</c:v>
                </c:pt>
                <c:pt idx="22">
                  <c:v>13.381</c:v>
                </c:pt>
                <c:pt idx="23">
                  <c:v>14.635</c:v>
                </c:pt>
                <c:pt idx="24">
                  <c:v>17.818999999999999</c:v>
                </c:pt>
                <c:pt idx="25">
                  <c:v>15.904999999999999</c:v>
                </c:pt>
                <c:pt idx="26">
                  <c:v>17.292999999999999</c:v>
                </c:pt>
                <c:pt idx="27">
                  <c:v>18.965</c:v>
                </c:pt>
                <c:pt idx="28">
                  <c:v>20.936</c:v>
                </c:pt>
                <c:pt idx="29">
                  <c:v>26.491</c:v>
                </c:pt>
                <c:pt idx="30">
                  <c:v>24.722000000000001</c:v>
                </c:pt>
                <c:pt idx="31">
                  <c:v>26.609000000000002</c:v>
                </c:pt>
                <c:pt idx="32">
                  <c:v>28.445</c:v>
                </c:pt>
                <c:pt idx="33">
                  <c:v>29.719000000000001</c:v>
                </c:pt>
                <c:pt idx="34">
                  <c:v>36.445</c:v>
                </c:pt>
                <c:pt idx="35">
                  <c:v>34.335000000000001</c:v>
                </c:pt>
                <c:pt idx="36">
                  <c:v>36.686</c:v>
                </c:pt>
                <c:pt idx="37">
                  <c:v>39.223999999999997</c:v>
                </c:pt>
                <c:pt idx="38">
                  <c:v>42.003999999999998</c:v>
                </c:pt>
                <c:pt idx="39">
                  <c:v>50.225000000000001</c:v>
                </c:pt>
                <c:pt idx="40">
                  <c:v>45.343000000000004</c:v>
                </c:pt>
                <c:pt idx="41">
                  <c:v>46.094999999999999</c:v>
                </c:pt>
                <c:pt idx="42">
                  <c:v>46.244999999999997</c:v>
                </c:pt>
                <c:pt idx="43">
                  <c:v>45.720999999999997</c:v>
                </c:pt>
                <c:pt idx="44">
                  <c:v>51.401000000000003</c:v>
                </c:pt>
                <c:pt idx="45">
                  <c:v>47.76</c:v>
                </c:pt>
                <c:pt idx="46">
                  <c:v>49.732999999999997</c:v>
                </c:pt>
                <c:pt idx="47">
                  <c:v>52.497</c:v>
                </c:pt>
                <c:pt idx="48">
                  <c:v>57.002000000000002</c:v>
                </c:pt>
                <c:pt idx="49">
                  <c:v>67.611999999999995</c:v>
                </c:pt>
                <c:pt idx="50">
                  <c:v>60.777999999999999</c:v>
                </c:pt>
                <c:pt idx="51">
                  <c:v>62.473999999999997</c:v>
                </c:pt>
                <c:pt idx="52">
                  <c:v>63.527000000000001</c:v>
                </c:pt>
                <c:pt idx="53">
                  <c:v>65.825000000000003</c:v>
                </c:pt>
                <c:pt idx="54">
                  <c:v>74.596000000000004</c:v>
                </c:pt>
                <c:pt idx="55">
                  <c:v>65.347999999999999</c:v>
                </c:pt>
                <c:pt idx="56">
                  <c:v>66.105999999999995</c:v>
                </c:pt>
                <c:pt idx="57">
                  <c:v>67.055999999999997</c:v>
                </c:pt>
                <c:pt idx="58">
                  <c:v>69.472999999999999</c:v>
                </c:pt>
                <c:pt idx="59">
                  <c:v>79.906999999999996</c:v>
                </c:pt>
                <c:pt idx="60">
                  <c:v>73.209000000000003</c:v>
                </c:pt>
                <c:pt idx="61">
                  <c:v>76.974999999999994</c:v>
                </c:pt>
                <c:pt idx="62">
                  <c:v>81.587000000000003</c:v>
                </c:pt>
                <c:pt idx="63">
                  <c:v>86.606999999999999</c:v>
                </c:pt>
                <c:pt idx="64">
                  <c:v>104.672</c:v>
                </c:pt>
                <c:pt idx="65">
                  <c:v>98.837000000000003</c:v>
                </c:pt>
                <c:pt idx="66">
                  <c:v>105.41800000000001</c:v>
                </c:pt>
                <c:pt idx="67">
                  <c:v>112.179</c:v>
                </c:pt>
                <c:pt idx="68">
                  <c:v>112.77500000000001</c:v>
                </c:pt>
                <c:pt idx="69">
                  <c:v>135.554</c:v>
                </c:pt>
                <c:pt idx="70">
                  <c:v>131.47900000000001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C9DC-4B80-AD62-48021C2BB957}"/>
            </c:ext>
          </c:extLst>
        </c:ser>
        <c:ser>
          <c:idx val="98"/>
          <c:order val="98"/>
          <c:tx>
            <c:strRef>
              <c:f>Sheet1!$CV$1</c:f>
              <c:strCache>
                <c:ptCount val="1"/>
                <c:pt idx="0">
                  <c:v>98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Sheet1!$CV$2:$CV$72</c:f>
              <c:numCache>
                <c:formatCode>0.000</c:formatCode>
                <c:ptCount val="71"/>
                <c:pt idx="0">
                  <c:v>6.46</c:v>
                </c:pt>
                <c:pt idx="1">
                  <c:v>6.5890000000000004</c:v>
                </c:pt>
                <c:pt idx="2">
                  <c:v>6.577</c:v>
                </c:pt>
                <c:pt idx="3">
                  <c:v>6.4889999999999999</c:v>
                </c:pt>
                <c:pt idx="4">
                  <c:v>6.6859999999999999</c:v>
                </c:pt>
                <c:pt idx="5">
                  <c:v>6.2869999999999999</c:v>
                </c:pt>
                <c:pt idx="6">
                  <c:v>6.2279999999999998</c:v>
                </c:pt>
                <c:pt idx="7">
                  <c:v>6.1929999999999996</c:v>
                </c:pt>
                <c:pt idx="8">
                  <c:v>6.1630000000000003</c:v>
                </c:pt>
                <c:pt idx="9">
                  <c:v>6.52</c:v>
                </c:pt>
                <c:pt idx="10">
                  <c:v>6.0039999999999996</c:v>
                </c:pt>
                <c:pt idx="11">
                  <c:v>5.8449999999999998</c:v>
                </c:pt>
                <c:pt idx="12">
                  <c:v>5.6639999999999997</c:v>
                </c:pt>
                <c:pt idx="13">
                  <c:v>5.5259999999999998</c:v>
                </c:pt>
                <c:pt idx="14">
                  <c:v>5.9089999999999998</c:v>
                </c:pt>
                <c:pt idx="15">
                  <c:v>5.6479999999999997</c:v>
                </c:pt>
                <c:pt idx="16">
                  <c:v>5.9939999999999998</c:v>
                </c:pt>
                <c:pt idx="17">
                  <c:v>6.5119999999999996</c:v>
                </c:pt>
                <c:pt idx="18">
                  <c:v>7.14</c:v>
                </c:pt>
                <c:pt idx="19">
                  <c:v>7.78</c:v>
                </c:pt>
                <c:pt idx="20">
                  <c:v>8.3610000000000007</c:v>
                </c:pt>
                <c:pt idx="21">
                  <c:v>8.86</c:v>
                </c:pt>
                <c:pt idx="22">
                  <c:v>9.298</c:v>
                </c:pt>
                <c:pt idx="23">
                  <c:v>9.7520000000000007</c:v>
                </c:pt>
                <c:pt idx="24">
                  <c:v>10.273</c:v>
                </c:pt>
                <c:pt idx="25">
                  <c:v>11.112</c:v>
                </c:pt>
                <c:pt idx="26">
                  <c:v>12.099</c:v>
                </c:pt>
                <c:pt idx="27">
                  <c:v>13.285</c:v>
                </c:pt>
                <c:pt idx="28">
                  <c:v>14.619</c:v>
                </c:pt>
                <c:pt idx="29">
                  <c:v>15.087</c:v>
                </c:pt>
                <c:pt idx="30">
                  <c:v>17.408000000000001</c:v>
                </c:pt>
                <c:pt idx="31">
                  <c:v>18.777999999999999</c:v>
                </c:pt>
                <c:pt idx="32">
                  <c:v>20.120999999999999</c:v>
                </c:pt>
                <c:pt idx="33">
                  <c:v>21.478999999999999</c:v>
                </c:pt>
                <c:pt idx="34">
                  <c:v>21.623999999999999</c:v>
                </c:pt>
                <c:pt idx="35">
                  <c:v>24.491</c:v>
                </c:pt>
                <c:pt idx="36">
                  <c:v>26.256</c:v>
                </c:pt>
                <c:pt idx="37">
                  <c:v>28.175000000000001</c:v>
                </c:pt>
                <c:pt idx="38">
                  <c:v>30.082000000000001</c:v>
                </c:pt>
                <c:pt idx="39">
                  <c:v>30.186</c:v>
                </c:pt>
                <c:pt idx="40">
                  <c:v>32.896000000000001</c:v>
                </c:pt>
                <c:pt idx="41">
                  <c:v>33.506999999999998</c:v>
                </c:pt>
                <c:pt idx="42">
                  <c:v>33.670999999999999</c:v>
                </c:pt>
                <c:pt idx="43">
                  <c:v>33.703000000000003</c:v>
                </c:pt>
                <c:pt idx="44">
                  <c:v>33.308</c:v>
                </c:pt>
                <c:pt idx="45">
                  <c:v>34.835999999999999</c:v>
                </c:pt>
                <c:pt idx="46">
                  <c:v>36.210999999999999</c:v>
                </c:pt>
                <c:pt idx="47">
                  <c:v>38.118000000000002</c:v>
                </c:pt>
                <c:pt idx="48">
                  <c:v>40.29</c:v>
                </c:pt>
                <c:pt idx="49">
                  <c:v>40.811</c:v>
                </c:pt>
                <c:pt idx="50">
                  <c:v>43.881</c:v>
                </c:pt>
                <c:pt idx="51">
                  <c:v>45.121000000000002</c:v>
                </c:pt>
                <c:pt idx="52">
                  <c:v>45.94</c:v>
                </c:pt>
                <c:pt idx="53">
                  <c:v>46.47</c:v>
                </c:pt>
                <c:pt idx="54">
                  <c:v>46.343000000000004</c:v>
                </c:pt>
                <c:pt idx="55">
                  <c:v>47.436</c:v>
                </c:pt>
                <c:pt idx="56">
                  <c:v>47.973999999999997</c:v>
                </c:pt>
                <c:pt idx="57">
                  <c:v>48.624000000000002</c:v>
                </c:pt>
                <c:pt idx="58">
                  <c:v>49.546999999999997</c:v>
                </c:pt>
                <c:pt idx="59">
                  <c:v>49.889000000000003</c:v>
                </c:pt>
                <c:pt idx="60">
                  <c:v>52.905000000000001</c:v>
                </c:pt>
                <c:pt idx="61">
                  <c:v>55.582000000000001</c:v>
                </c:pt>
                <c:pt idx="62">
                  <c:v>58.881999999999998</c:v>
                </c:pt>
                <c:pt idx="63">
                  <c:v>62.722000000000001</c:v>
                </c:pt>
                <c:pt idx="64">
                  <c:v>63.308</c:v>
                </c:pt>
                <c:pt idx="65">
                  <c:v>71.521000000000001</c:v>
                </c:pt>
                <c:pt idx="66">
                  <c:v>76.477000000000004</c:v>
                </c:pt>
                <c:pt idx="67">
                  <c:v>81.637</c:v>
                </c:pt>
                <c:pt idx="68">
                  <c:v>86.853999999999999</c:v>
                </c:pt>
                <c:pt idx="69">
                  <c:v>84.373999999999995</c:v>
                </c:pt>
                <c:pt idx="70">
                  <c:v>96.811999999999998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C9DC-4B80-AD62-48021C2BB957}"/>
            </c:ext>
          </c:extLst>
        </c:ser>
        <c:ser>
          <c:idx val="99"/>
          <c:order val="99"/>
          <c:tx>
            <c:strRef>
              <c:f>Sheet1!$CW$1</c:f>
              <c:strCache>
                <c:ptCount val="1"/>
                <c:pt idx="0">
                  <c:v>99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Sheet1!$CW$2:$CW$72</c:f>
              <c:numCache>
                <c:formatCode>0.000</c:formatCode>
                <c:ptCount val="71"/>
                <c:pt idx="0">
                  <c:v>3.6709999999999998</c:v>
                </c:pt>
                <c:pt idx="1">
                  <c:v>3.7360000000000002</c:v>
                </c:pt>
                <c:pt idx="2">
                  <c:v>3.7440000000000002</c:v>
                </c:pt>
                <c:pt idx="3">
                  <c:v>3.7189999999999999</c:v>
                </c:pt>
                <c:pt idx="4">
                  <c:v>3.6789999999999998</c:v>
                </c:pt>
                <c:pt idx="5">
                  <c:v>3.641</c:v>
                </c:pt>
                <c:pt idx="6">
                  <c:v>3.6110000000000002</c:v>
                </c:pt>
                <c:pt idx="7">
                  <c:v>3.585</c:v>
                </c:pt>
                <c:pt idx="8">
                  <c:v>3.556</c:v>
                </c:pt>
                <c:pt idx="9">
                  <c:v>3.512</c:v>
                </c:pt>
                <c:pt idx="10">
                  <c:v>3.4470000000000001</c:v>
                </c:pt>
                <c:pt idx="11">
                  <c:v>3.359</c:v>
                </c:pt>
                <c:pt idx="12">
                  <c:v>3.2639999999999998</c:v>
                </c:pt>
                <c:pt idx="13">
                  <c:v>3.1880000000000002</c:v>
                </c:pt>
                <c:pt idx="14">
                  <c:v>3.161</c:v>
                </c:pt>
                <c:pt idx="15">
                  <c:v>3.1970000000000001</c:v>
                </c:pt>
                <c:pt idx="16">
                  <c:v>3.3159999999999998</c:v>
                </c:pt>
                <c:pt idx="17">
                  <c:v>3.5009999999999999</c:v>
                </c:pt>
                <c:pt idx="18">
                  <c:v>3.738</c:v>
                </c:pt>
                <c:pt idx="19">
                  <c:v>3.9980000000000002</c:v>
                </c:pt>
                <c:pt idx="20">
                  <c:v>4.2649999999999997</c:v>
                </c:pt>
                <c:pt idx="21">
                  <c:v>4.532</c:v>
                </c:pt>
                <c:pt idx="22">
                  <c:v>4.8049999999999997</c:v>
                </c:pt>
                <c:pt idx="23">
                  <c:v>5.1070000000000002</c:v>
                </c:pt>
                <c:pt idx="24">
                  <c:v>5.47</c:v>
                </c:pt>
                <c:pt idx="25">
                  <c:v>5.9160000000000004</c:v>
                </c:pt>
                <c:pt idx="26">
                  <c:v>6.44</c:v>
                </c:pt>
                <c:pt idx="27">
                  <c:v>7.048</c:v>
                </c:pt>
                <c:pt idx="28">
                  <c:v>7.7290000000000001</c:v>
                </c:pt>
                <c:pt idx="29">
                  <c:v>8.4619999999999997</c:v>
                </c:pt>
                <c:pt idx="30">
                  <c:v>9.2309999999999999</c:v>
                </c:pt>
                <c:pt idx="31">
                  <c:v>10.034000000000001</c:v>
                </c:pt>
                <c:pt idx="32">
                  <c:v>10.861000000000001</c:v>
                </c:pt>
                <c:pt idx="33">
                  <c:v>11.712999999999999</c:v>
                </c:pt>
                <c:pt idx="34">
                  <c:v>12.602</c:v>
                </c:pt>
                <c:pt idx="35">
                  <c:v>13.532</c:v>
                </c:pt>
                <c:pt idx="36">
                  <c:v>14.523999999999999</c:v>
                </c:pt>
                <c:pt idx="37">
                  <c:v>15.564</c:v>
                </c:pt>
                <c:pt idx="38">
                  <c:v>16.603000000000002</c:v>
                </c:pt>
                <c:pt idx="39">
                  <c:v>17.558</c:v>
                </c:pt>
                <c:pt idx="40">
                  <c:v>18.364999999999998</c:v>
                </c:pt>
                <c:pt idx="41">
                  <c:v>18.989000000000001</c:v>
                </c:pt>
                <c:pt idx="42">
                  <c:v>19.463999999999999</c:v>
                </c:pt>
                <c:pt idx="43">
                  <c:v>19.873000000000001</c:v>
                </c:pt>
                <c:pt idx="44">
                  <c:v>20.331</c:v>
                </c:pt>
                <c:pt idx="45">
                  <c:v>20.905000000000001</c:v>
                </c:pt>
                <c:pt idx="46">
                  <c:v>21.567</c:v>
                </c:pt>
                <c:pt idx="47">
                  <c:v>22.349</c:v>
                </c:pt>
                <c:pt idx="48">
                  <c:v>23.178000000000001</c:v>
                </c:pt>
                <c:pt idx="49">
                  <c:v>23.946000000000002</c:v>
                </c:pt>
                <c:pt idx="50">
                  <c:v>24.582000000000001</c:v>
                </c:pt>
                <c:pt idx="51">
                  <c:v>25.186</c:v>
                </c:pt>
                <c:pt idx="52">
                  <c:v>25.675000000000001</c:v>
                </c:pt>
                <c:pt idx="53">
                  <c:v>26.09</c:v>
                </c:pt>
                <c:pt idx="54">
                  <c:v>26.484999999999999</c:v>
                </c:pt>
                <c:pt idx="55">
                  <c:v>26.905000000000001</c:v>
                </c:pt>
                <c:pt idx="56">
                  <c:v>27.324000000000002</c:v>
                </c:pt>
                <c:pt idx="57">
                  <c:v>27.805</c:v>
                </c:pt>
                <c:pt idx="58">
                  <c:v>28.411000000000001</c:v>
                </c:pt>
                <c:pt idx="59">
                  <c:v>29.216000000000001</c:v>
                </c:pt>
                <c:pt idx="60">
                  <c:v>30.279</c:v>
                </c:pt>
                <c:pt idx="61">
                  <c:v>31.646999999999998</c:v>
                </c:pt>
                <c:pt idx="62">
                  <c:v>33.293999999999997</c:v>
                </c:pt>
                <c:pt idx="63">
                  <c:v>35.231999999999999</c:v>
                </c:pt>
                <c:pt idx="64">
                  <c:v>37.47</c:v>
                </c:pt>
                <c:pt idx="65">
                  <c:v>40.000999999999998</c:v>
                </c:pt>
                <c:pt idx="66">
                  <c:v>42.914000000000001</c:v>
                </c:pt>
                <c:pt idx="67">
                  <c:v>46.073999999999998</c:v>
                </c:pt>
                <c:pt idx="68">
                  <c:v>49.386000000000003</c:v>
                </c:pt>
                <c:pt idx="69">
                  <c:v>52.726999999999997</c:v>
                </c:pt>
                <c:pt idx="70">
                  <c:v>55.991999999999997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C9DC-4B80-AD62-48021C2BB957}"/>
            </c:ext>
          </c:extLst>
        </c:ser>
        <c:ser>
          <c:idx val="100"/>
          <c:order val="100"/>
          <c:tx>
            <c:strRef>
              <c:f>Sheet1!$CX$1</c:f>
              <c:strCache>
                <c:ptCount val="1"/>
                <c:pt idx="0">
                  <c:v>100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Sheet1!$CX$2:$CX$72</c:f>
              <c:numCache>
                <c:formatCode>0.000</c:formatCode>
                <c:ptCount val="71"/>
                <c:pt idx="0">
                  <c:v>6.2670000000000003</c:v>
                </c:pt>
                <c:pt idx="1">
                  <c:v>6.3259999999999996</c:v>
                </c:pt>
                <c:pt idx="2">
                  <c:v>6.3949999999999996</c:v>
                </c:pt>
                <c:pt idx="3">
                  <c:v>6.45</c:v>
                </c:pt>
                <c:pt idx="4">
                  <c:v>6.4770000000000003</c:v>
                </c:pt>
                <c:pt idx="5">
                  <c:v>6.468</c:v>
                </c:pt>
                <c:pt idx="6">
                  <c:v>6.4279999999999999</c:v>
                </c:pt>
                <c:pt idx="7">
                  <c:v>6.351</c:v>
                </c:pt>
                <c:pt idx="8">
                  <c:v>6.2489999999999997</c:v>
                </c:pt>
                <c:pt idx="9">
                  <c:v>6.1349999999999998</c:v>
                </c:pt>
                <c:pt idx="10">
                  <c:v>6.0209999999999999</c:v>
                </c:pt>
                <c:pt idx="11">
                  <c:v>5.9160000000000004</c:v>
                </c:pt>
                <c:pt idx="12">
                  <c:v>5.8239999999999998</c:v>
                </c:pt>
                <c:pt idx="13">
                  <c:v>5.74</c:v>
                </c:pt>
                <c:pt idx="14">
                  <c:v>5.6550000000000002</c:v>
                </c:pt>
                <c:pt idx="15">
                  <c:v>5.569</c:v>
                </c:pt>
                <c:pt idx="16">
                  <c:v>5.4889999999999999</c:v>
                </c:pt>
                <c:pt idx="17">
                  <c:v>5.4189999999999996</c:v>
                </c:pt>
                <c:pt idx="18">
                  <c:v>5.4</c:v>
                </c:pt>
                <c:pt idx="19">
                  <c:v>5.4859999999999998</c:v>
                </c:pt>
                <c:pt idx="20">
                  <c:v>5.718</c:v>
                </c:pt>
                <c:pt idx="21">
                  <c:v>6.1210000000000004</c:v>
                </c:pt>
                <c:pt idx="22">
                  <c:v>6.6779999999999999</c:v>
                </c:pt>
                <c:pt idx="23">
                  <c:v>7.3540000000000001</c:v>
                </c:pt>
                <c:pt idx="24">
                  <c:v>8.0950000000000006</c:v>
                </c:pt>
                <c:pt idx="25">
                  <c:v>8.8659999999999997</c:v>
                </c:pt>
                <c:pt idx="26">
                  <c:v>9.6289999999999996</c:v>
                </c:pt>
                <c:pt idx="27">
                  <c:v>10.42</c:v>
                </c:pt>
                <c:pt idx="28">
                  <c:v>11.291</c:v>
                </c:pt>
                <c:pt idx="29">
                  <c:v>12.308</c:v>
                </c:pt>
                <c:pt idx="30">
                  <c:v>13.515000000000001</c:v>
                </c:pt>
                <c:pt idx="31">
                  <c:v>14.952999999999999</c:v>
                </c:pt>
                <c:pt idx="32">
                  <c:v>16.577999999999999</c:v>
                </c:pt>
                <c:pt idx="33">
                  <c:v>18.312000000000001</c:v>
                </c:pt>
                <c:pt idx="34">
                  <c:v>20.05</c:v>
                </c:pt>
                <c:pt idx="35">
                  <c:v>21.72</c:v>
                </c:pt>
                <c:pt idx="36">
                  <c:v>23.27</c:v>
                </c:pt>
                <c:pt idx="37">
                  <c:v>24.716999999999999</c:v>
                </c:pt>
                <c:pt idx="38">
                  <c:v>26.163</c:v>
                </c:pt>
                <c:pt idx="39">
                  <c:v>27.754000000000001</c:v>
                </c:pt>
                <c:pt idx="40">
                  <c:v>29.576000000000001</c:v>
                </c:pt>
                <c:pt idx="41">
                  <c:v>31.702000000000002</c:v>
                </c:pt>
                <c:pt idx="42">
                  <c:v>34.052</c:v>
                </c:pt>
                <c:pt idx="43">
                  <c:v>36.386000000000003</c:v>
                </c:pt>
                <c:pt idx="44">
                  <c:v>38.378999999999998</c:v>
                </c:pt>
                <c:pt idx="45">
                  <c:v>39.811999999999998</c:v>
                </c:pt>
                <c:pt idx="46">
                  <c:v>40.481000000000002</c:v>
                </c:pt>
                <c:pt idx="47">
                  <c:v>40.613999999999997</c:v>
                </c:pt>
                <c:pt idx="48">
                  <c:v>40.429000000000002</c:v>
                </c:pt>
                <c:pt idx="49">
                  <c:v>40.247999999999998</c:v>
                </c:pt>
                <c:pt idx="50">
                  <c:v>40.317</c:v>
                </c:pt>
                <c:pt idx="51">
                  <c:v>40.898000000000003</c:v>
                </c:pt>
                <c:pt idx="52">
                  <c:v>41.738</c:v>
                </c:pt>
                <c:pt idx="53">
                  <c:v>42.787999999999997</c:v>
                </c:pt>
                <c:pt idx="54">
                  <c:v>43.948999999999998</c:v>
                </c:pt>
                <c:pt idx="55">
                  <c:v>45.146000000000001</c:v>
                </c:pt>
                <c:pt idx="56">
                  <c:v>46.356999999999999</c:v>
                </c:pt>
                <c:pt idx="57">
                  <c:v>47.715000000000003</c:v>
                </c:pt>
                <c:pt idx="58">
                  <c:v>49.192999999999998</c:v>
                </c:pt>
                <c:pt idx="59">
                  <c:v>50.752000000000002</c:v>
                </c:pt>
                <c:pt idx="60">
                  <c:v>52.393999999999998</c:v>
                </c:pt>
                <c:pt idx="61">
                  <c:v>54.136000000000003</c:v>
                </c:pt>
                <c:pt idx="62">
                  <c:v>56.01</c:v>
                </c:pt>
                <c:pt idx="63">
                  <c:v>58.265999999999998</c:v>
                </c:pt>
                <c:pt idx="64">
                  <c:v>61.241</c:v>
                </c:pt>
                <c:pt idx="65">
                  <c:v>65.162999999999997</c:v>
                </c:pt>
                <c:pt idx="66">
                  <c:v>70.248999999999995</c:v>
                </c:pt>
                <c:pt idx="67">
                  <c:v>76.234999999999999</c:v>
                </c:pt>
                <c:pt idx="68">
                  <c:v>82.906000000000006</c:v>
                </c:pt>
                <c:pt idx="69">
                  <c:v>89.948999999999998</c:v>
                </c:pt>
                <c:pt idx="70">
                  <c:v>97.103999999999999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C9DC-4B80-AD62-48021C2BB957}"/>
            </c:ext>
          </c:extLst>
        </c:ser>
        <c:ser>
          <c:idx val="101"/>
          <c:order val="101"/>
          <c:tx>
            <c:strRef>
              <c:f>Sheet1!$CY$1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70000"/>
                  <a:lumOff val="3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Sheet1!$CY$2:$CY$72</c:f>
              <c:numCache>
                <c:formatCode>General</c:formatCode>
                <c:ptCount val="71"/>
                <c:pt idx="0">
                  <c:v>158804.39699999997</c:v>
                </c:pt>
                <c:pt idx="1">
                  <c:v>160872.26400000002</c:v>
                </c:pt>
                <c:pt idx="2">
                  <c:v>163266.02599999998</c:v>
                </c:pt>
                <c:pt idx="3">
                  <c:v>165909.99599999987</c:v>
                </c:pt>
                <c:pt idx="4">
                  <c:v>168736.39000000007</c:v>
                </c:pt>
                <c:pt idx="5">
                  <c:v>171685.33699999991</c:v>
                </c:pt>
                <c:pt idx="6">
                  <c:v>174705.00600000008</c:v>
                </c:pt>
                <c:pt idx="7">
                  <c:v>177751.47700000007</c:v>
                </c:pt>
                <c:pt idx="8">
                  <c:v>180788.38700000005</c:v>
                </c:pt>
                <c:pt idx="9">
                  <c:v>183786.24899999992</c:v>
                </c:pt>
                <c:pt idx="10">
                  <c:v>186720.56999999989</c:v>
                </c:pt>
                <c:pt idx="11">
                  <c:v>189569.84999999986</c:v>
                </c:pt>
                <c:pt idx="12">
                  <c:v>192313.74699999997</c:v>
                </c:pt>
                <c:pt idx="13">
                  <c:v>194932.39999999985</c:v>
                </c:pt>
                <c:pt idx="14">
                  <c:v>197408.49699999986</c:v>
                </c:pt>
                <c:pt idx="15">
                  <c:v>199733.67899999997</c:v>
                </c:pt>
                <c:pt idx="16">
                  <c:v>201895.76</c:v>
                </c:pt>
                <c:pt idx="17">
                  <c:v>203905.08100000003</c:v>
                </c:pt>
                <c:pt idx="18">
                  <c:v>205805.75600000002</c:v>
                </c:pt>
                <c:pt idx="19">
                  <c:v>207659.27400000012</c:v>
                </c:pt>
                <c:pt idx="20">
                  <c:v>209513.34000000017</c:v>
                </c:pt>
                <c:pt idx="21">
                  <c:v>211384.07899999994</c:v>
                </c:pt>
                <c:pt idx="22">
                  <c:v>213269.80499999996</c:v>
                </c:pt>
                <c:pt idx="23">
                  <c:v>215178.79699999999</c:v>
                </c:pt>
                <c:pt idx="24">
                  <c:v>217114.89800000002</c:v>
                </c:pt>
                <c:pt idx="25">
                  <c:v>219081.24999999991</c:v>
                </c:pt>
                <c:pt idx="26">
                  <c:v>221086.42700000003</c:v>
                </c:pt>
                <c:pt idx="27">
                  <c:v>223135.65900000001</c:v>
                </c:pt>
                <c:pt idx="28">
                  <c:v>225223.307</c:v>
                </c:pt>
                <c:pt idx="29">
                  <c:v>227339.32099999997</c:v>
                </c:pt>
                <c:pt idx="30">
                  <c:v>229476.36000000007</c:v>
                </c:pt>
                <c:pt idx="31">
                  <c:v>231636.065</c:v>
                </c:pt>
                <c:pt idx="32">
                  <c:v>233821.85100000005</c:v>
                </c:pt>
                <c:pt idx="33">
                  <c:v>236030.23599999998</c:v>
                </c:pt>
                <c:pt idx="34">
                  <c:v>238256.84900000007</c:v>
                </c:pt>
                <c:pt idx="35">
                  <c:v>240499.82200000004</c:v>
                </c:pt>
                <c:pt idx="36">
                  <c:v>242763.13699999996</c:v>
                </c:pt>
                <c:pt idx="37">
                  <c:v>245052.77999999991</c:v>
                </c:pt>
                <c:pt idx="38">
                  <c:v>247372.25800000015</c:v>
                </c:pt>
                <c:pt idx="39">
                  <c:v>249725.80899999995</c:v>
                </c:pt>
                <c:pt idx="40">
                  <c:v>252120.30899999995</c:v>
                </c:pt>
                <c:pt idx="41">
                  <c:v>254539.37099999998</c:v>
                </c:pt>
                <c:pt idx="42">
                  <c:v>256990.60799999995</c:v>
                </c:pt>
                <c:pt idx="43">
                  <c:v>259532.12999999995</c:v>
                </c:pt>
                <c:pt idx="44">
                  <c:v>262241.20400000009</c:v>
                </c:pt>
                <c:pt idx="45">
                  <c:v>265163.74099999998</c:v>
                </c:pt>
                <c:pt idx="46">
                  <c:v>268335.00799999997</c:v>
                </c:pt>
                <c:pt idx="47">
                  <c:v>271713.63400000002</c:v>
                </c:pt>
                <c:pt idx="48">
                  <c:v>275175.30900000007</c:v>
                </c:pt>
                <c:pt idx="49">
                  <c:v>278548.14799999999</c:v>
                </c:pt>
                <c:pt idx="50">
                  <c:v>281710.91399999987</c:v>
                </c:pt>
                <c:pt idx="51">
                  <c:v>284607.99199999985</c:v>
                </c:pt>
                <c:pt idx="52">
                  <c:v>287279.31200000009</c:v>
                </c:pt>
                <c:pt idx="53">
                  <c:v>289815.56699999992</c:v>
                </c:pt>
                <c:pt idx="54">
                  <c:v>292354.66300000006</c:v>
                </c:pt>
                <c:pt idx="55">
                  <c:v>294993.50899999996</c:v>
                </c:pt>
                <c:pt idx="56">
                  <c:v>297758.9769999999</c:v>
                </c:pt>
                <c:pt idx="57">
                  <c:v>300608.42499999993</c:v>
                </c:pt>
                <c:pt idx="58">
                  <c:v>303486.02200000011</c:v>
                </c:pt>
                <c:pt idx="59">
                  <c:v>306307.565</c:v>
                </c:pt>
                <c:pt idx="60">
                  <c:v>309011.46899999992</c:v>
                </c:pt>
                <c:pt idx="61">
                  <c:v>311584.05099999969</c:v>
                </c:pt>
                <c:pt idx="62">
                  <c:v>314043.88499999989</c:v>
                </c:pt>
                <c:pt idx="63">
                  <c:v>316400.53900000005</c:v>
                </c:pt>
                <c:pt idx="64">
                  <c:v>318673.42200000014</c:v>
                </c:pt>
                <c:pt idx="65">
                  <c:v>320878.31200000003</c:v>
                </c:pt>
                <c:pt idx="66">
                  <c:v>323015.99199999985</c:v>
                </c:pt>
                <c:pt idx="67">
                  <c:v>325084.75800000015</c:v>
                </c:pt>
                <c:pt idx="68">
                  <c:v>327096.26300000009</c:v>
                </c:pt>
                <c:pt idx="69">
                  <c:v>329064.91699999996</c:v>
                </c:pt>
                <c:pt idx="70">
                  <c:v>331002.647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C9DC-4B80-AD62-48021C2BB957}"/>
            </c:ext>
          </c:extLst>
        </c:ser>
        <c:ser>
          <c:idx val="102"/>
          <c:order val="102"/>
          <c:tx>
            <c:strRef>
              <c:f>Sheet1!$CZ$1</c:f>
              <c:strCache>
                <c:ptCount val="1"/>
                <c:pt idx="0">
                  <c:v>Boomers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Sheet1!$CZ$2:$CZ$72</c:f>
              <c:numCache>
                <c:formatCode>General</c:formatCode>
                <c:ptCount val="71"/>
                <c:pt idx="14" formatCode="0.000">
                  <c:v>3197.5610000000001</c:v>
                </c:pt>
                <c:pt idx="15" formatCode="0.000">
                  <c:v>6554.6</c:v>
                </c:pt>
                <c:pt idx="16">
                  <c:v>10000.634</c:v>
                </c:pt>
                <c:pt idx="17">
                  <c:v>13500.589</c:v>
                </c:pt>
                <c:pt idx="18">
                  <c:v>17046.968000000001</c:v>
                </c:pt>
                <c:pt idx="19">
                  <c:v>20658.531000000003</c:v>
                </c:pt>
                <c:pt idx="20">
                  <c:v>24352.738000000001</c:v>
                </c:pt>
                <c:pt idx="21">
                  <c:v>28413.817999999999</c:v>
                </c:pt>
                <c:pt idx="22">
                  <c:v>32558.645</c:v>
                </c:pt>
                <c:pt idx="23">
                  <c:v>36790.705999999998</c:v>
                </c:pt>
                <c:pt idx="24">
                  <c:v>41115.508000000002</c:v>
                </c:pt>
                <c:pt idx="25">
                  <c:v>45532.6</c:v>
                </c:pt>
                <c:pt idx="26">
                  <c:v>49903.595000000001</c:v>
                </c:pt>
                <c:pt idx="27">
                  <c:v>54345.824999999997</c:v>
                </c:pt>
                <c:pt idx="28">
                  <c:v>58835.907000000007</c:v>
                </c:pt>
                <c:pt idx="29">
                  <c:v>63353.188000000002</c:v>
                </c:pt>
                <c:pt idx="30">
                  <c:v>67883.978999999992</c:v>
                </c:pt>
                <c:pt idx="31">
                  <c:v>72343.502999999997</c:v>
                </c:pt>
                <c:pt idx="32">
                  <c:v>76722.997999999992</c:v>
                </c:pt>
                <c:pt idx="33">
                  <c:v>76889.316999999995</c:v>
                </c:pt>
                <c:pt idx="34">
                  <c:v>77039.600999999981</c:v>
                </c:pt>
                <c:pt idx="35">
                  <c:v>77174.488999999987</c:v>
                </c:pt>
                <c:pt idx="36">
                  <c:v>77250.7</c:v>
                </c:pt>
                <c:pt idx="37">
                  <c:v>77324.072</c:v>
                </c:pt>
                <c:pt idx="38">
                  <c:v>77392.123999999996</c:v>
                </c:pt>
                <c:pt idx="39">
                  <c:v>77453.396000000008</c:v>
                </c:pt>
                <c:pt idx="40">
                  <c:v>77510.308000000005</c:v>
                </c:pt>
                <c:pt idx="41">
                  <c:v>77527.983000000007</c:v>
                </c:pt>
                <c:pt idx="42">
                  <c:v>77550.063000000009</c:v>
                </c:pt>
                <c:pt idx="43">
                  <c:v>77596.904999999999</c:v>
                </c:pt>
                <c:pt idx="44">
                  <c:v>77696.613000000012</c:v>
                </c:pt>
                <c:pt idx="45">
                  <c:v>77860.801000000007</c:v>
                </c:pt>
                <c:pt idx="46">
                  <c:v>77912.438000000024</c:v>
                </c:pt>
                <c:pt idx="47">
                  <c:v>78053.760999999984</c:v>
                </c:pt>
                <c:pt idx="48">
                  <c:v>78221.020999999993</c:v>
                </c:pt>
                <c:pt idx="49">
                  <c:v>78331.492999999988</c:v>
                </c:pt>
                <c:pt idx="50">
                  <c:v>78340.315000000017</c:v>
                </c:pt>
                <c:pt idx="51">
                  <c:v>78342.705999999991</c:v>
                </c:pt>
                <c:pt idx="52">
                  <c:v>78205.432000000015</c:v>
                </c:pt>
                <c:pt idx="53">
                  <c:v>77993.216000000015</c:v>
                </c:pt>
                <c:pt idx="54">
                  <c:v>77789.36</c:v>
                </c:pt>
                <c:pt idx="55">
                  <c:v>77631.94200000001</c:v>
                </c:pt>
                <c:pt idx="56">
                  <c:v>77363.109000000011</c:v>
                </c:pt>
                <c:pt idx="57">
                  <c:v>77159.893999999986</c:v>
                </c:pt>
                <c:pt idx="58">
                  <c:v>76988.017999999996</c:v>
                </c:pt>
                <c:pt idx="59">
                  <c:v>76800.607000000004</c:v>
                </c:pt>
                <c:pt idx="60">
                  <c:v>76574.47600000001</c:v>
                </c:pt>
                <c:pt idx="61">
                  <c:v>76080.91700000003</c:v>
                </c:pt>
                <c:pt idx="62">
                  <c:v>75589.235000000001</c:v>
                </c:pt>
                <c:pt idx="63">
                  <c:v>75081.49500000001</c:v>
                </c:pt>
                <c:pt idx="64">
                  <c:v>74545.81</c:v>
                </c:pt>
                <c:pt idx="65">
                  <c:v>73978.652000000002</c:v>
                </c:pt>
                <c:pt idx="66">
                  <c:v>73278.765000000014</c:v>
                </c:pt>
                <c:pt idx="67">
                  <c:v>72524.923999999999</c:v>
                </c:pt>
                <c:pt idx="68">
                  <c:v>71736.161000000007</c:v>
                </c:pt>
                <c:pt idx="69" formatCode="0.000">
                  <c:v>70933.834000000003</c:v>
                </c:pt>
                <c:pt idx="70" formatCode="0.000">
                  <c:v>70124.585000000006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C9DC-4B80-AD62-48021C2BB957}"/>
            </c:ext>
          </c:extLst>
        </c:ser>
        <c:ser>
          <c:idx val="103"/>
          <c:order val="103"/>
          <c:tx>
            <c:strRef>
              <c:f>Sheet1!$DA$1</c:f>
              <c:strCache>
                <c:ptCount val="1"/>
                <c:pt idx="0">
                  <c:v>Boomers Share</c:v>
                </c:pt>
              </c:strCache>
            </c:strRef>
          </c:tx>
          <c:spPr>
            <a:noFill/>
            <a:ln w="25400" cap="flat" cmpd="sng" algn="ctr">
              <a:solidFill>
                <a:schemeClr val="accent3">
                  <a:lumMod val="7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Sheet1!$DA$2:$DA$72</c:f>
              <c:numCache>
                <c:formatCode>General</c:formatCode>
                <c:ptCount val="71"/>
                <c:pt idx="14">
                  <c:v>1.6197686769278238E-2</c:v>
                </c:pt>
                <c:pt idx="15">
                  <c:v>3.2816698880312523E-2</c:v>
                </c:pt>
                <c:pt idx="16">
                  <c:v>4.95336504342637E-2</c:v>
                </c:pt>
                <c:pt idx="17">
                  <c:v>6.6210164718749687E-2</c:v>
                </c:pt>
                <c:pt idx="18">
                  <c:v>8.2830375259280886E-2</c:v>
                </c:pt>
                <c:pt idx="19">
                  <c:v>9.9482823964799141E-2</c:v>
                </c:pt>
                <c:pt idx="20">
                  <c:v>0.11623478485904516</c:v>
                </c:pt>
                <c:pt idx="21">
                  <c:v>0.1344179662650942</c:v>
                </c:pt>
                <c:pt idx="22">
                  <c:v>0.15266411013973594</c:v>
                </c:pt>
                <c:pt idx="23">
                  <c:v>0.17097737561940177</c:v>
                </c:pt>
                <c:pt idx="24">
                  <c:v>0.18937211761488609</c:v>
                </c:pt>
                <c:pt idx="25">
                  <c:v>0.20783430804781339</c:v>
                </c:pt>
                <c:pt idx="26">
                  <c:v>0.22571984936913381</c:v>
                </c:pt>
                <c:pt idx="27">
                  <c:v>0.24355508771459963</c:v>
                </c:pt>
                <c:pt idx="28">
                  <c:v>0.26123365198611531</c:v>
                </c:pt>
                <c:pt idx="29">
                  <c:v>0.27867237273925005</c:v>
                </c:pt>
                <c:pt idx="30">
                  <c:v>0.29582122969006469</c:v>
                </c:pt>
                <c:pt idx="31">
                  <c:v>0.31231536850705865</c:v>
                </c:pt>
                <c:pt idx="32">
                  <c:v>0.32812586878375183</c:v>
                </c:pt>
                <c:pt idx="33">
                  <c:v>0.3257604546902203</c:v>
                </c:pt>
                <c:pt idx="34">
                  <c:v>0.32334684741843439</c:v>
                </c:pt>
                <c:pt idx="35">
                  <c:v>0.32089208365401606</c:v>
                </c:pt>
                <c:pt idx="36">
                  <c:v>0.31821429297150666</c:v>
                </c:pt>
                <c:pt idx="37">
                  <c:v>0.3155404807078705</c:v>
                </c:pt>
                <c:pt idx="38">
                  <c:v>0.31285692512860497</c:v>
                </c:pt>
                <c:pt idx="39">
                  <c:v>0.3101537494668804</c:v>
                </c:pt>
                <c:pt idx="40">
                  <c:v>0.30743381327523289</c:v>
                </c:pt>
                <c:pt idx="41">
                  <c:v>0.30458149831760217</c:v>
                </c:pt>
                <c:pt idx="42">
                  <c:v>0.30176224572378157</c:v>
                </c:pt>
                <c:pt idx="43">
                  <c:v>0.29898766291479983</c:v>
                </c:pt>
                <c:pt idx="44">
                  <c:v>0.29627919569801847</c:v>
                </c:pt>
                <c:pt idx="45">
                  <c:v>0.29363291039101763</c:v>
                </c:pt>
                <c:pt idx="46">
                  <c:v>0.29035509969686857</c:v>
                </c:pt>
                <c:pt idx="47">
                  <c:v>0.28726479363932095</c:v>
                </c:pt>
                <c:pt idx="48">
                  <c:v>0.28425886495506753</c:v>
                </c:pt>
                <c:pt idx="49">
                  <c:v>0.28121347624253451</c:v>
                </c:pt>
                <c:pt idx="50">
                  <c:v>0.27808761076257077</c:v>
                </c:pt>
                <c:pt idx="51">
                  <c:v>0.27526530597215287</c:v>
                </c:pt>
                <c:pt idx="52">
                  <c:v>0.27222785885814149</c:v>
                </c:pt>
                <c:pt idx="53">
                  <c:v>0.26911327368415666</c:v>
                </c:pt>
                <c:pt idx="54">
                  <c:v>0.26607873875437377</c:v>
                </c:pt>
                <c:pt idx="55">
                  <c:v>0.26316491594396413</c:v>
                </c:pt>
                <c:pt idx="56">
                  <c:v>0.2598178895543426</c:v>
                </c:pt>
                <c:pt idx="57">
                  <c:v>0.2566790801022959</c:v>
                </c:pt>
                <c:pt idx="58">
                  <c:v>0.25367895856501743</c:v>
                </c:pt>
                <c:pt idx="59">
                  <c:v>0.25073036312374458</c:v>
                </c:pt>
                <c:pt idx="60">
                  <c:v>0.24780464054555862</c:v>
                </c:pt>
                <c:pt idx="61">
                  <c:v>0.24417461919448535</c:v>
                </c:pt>
                <c:pt idx="62">
                  <c:v>0.24069640776479384</c:v>
                </c:pt>
                <c:pt idx="63">
                  <c:v>0.23729888462674206</c:v>
                </c:pt>
                <c:pt idx="64">
                  <c:v>0.23392540718378443</c:v>
                </c:pt>
                <c:pt idx="65">
                  <c:v>0.23055048980686482</c:v>
                </c:pt>
                <c:pt idx="66">
                  <c:v>0.2268580095563815</c:v>
                </c:pt>
                <c:pt idx="67">
                  <c:v>0.22309543039234084</c:v>
                </c:pt>
                <c:pt idx="68">
                  <c:v>0.21931207755803675</c:v>
                </c:pt>
                <c:pt idx="69">
                  <c:v>0.21556182484199618</c:v>
                </c:pt>
                <c:pt idx="70">
                  <c:v>0.21185505806544203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C9DC-4B80-AD62-48021C2BB957}"/>
            </c:ext>
          </c:extLst>
        </c:ser>
        <c:ser>
          <c:idx val="104"/>
          <c:order val="104"/>
          <c:tx>
            <c:strRef>
              <c:f>Sheet1!$DB$1</c:f>
              <c:strCache>
                <c:ptCount val="1"/>
                <c:pt idx="0">
                  <c:v>Gen X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Sheet1!$DB$2:$DB$72</c:f>
              <c:numCache>
                <c:formatCode>General</c:formatCode>
                <c:ptCount val="71"/>
                <c:pt idx="33">
                  <c:v>4105.0770000000002</c:v>
                </c:pt>
                <c:pt idx="34">
                  <c:v>8125.0889999999999</c:v>
                </c:pt>
                <c:pt idx="35">
                  <c:v>12062.332999999999</c:v>
                </c:pt>
                <c:pt idx="36">
                  <c:v>15906.403</c:v>
                </c:pt>
                <c:pt idx="37">
                  <c:v>19698.224000000002</c:v>
                </c:pt>
                <c:pt idx="38">
                  <c:v>23456.516</c:v>
                </c:pt>
                <c:pt idx="39">
                  <c:v>27187.845000000001</c:v>
                </c:pt>
                <c:pt idx="40">
                  <c:v>30902.694999999996</c:v>
                </c:pt>
                <c:pt idx="41">
                  <c:v>34567.990999999995</c:v>
                </c:pt>
                <c:pt idx="42">
                  <c:v>38219.981</c:v>
                </c:pt>
                <c:pt idx="43">
                  <c:v>41897.86</c:v>
                </c:pt>
                <c:pt idx="44">
                  <c:v>45645.227999999996</c:v>
                </c:pt>
                <c:pt idx="45">
                  <c:v>49501.209999999992</c:v>
                </c:pt>
                <c:pt idx="46">
                  <c:v>53619.033000000003</c:v>
                </c:pt>
                <c:pt idx="47">
                  <c:v>57878.009000000005</c:v>
                </c:pt>
                <c:pt idx="48">
                  <c:v>62255.784000000007</c:v>
                </c:pt>
                <c:pt idx="49">
                  <c:v>62831.926999999996</c:v>
                </c:pt>
                <c:pt idx="50">
                  <c:v>63326.082999999984</c:v>
                </c:pt>
                <c:pt idx="51">
                  <c:v>63653.409999999996</c:v>
                </c:pt>
                <c:pt idx="52">
                  <c:v>63867.795999999995</c:v>
                </c:pt>
                <c:pt idx="53">
                  <c:v>64020.668999999994</c:v>
                </c:pt>
                <c:pt idx="54">
                  <c:v>64179.847000000009</c:v>
                </c:pt>
                <c:pt idx="55">
                  <c:v>64377.021000000001</c:v>
                </c:pt>
                <c:pt idx="56">
                  <c:v>64488.554000000004</c:v>
                </c:pt>
                <c:pt idx="57">
                  <c:v>64654.573999999993</c:v>
                </c:pt>
                <c:pt idx="58">
                  <c:v>64847.084999999999</c:v>
                </c:pt>
                <c:pt idx="59">
                  <c:v>65026.865999999995</c:v>
                </c:pt>
                <c:pt idx="60">
                  <c:v>65174.026999999987</c:v>
                </c:pt>
                <c:pt idx="61">
                  <c:v>65268.632000000005</c:v>
                </c:pt>
                <c:pt idx="62">
                  <c:v>65365.332000000002</c:v>
                </c:pt>
                <c:pt idx="63">
                  <c:v>65448.484000000004</c:v>
                </c:pt>
                <c:pt idx="64">
                  <c:v>65507.26200000001</c:v>
                </c:pt>
                <c:pt idx="65">
                  <c:v>65537.89</c:v>
                </c:pt>
                <c:pt idx="66">
                  <c:v>65531.239999999991</c:v>
                </c:pt>
                <c:pt idx="67">
                  <c:v>65476.990999999995</c:v>
                </c:pt>
                <c:pt idx="68">
                  <c:v>65391.159</c:v>
                </c:pt>
                <c:pt idx="69">
                  <c:v>65292.518000000011</c:v>
                </c:pt>
                <c:pt idx="70">
                  <c:v>65186.921999999999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C9DC-4B80-AD62-48021C2BB957}"/>
            </c:ext>
          </c:extLst>
        </c:ser>
        <c:ser>
          <c:idx val="105"/>
          <c:order val="105"/>
          <c:tx>
            <c:strRef>
              <c:f>Sheet1!$DC$1</c:f>
              <c:strCache>
                <c:ptCount val="1"/>
                <c:pt idx="0">
                  <c:v>Gen Share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Sheet1!$DC$2:$DC$72</c:f>
              <c:numCache>
                <c:formatCode>General</c:formatCode>
                <c:ptCount val="71"/>
                <c:pt idx="33">
                  <c:v>1.7392165807096006E-2</c:v>
                </c:pt>
                <c:pt idx="34">
                  <c:v>3.4102226375032761E-2</c:v>
                </c:pt>
                <c:pt idx="35">
                  <c:v>5.0155267890385366E-2</c:v>
                </c:pt>
                <c:pt idx="36">
                  <c:v>6.5522316100240549E-2</c:v>
                </c:pt>
                <c:pt idx="37">
                  <c:v>8.0383597362168296E-2</c:v>
                </c:pt>
                <c:pt idx="38">
                  <c:v>9.4822742815404898E-2</c:v>
                </c:pt>
                <c:pt idx="39">
                  <c:v>0.10887078555825204</c:v>
                </c:pt>
                <c:pt idx="40">
                  <c:v>0.12257122451805341</c:v>
                </c:pt>
                <c:pt idx="41">
                  <c:v>0.1358060675022254</c:v>
                </c:pt>
                <c:pt idx="42">
                  <c:v>0.14872131436025088</c:v>
                </c:pt>
                <c:pt idx="43">
                  <c:v>0.16143611968198315</c:v>
                </c:pt>
                <c:pt idx="44">
                  <c:v>0.17405818499826586</c:v>
                </c:pt>
                <c:pt idx="45">
                  <c:v>0.18668167002516378</c:v>
                </c:pt>
                <c:pt idx="46">
                  <c:v>0.19982123614672004</c:v>
                </c:pt>
                <c:pt idx="47">
                  <c:v>0.21301105928309802</c:v>
                </c:pt>
                <c:pt idx="48">
                  <c:v>0.22624044368748211</c:v>
                </c:pt>
                <c:pt idx="49">
                  <c:v>0.22556935829995178</c:v>
                </c:pt>
                <c:pt idx="50">
                  <c:v>0.22479101750385153</c:v>
                </c:pt>
                <c:pt idx="51">
                  <c:v>0.22365292538938972</c:v>
                </c:pt>
                <c:pt idx="52">
                  <c:v>0.22231951042823431</c:v>
                </c:pt>
                <c:pt idx="53">
                  <c:v>0.22090141555439641</c:v>
                </c:pt>
                <c:pt idx="54">
                  <c:v>0.21952735879571039</c:v>
                </c:pt>
                <c:pt idx="55">
                  <c:v>0.21823199167409479</c:v>
                </c:pt>
                <c:pt idx="56">
                  <c:v>0.21657971373269469</c:v>
                </c:pt>
                <c:pt idx="57">
                  <c:v>0.21507904843319015</c:v>
                </c:pt>
                <c:pt idx="58">
                  <c:v>0.21367404196296058</c:v>
                </c:pt>
                <c:pt idx="59">
                  <c:v>0.2122927195741966</c:v>
                </c:pt>
                <c:pt idx="60">
                  <c:v>0.21091135293751834</c:v>
                </c:pt>
                <c:pt idx="61">
                  <c:v>0.20947359722208653</c:v>
                </c:pt>
                <c:pt idx="62">
                  <c:v>0.20814075714290703</c:v>
                </c:pt>
                <c:pt idx="63">
                  <c:v>0.20685326329358747</c:v>
                </c:pt>
                <c:pt idx="64">
                  <c:v>0.20556236409323142</c:v>
                </c:pt>
                <c:pt idx="65">
                  <c:v>0.20424530904413382</c:v>
                </c:pt>
                <c:pt idx="66">
                  <c:v>0.20287305156086519</c:v>
                </c:pt>
                <c:pt idx="67">
                  <c:v>0.20141513678718817</c:v>
                </c:pt>
                <c:pt idx="68">
                  <c:v>0.19991411213401719</c:v>
                </c:pt>
                <c:pt idx="69">
                  <c:v>0.19841835038282132</c:v>
                </c:pt>
                <c:pt idx="70">
                  <c:v>0.19693776648257438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C9DC-4B80-AD62-48021C2BB957}"/>
            </c:ext>
          </c:extLst>
        </c:ser>
        <c:ser>
          <c:idx val="106"/>
          <c:order val="106"/>
          <c:tx>
            <c:strRef>
              <c:f>Sheet1!$DD$1</c:f>
              <c:strCache>
                <c:ptCount val="1"/>
                <c:pt idx="0">
                  <c:v>Millenials</c:v>
                </c:pt>
              </c:strCache>
            </c:strRef>
          </c:tx>
          <c:spPr>
            <a:noFill/>
            <a:ln w="25400" cap="flat" cmpd="sng" algn="ctr">
              <a:solidFill>
                <a:srgbClr val="FF0000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Sheet1!$DD$2:$DD$72</c:f>
              <c:numCache>
                <c:formatCode>General</c:formatCode>
                <c:ptCount val="71"/>
                <c:pt idx="49">
                  <c:v>3868.5650000000001</c:v>
                </c:pt>
                <c:pt idx="50">
                  <c:v>7849.1469999999999</c:v>
                </c:pt>
                <c:pt idx="51">
                  <c:v>11938.029999999999</c:v>
                </c:pt>
                <c:pt idx="52">
                  <c:v>16111.030999999999</c:v>
                </c:pt>
                <c:pt idx="53">
                  <c:v>20361.811999999998</c:v>
                </c:pt>
                <c:pt idx="54">
                  <c:v>24707.279999999999</c:v>
                </c:pt>
                <c:pt idx="55">
                  <c:v>29162.659</c:v>
                </c:pt>
                <c:pt idx="56">
                  <c:v>33504.555</c:v>
                </c:pt>
                <c:pt idx="57">
                  <c:v>37910.578999999998</c:v>
                </c:pt>
                <c:pt idx="58">
                  <c:v>42377.023000000001</c:v>
                </c:pt>
                <c:pt idx="59">
                  <c:v>46889.451999999997</c:v>
                </c:pt>
                <c:pt idx="60">
                  <c:v>51442.998999999996</c:v>
                </c:pt>
                <c:pt idx="61">
                  <c:v>56328.821000000004</c:v>
                </c:pt>
                <c:pt idx="62">
                  <c:v>61243.364000000001</c:v>
                </c:pt>
                <c:pt idx="63">
                  <c:v>66131.794999999998</c:v>
                </c:pt>
                <c:pt idx="64">
                  <c:v>70971.641000000003</c:v>
                </c:pt>
                <c:pt idx="65">
                  <c:v>71408.402999999991</c:v>
                </c:pt>
                <c:pt idx="66">
                  <c:v>71816.710000000006</c:v>
                </c:pt>
                <c:pt idx="67">
                  <c:v>72173.292999999991</c:v>
                </c:pt>
                <c:pt idx="68">
                  <c:v>72495.028000000006</c:v>
                </c:pt>
                <c:pt idx="69">
                  <c:v>72802.281000000003</c:v>
                </c:pt>
                <c:pt idx="70">
                  <c:v>73101.392999999982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C9DC-4B80-AD62-48021C2BB957}"/>
            </c:ext>
          </c:extLst>
        </c:ser>
        <c:ser>
          <c:idx val="107"/>
          <c:order val="107"/>
          <c:tx>
            <c:strRef>
              <c:f>Sheet1!$DE$1</c:f>
              <c:strCache>
                <c:ptCount val="1"/>
                <c:pt idx="0">
                  <c:v>Millenials Share</c:v>
                </c:pt>
              </c:strCache>
            </c:strRef>
          </c:tx>
          <c:spPr>
            <a:noFill/>
            <a:ln w="25400" cap="flat" cmpd="sng" algn="ctr">
              <a:solidFill>
                <a:schemeClr val="accent5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Sheet1!$DE$2:$DE$72</c:f>
              <c:numCache>
                <c:formatCode>General</c:formatCode>
                <c:ptCount val="71"/>
                <c:pt idx="49">
                  <c:v>1.388831707471988E-2</c:v>
                </c:pt>
                <c:pt idx="50">
                  <c:v>2.7862417144406425E-2</c:v>
                </c:pt>
                <c:pt idx="51">
                  <c:v>4.1945519224913422E-2</c:v>
                </c:pt>
                <c:pt idx="52">
                  <c:v>5.6081417376828008E-2</c:v>
                </c:pt>
                <c:pt idx="53">
                  <c:v>7.0257827109749441E-2</c:v>
                </c:pt>
                <c:pt idx="54">
                  <c:v>8.4511325205030144E-2</c:v>
                </c:pt>
                <c:pt idx="55">
                  <c:v>9.8858646411775802E-2</c:v>
                </c:pt>
                <c:pt idx="56">
                  <c:v>0.11252240096190286</c:v>
                </c:pt>
                <c:pt idx="57">
                  <c:v>0.12611282933936402</c:v>
                </c:pt>
                <c:pt idx="58">
                  <c:v>0.1396341838768442</c:v>
                </c:pt>
                <c:pt idx="59">
                  <c:v>0.15307964071994107</c:v>
                </c:pt>
                <c:pt idx="60">
                  <c:v>0.16647601840305806</c:v>
                </c:pt>
                <c:pt idx="61">
                  <c:v>0.18078210620607169</c:v>
                </c:pt>
                <c:pt idx="62">
                  <c:v>0.19501530494695041</c:v>
                </c:pt>
                <c:pt idx="63">
                  <c:v>0.20901290247169899</c:v>
                </c:pt>
                <c:pt idx="64">
                  <c:v>0.22270963343783334</c:v>
                </c:pt>
                <c:pt idx="65">
                  <c:v>0.22254044704648029</c:v>
                </c:pt>
                <c:pt idx="66">
                  <c:v>0.22233174758728366</c:v>
                </c:pt>
                <c:pt idx="67">
                  <c:v>0.22201377094400704</c:v>
                </c:pt>
                <c:pt idx="68">
                  <c:v>0.22163208877748622</c:v>
                </c:pt>
                <c:pt idx="69">
                  <c:v>0.2212398746840582</c:v>
                </c:pt>
                <c:pt idx="70">
                  <c:v>0.22084836378967079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C9DC-4B80-AD62-48021C2BB957}"/>
            </c:ext>
          </c:extLst>
        </c:ser>
        <c:ser>
          <c:idx val="108"/>
          <c:order val="108"/>
          <c:tx>
            <c:strRef>
              <c:f>Sheet1!$DF$1</c:f>
              <c:strCache>
                <c:ptCount val="1"/>
                <c:pt idx="0">
                  <c:v>Silent</c:v>
                </c:pt>
              </c:strCache>
            </c:strRef>
          </c:tx>
          <c:spPr>
            <a:noFill/>
            <a:ln w="25400" cap="flat" cmpd="sng" algn="ctr">
              <a:solidFill>
                <a:srgbClr val="00B050"/>
              </a:solidFill>
              <a:miter lim="800000"/>
            </a:ln>
            <a:effectLst/>
          </c:spPr>
          <c:invertIfNegative val="0"/>
          <c:cat>
            <c:numRef>
              <c:f>Sheet1!$A$2:$A$72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Sheet1!$DF$2:$DF$72</c:f>
              <c:numCache>
                <c:formatCode>General</c:formatCode>
                <c:ptCount val="71"/>
                <c:pt idx="0">
                  <c:v>14284.49</c:v>
                </c:pt>
                <c:pt idx="1">
                  <c:v>16437.032999999999</c:v>
                </c:pt>
                <c:pt idx="2">
                  <c:v>18586.433000000001</c:v>
                </c:pt>
                <c:pt idx="3">
                  <c:v>20736.063000000002</c:v>
                </c:pt>
                <c:pt idx="4">
                  <c:v>22883.671000000002</c:v>
                </c:pt>
                <c:pt idx="5">
                  <c:v>25036.945</c:v>
                </c:pt>
                <c:pt idx="6">
                  <c:v>27461.629000000001</c:v>
                </c:pt>
                <c:pt idx="7">
                  <c:v>29944.05</c:v>
                </c:pt>
                <c:pt idx="8">
                  <c:v>32505.733000000004</c:v>
                </c:pt>
                <c:pt idx="9">
                  <c:v>35154.364999999991</c:v>
                </c:pt>
                <c:pt idx="10">
                  <c:v>37886.887999999999</c:v>
                </c:pt>
                <c:pt idx="11">
                  <c:v>40714.913</c:v>
                </c:pt>
                <c:pt idx="12">
                  <c:v>43716.843999999997</c:v>
                </c:pt>
                <c:pt idx="13">
                  <c:v>46891.63900000001</c:v>
                </c:pt>
                <c:pt idx="14">
                  <c:v>47011.237000000008</c:v>
                </c:pt>
                <c:pt idx="15">
                  <c:v>47097.591999999997</c:v>
                </c:pt>
                <c:pt idx="16">
                  <c:v>47198.165000000001</c:v>
                </c:pt>
                <c:pt idx="17">
                  <c:v>47268.077999999994</c:v>
                </c:pt>
                <c:pt idx="18">
                  <c:v>47315.156999999992</c:v>
                </c:pt>
                <c:pt idx="19">
                  <c:v>47354.144</c:v>
                </c:pt>
                <c:pt idx="20">
                  <c:v>47397.101999999999</c:v>
                </c:pt>
                <c:pt idx="21">
                  <c:v>47426.527000000002</c:v>
                </c:pt>
                <c:pt idx="22">
                  <c:v>47432.947999999989</c:v>
                </c:pt>
                <c:pt idx="23">
                  <c:v>47437.68</c:v>
                </c:pt>
                <c:pt idx="24">
                  <c:v>47459.900999999998</c:v>
                </c:pt>
                <c:pt idx="25">
                  <c:v>47503.87</c:v>
                </c:pt>
                <c:pt idx="26">
                  <c:v>47227.24</c:v>
                </c:pt>
                <c:pt idx="27">
                  <c:v>46982.964000000007</c:v>
                </c:pt>
                <c:pt idx="28">
                  <c:v>46756.843999999997</c:v>
                </c:pt>
                <c:pt idx="29">
                  <c:v>46527.293000000005</c:v>
                </c:pt>
                <c:pt idx="30">
                  <c:v>46282.111999999994</c:v>
                </c:pt>
                <c:pt idx="31">
                  <c:v>46193.548999999999</c:v>
                </c:pt>
                <c:pt idx="32">
                  <c:v>46098.610000000008</c:v>
                </c:pt>
                <c:pt idx="33">
                  <c:v>45992.777999999998</c:v>
                </c:pt>
                <c:pt idx="34">
                  <c:v>45877.478999999992</c:v>
                </c:pt>
                <c:pt idx="35">
                  <c:v>45753.439000000006</c:v>
                </c:pt>
                <c:pt idx="36">
                  <c:v>45501.515999999989</c:v>
                </c:pt>
                <c:pt idx="37">
                  <c:v>45248.239000000009</c:v>
                </c:pt>
                <c:pt idx="38">
                  <c:v>44991.969000000005</c:v>
                </c:pt>
                <c:pt idx="39">
                  <c:v>44731.610000000008</c:v>
                </c:pt>
                <c:pt idx="40">
                  <c:v>44468.356000000007</c:v>
                </c:pt>
                <c:pt idx="41">
                  <c:v>44106.716999999997</c:v>
                </c:pt>
                <c:pt idx="42">
                  <c:v>43747.714000000007</c:v>
                </c:pt>
                <c:pt idx="43">
                  <c:v>43402.708000000006</c:v>
                </c:pt>
                <c:pt idx="44">
                  <c:v>43087.098000000005</c:v>
                </c:pt>
                <c:pt idx="45">
                  <c:v>42806.635000000002</c:v>
                </c:pt>
                <c:pt idx="46">
                  <c:v>42377.976999999999</c:v>
                </c:pt>
                <c:pt idx="47">
                  <c:v>41998.118000000009</c:v>
                </c:pt>
                <c:pt idx="48">
                  <c:v>41631.574000000001</c:v>
                </c:pt>
                <c:pt idx="49">
                  <c:v>41234.331999999995</c:v>
                </c:pt>
                <c:pt idx="50">
                  <c:v>40784.000999999997</c:v>
                </c:pt>
                <c:pt idx="51">
                  <c:v>40261.653000000006</c:v>
                </c:pt>
                <c:pt idx="52">
                  <c:v>39666.671000000002</c:v>
                </c:pt>
                <c:pt idx="53">
                  <c:v>39034.19</c:v>
                </c:pt>
                <c:pt idx="54">
                  <c:v>38406.796999999991</c:v>
                </c:pt>
                <c:pt idx="55">
                  <c:v>37802.852000000006</c:v>
                </c:pt>
                <c:pt idx="56">
                  <c:v>36957.638000000006</c:v>
                </c:pt>
                <c:pt idx="57">
                  <c:v>36144.235000000001</c:v>
                </c:pt>
                <c:pt idx="58">
                  <c:v>35344.995999999999</c:v>
                </c:pt>
                <c:pt idx="59">
                  <c:v>34537.873</c:v>
                </c:pt>
                <c:pt idx="60">
                  <c:v>33713.003000000004</c:v>
                </c:pt>
                <c:pt idx="61">
                  <c:v>32653.594000000005</c:v>
                </c:pt>
                <c:pt idx="62">
                  <c:v>31594.163999999997</c:v>
                </c:pt>
                <c:pt idx="63">
                  <c:v>30527.439000000009</c:v>
                </c:pt>
                <c:pt idx="64">
                  <c:v>29449.400999999998</c:v>
                </c:pt>
                <c:pt idx="65">
                  <c:v>28359.738000000005</c:v>
                </c:pt>
                <c:pt idx="66">
                  <c:v>27094.45</c:v>
                </c:pt>
                <c:pt idx="67">
                  <c:v>25808.139000000003</c:v>
                </c:pt>
                <c:pt idx="68">
                  <c:v>24509.483</c:v>
                </c:pt>
                <c:pt idx="69">
                  <c:v>23206.881000000001</c:v>
                </c:pt>
                <c:pt idx="70">
                  <c:v>21902.989000000005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C9DC-4B80-AD62-48021C2BB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74592879"/>
        <c:axId val="74594959"/>
      </c:barChart>
      <c:catAx>
        <c:axId val="7459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4959"/>
        <c:crosses val="autoZero"/>
        <c:auto val="1"/>
        <c:lblAlgn val="ctr"/>
        <c:lblOffset val="100"/>
        <c:noMultiLvlLbl val="0"/>
      </c:catAx>
      <c:valAx>
        <c:axId val="74594959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Generation Share of Adult Population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Silent Gen</c:v>
                </c:pt>
              </c:strCache>
            </c:strRef>
          </c:tx>
          <c:spPr>
            <a:noFill/>
            <a:ln w="25400" cap="flat" cmpd="sng" algn="ctr">
              <a:solidFill>
                <a:srgbClr val="FF0000"/>
              </a:solidFill>
              <a:miter lim="800000"/>
            </a:ln>
            <a:effectLst/>
          </c:spPr>
          <c:invertIfNegative val="0"/>
          <c:cat>
            <c:numRef>
              <c:f>Sheet2!$A$2:$A$72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Sheet2!$B$2:$B$72</c:f>
              <c:numCache>
                <c:formatCode>General</c:formatCode>
                <c:ptCount val="71"/>
                <c:pt idx="0">
                  <c:v>8.9950217184477599E-2</c:v>
                </c:pt>
                <c:pt idx="1">
                  <c:v>0.10217443698063451</c:v>
                </c:pt>
                <c:pt idx="2">
                  <c:v>0.11384140016980632</c:v>
                </c:pt>
                <c:pt idx="3">
                  <c:v>0.12498380748559609</c:v>
                </c:pt>
                <c:pt idx="4">
                  <c:v>0.13561787709219092</c:v>
                </c:pt>
                <c:pt idx="5">
                  <c:v>0.1458304211500602</c:v>
                </c:pt>
                <c:pt idx="6">
                  <c:v>0.15718856390411612</c:v>
                </c:pt>
                <c:pt idx="7">
                  <c:v>0.16846020356837871</c:v>
                </c:pt>
                <c:pt idx="8">
                  <c:v>0.17979989500099913</c:v>
                </c:pt>
                <c:pt idx="9">
                  <c:v>0.19127853792804708</c:v>
                </c:pt>
                <c:pt idx="10">
                  <c:v>0.2029068784440837</c:v>
                </c:pt>
                <c:pt idx="11">
                  <c:v>0.21477525566433708</c:v>
                </c:pt>
                <c:pt idx="12">
                  <c:v>0.22732043175259856</c:v>
                </c:pt>
                <c:pt idx="13">
                  <c:v>0.24055333541268689</c:v>
                </c:pt>
                <c:pt idx="14">
                  <c:v>0.23814191240207883</c:v>
                </c:pt>
                <c:pt idx="15">
                  <c:v>0.23580195506237084</c:v>
                </c:pt>
                <c:pt idx="16">
                  <c:v>0.23377491929498667</c:v>
                </c:pt>
                <c:pt idx="17">
                  <c:v>0.2318141253184367</c:v>
                </c:pt>
                <c:pt idx="18">
                  <c:v>0.22990201012648057</c:v>
                </c:pt>
                <c:pt idx="19">
                  <c:v>0.22803770372422652</c:v>
                </c:pt>
                <c:pt idx="20">
                  <c:v>0.22622474540284623</c:v>
                </c:pt>
                <c:pt idx="21">
                  <c:v>0.22436186880469847</c:v>
                </c:pt>
                <c:pt idx="22">
                  <c:v>0.22240817447176828</c:v>
                </c:pt>
                <c:pt idx="23">
                  <c:v>0.22045703694495514</c:v>
                </c:pt>
                <c:pt idx="24">
                  <c:v>0.21859347947647514</c:v>
                </c:pt>
                <c:pt idx="25">
                  <c:v>0.21683220266453665</c:v>
                </c:pt>
                <c:pt idx="26">
                  <c:v>0.21361437986421478</c:v>
                </c:pt>
                <c:pt idx="27">
                  <c:v>0.21055784723319371</c:v>
                </c:pt>
                <c:pt idx="28">
                  <c:v>0.20760215549095012</c:v>
                </c:pt>
                <c:pt idx="29">
                  <c:v>0.20466012124668928</c:v>
                </c:pt>
                <c:pt idx="30">
                  <c:v>0.20168575098541733</c:v>
                </c:pt>
                <c:pt idx="31">
                  <c:v>0.19942295686986394</c:v>
                </c:pt>
                <c:pt idx="32">
                  <c:v>0.19715270323473744</c:v>
                </c:pt>
                <c:pt idx="33">
                  <c:v>0.19485968738344187</c:v>
                </c:pt>
                <c:pt idx="34">
                  <c:v>0.19255471224669801</c:v>
                </c:pt>
                <c:pt idx="35">
                  <c:v>0.19024313040863705</c:v>
                </c:pt>
                <c:pt idx="36">
                  <c:v>0.18743173515672604</c:v>
                </c:pt>
                <c:pt idx="37">
                  <c:v>0.18464691157553906</c:v>
                </c:pt>
                <c:pt idx="38">
                  <c:v>0.18187960672615108</c:v>
                </c:pt>
                <c:pt idx="39">
                  <c:v>0.17912289554340785</c:v>
                </c:pt>
                <c:pt idx="40">
                  <c:v>0.17637752458886607</c:v>
                </c:pt>
                <c:pt idx="41">
                  <c:v>0.17328052955705622</c:v>
                </c:pt>
                <c:pt idx="42">
                  <c:v>0.17023078913451972</c:v>
                </c:pt>
                <c:pt idx="43">
                  <c:v>0.16723443066567525</c:v>
                </c:pt>
                <c:pt idx="44">
                  <c:v>0.16430331062696002</c:v>
                </c:pt>
                <c:pt idx="45">
                  <c:v>0.16143472270592232</c:v>
                </c:pt>
                <c:pt idx="46">
                  <c:v>0.15792936343214675</c:v>
                </c:pt>
                <c:pt idx="47">
                  <c:v>0.15456757683348346</c:v>
                </c:pt>
                <c:pt idx="48">
                  <c:v>0.15129109567021506</c:v>
                </c:pt>
                <c:pt idx="49">
                  <c:v>0.14803305028615735</c:v>
                </c:pt>
                <c:pt idx="50">
                  <c:v>0.14477252734340287</c:v>
                </c:pt>
                <c:pt idx="51">
                  <c:v>0.14146353627342984</c:v>
                </c:pt>
                <c:pt idx="52">
                  <c:v>0.13807701892574845</c:v>
                </c:pt>
                <c:pt idx="53">
                  <c:v>0.13468631241606152</c:v>
                </c:pt>
                <c:pt idx="54">
                  <c:v>0.13137056411513431</c:v>
                </c:pt>
                <c:pt idx="55">
                  <c:v>0.12814808070912506</c:v>
                </c:pt>
                <c:pt idx="56">
                  <c:v>0.12411930740882421</c:v>
                </c:pt>
                <c:pt idx="57">
                  <c:v>0.12023693281384248</c:v>
                </c:pt>
                <c:pt idx="58">
                  <c:v>0.11646334077290711</c:v>
                </c:pt>
                <c:pt idx="59">
                  <c:v>0.11275553380472336</c:v>
                </c:pt>
                <c:pt idx="60">
                  <c:v>0.10909952018641746</c:v>
                </c:pt>
                <c:pt idx="61">
                  <c:v>0.10479866955706291</c:v>
                </c:pt>
                <c:pt idx="62">
                  <c:v>0.10060429611613042</c:v>
                </c:pt>
                <c:pt idx="63">
                  <c:v>9.6483524005627583E-2</c:v>
                </c:pt>
                <c:pt idx="64">
                  <c:v>9.2412479255957483E-2</c:v>
                </c:pt>
                <c:pt idx="65">
                  <c:v>8.8381598068242154E-2</c:v>
                </c:pt>
                <c:pt idx="66">
                  <c:v>8.3879593181256526E-2</c:v>
                </c:pt>
                <c:pt idx="67">
                  <c:v>7.938895431080159E-2</c:v>
                </c:pt>
                <c:pt idx="68">
                  <c:v>7.4930489193635305E-2</c:v>
                </c:pt>
                <c:pt idx="69">
                  <c:v>7.0523716753433191E-2</c:v>
                </c:pt>
                <c:pt idx="70">
                  <c:v>6.6171643032208155E-2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0-4A06-80F7-C6852385DF0C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Baby Boomers</c:v>
                </c:pt>
              </c:strCache>
            </c:strRef>
          </c:tx>
          <c:spPr>
            <a:noFill/>
            <a:ln w="25400" cap="flat" cmpd="sng" algn="ctr">
              <a:solidFill>
                <a:srgbClr val="0070C0"/>
              </a:solidFill>
              <a:miter lim="800000"/>
            </a:ln>
            <a:effectLst/>
          </c:spPr>
          <c:invertIfNegative val="0"/>
          <c:cat>
            <c:numRef>
              <c:f>Sheet2!$A$2:$A$72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Sheet2!$C$2:$C$72</c:f>
              <c:numCache>
                <c:formatCode>General</c:formatCode>
                <c:ptCount val="71"/>
                <c:pt idx="14">
                  <c:v>1.6197686769278238E-2</c:v>
                </c:pt>
                <c:pt idx="15">
                  <c:v>3.2816698880312523E-2</c:v>
                </c:pt>
                <c:pt idx="16">
                  <c:v>4.95336504342637E-2</c:v>
                </c:pt>
                <c:pt idx="17">
                  <c:v>6.6210164718749687E-2</c:v>
                </c:pt>
                <c:pt idx="18">
                  <c:v>8.2830375259280886E-2</c:v>
                </c:pt>
                <c:pt idx="19">
                  <c:v>9.9482823964799141E-2</c:v>
                </c:pt>
                <c:pt idx="20">
                  <c:v>0.11623478485904516</c:v>
                </c:pt>
                <c:pt idx="21">
                  <c:v>0.1344179662650942</c:v>
                </c:pt>
                <c:pt idx="22">
                  <c:v>0.15266411013973594</c:v>
                </c:pt>
                <c:pt idx="23">
                  <c:v>0.17097737561940177</c:v>
                </c:pt>
                <c:pt idx="24">
                  <c:v>0.18937211761488609</c:v>
                </c:pt>
                <c:pt idx="25">
                  <c:v>0.20783430804781339</c:v>
                </c:pt>
                <c:pt idx="26">
                  <c:v>0.22571984936913381</c:v>
                </c:pt>
                <c:pt idx="27">
                  <c:v>0.24355508771459963</c:v>
                </c:pt>
                <c:pt idx="28">
                  <c:v>0.26123365198611531</c:v>
                </c:pt>
                <c:pt idx="29">
                  <c:v>0.27867237273925005</c:v>
                </c:pt>
                <c:pt idx="30">
                  <c:v>0.29582122969006469</c:v>
                </c:pt>
                <c:pt idx="31">
                  <c:v>0.31231536850705865</c:v>
                </c:pt>
                <c:pt idx="32">
                  <c:v>0.32812586878375183</c:v>
                </c:pt>
                <c:pt idx="33">
                  <c:v>0.3257604546902203</c:v>
                </c:pt>
                <c:pt idx="34">
                  <c:v>0.32334684741843439</c:v>
                </c:pt>
                <c:pt idx="35">
                  <c:v>0.32089208365401606</c:v>
                </c:pt>
                <c:pt idx="36">
                  <c:v>0.31821429297150666</c:v>
                </c:pt>
                <c:pt idx="37">
                  <c:v>0.3155404807078705</c:v>
                </c:pt>
                <c:pt idx="38">
                  <c:v>0.31285692512860497</c:v>
                </c:pt>
                <c:pt idx="39">
                  <c:v>0.3101537494668804</c:v>
                </c:pt>
                <c:pt idx="40">
                  <c:v>0.30743381327523289</c:v>
                </c:pt>
                <c:pt idx="41">
                  <c:v>0.30458149831760217</c:v>
                </c:pt>
                <c:pt idx="42">
                  <c:v>0.30176224572378157</c:v>
                </c:pt>
                <c:pt idx="43">
                  <c:v>0.29898766291479983</c:v>
                </c:pt>
                <c:pt idx="44">
                  <c:v>0.29627919569801847</c:v>
                </c:pt>
                <c:pt idx="45">
                  <c:v>0.29363291039101763</c:v>
                </c:pt>
                <c:pt idx="46">
                  <c:v>0.29035509969686857</c:v>
                </c:pt>
                <c:pt idx="47">
                  <c:v>0.28726479363932095</c:v>
                </c:pt>
                <c:pt idx="48">
                  <c:v>0.28425886495506753</c:v>
                </c:pt>
                <c:pt idx="49">
                  <c:v>0.28121347624253451</c:v>
                </c:pt>
                <c:pt idx="50">
                  <c:v>0.27808761076257077</c:v>
                </c:pt>
                <c:pt idx="51">
                  <c:v>0.27526530597215287</c:v>
                </c:pt>
                <c:pt idx="52">
                  <c:v>0.27222785885814149</c:v>
                </c:pt>
                <c:pt idx="53">
                  <c:v>0.26911327368415666</c:v>
                </c:pt>
                <c:pt idx="54">
                  <c:v>0.26607873875437377</c:v>
                </c:pt>
                <c:pt idx="55">
                  <c:v>0.26316491594396413</c:v>
                </c:pt>
                <c:pt idx="56">
                  <c:v>0.2598178895543426</c:v>
                </c:pt>
                <c:pt idx="57">
                  <c:v>0.2566790801022959</c:v>
                </c:pt>
                <c:pt idx="58">
                  <c:v>0.25367895856501743</c:v>
                </c:pt>
                <c:pt idx="59">
                  <c:v>0.25073036312374458</c:v>
                </c:pt>
                <c:pt idx="60">
                  <c:v>0.24780464054555862</c:v>
                </c:pt>
                <c:pt idx="61">
                  <c:v>0.24417461919448535</c:v>
                </c:pt>
                <c:pt idx="62">
                  <c:v>0.24069640776479384</c:v>
                </c:pt>
                <c:pt idx="63">
                  <c:v>0.23729888462674206</c:v>
                </c:pt>
                <c:pt idx="64">
                  <c:v>0.23392540718378443</c:v>
                </c:pt>
                <c:pt idx="65">
                  <c:v>0.23055048980686482</c:v>
                </c:pt>
                <c:pt idx="66">
                  <c:v>0.2268580095563815</c:v>
                </c:pt>
                <c:pt idx="67">
                  <c:v>0.22309543039234084</c:v>
                </c:pt>
                <c:pt idx="68">
                  <c:v>0.21931207755803675</c:v>
                </c:pt>
                <c:pt idx="69">
                  <c:v>0.21556182484199618</c:v>
                </c:pt>
                <c:pt idx="70">
                  <c:v>0.21185505806544203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50-4A06-80F7-C6852385DF0C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Gen X</c:v>
                </c:pt>
              </c:strCache>
            </c:strRef>
          </c:tx>
          <c:spPr>
            <a:noFill/>
            <a:ln w="25400" cap="flat" cmpd="sng" algn="ctr">
              <a:solidFill>
                <a:srgbClr val="00B050"/>
              </a:solidFill>
              <a:miter lim="800000"/>
            </a:ln>
            <a:effectLst/>
          </c:spPr>
          <c:invertIfNegative val="0"/>
          <c:cat>
            <c:numRef>
              <c:f>Sheet2!$A$2:$A$72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Sheet2!$D$2:$D$72</c:f>
              <c:numCache>
                <c:formatCode>General</c:formatCode>
                <c:ptCount val="71"/>
                <c:pt idx="33">
                  <c:v>1.7392165807096006E-2</c:v>
                </c:pt>
                <c:pt idx="34">
                  <c:v>3.4102226375032761E-2</c:v>
                </c:pt>
                <c:pt idx="35">
                  <c:v>5.0155267890385366E-2</c:v>
                </c:pt>
                <c:pt idx="36">
                  <c:v>6.5522316100240549E-2</c:v>
                </c:pt>
                <c:pt idx="37">
                  <c:v>8.0383597362168296E-2</c:v>
                </c:pt>
                <c:pt idx="38">
                  <c:v>9.4822742815404898E-2</c:v>
                </c:pt>
                <c:pt idx="39">
                  <c:v>0.10887078555825204</c:v>
                </c:pt>
                <c:pt idx="40">
                  <c:v>0.12257122451805341</c:v>
                </c:pt>
                <c:pt idx="41">
                  <c:v>0.1358060675022254</c:v>
                </c:pt>
                <c:pt idx="42">
                  <c:v>0.14872131436025088</c:v>
                </c:pt>
                <c:pt idx="43">
                  <c:v>0.16143611968198315</c:v>
                </c:pt>
                <c:pt idx="44">
                  <c:v>0.17405818499826586</c:v>
                </c:pt>
                <c:pt idx="45">
                  <c:v>0.18668167002516378</c:v>
                </c:pt>
                <c:pt idx="46">
                  <c:v>0.19982123614672004</c:v>
                </c:pt>
                <c:pt idx="47">
                  <c:v>0.21301105928309802</c:v>
                </c:pt>
                <c:pt idx="48">
                  <c:v>0.22624044368748211</c:v>
                </c:pt>
                <c:pt idx="49">
                  <c:v>0.22556935829995178</c:v>
                </c:pt>
                <c:pt idx="50">
                  <c:v>0.22479101750385153</c:v>
                </c:pt>
                <c:pt idx="51">
                  <c:v>0.22365292538938972</c:v>
                </c:pt>
                <c:pt idx="52">
                  <c:v>0.22231951042823431</c:v>
                </c:pt>
                <c:pt idx="53">
                  <c:v>0.22090141555439641</c:v>
                </c:pt>
                <c:pt idx="54">
                  <c:v>0.21952735879571039</c:v>
                </c:pt>
                <c:pt idx="55">
                  <c:v>0.21823199167409479</c:v>
                </c:pt>
                <c:pt idx="56">
                  <c:v>0.21657971373269469</c:v>
                </c:pt>
                <c:pt idx="57">
                  <c:v>0.21507904843319015</c:v>
                </c:pt>
                <c:pt idx="58">
                  <c:v>0.21367404196296058</c:v>
                </c:pt>
                <c:pt idx="59">
                  <c:v>0.2122927195741966</c:v>
                </c:pt>
                <c:pt idx="60">
                  <c:v>0.21091135293751834</c:v>
                </c:pt>
                <c:pt idx="61">
                  <c:v>0.20947359722208653</c:v>
                </c:pt>
                <c:pt idx="62">
                  <c:v>0.20814075714290703</c:v>
                </c:pt>
                <c:pt idx="63">
                  <c:v>0.20685326329358747</c:v>
                </c:pt>
                <c:pt idx="64">
                  <c:v>0.20556236409323142</c:v>
                </c:pt>
                <c:pt idx="65">
                  <c:v>0.20424530904413382</c:v>
                </c:pt>
                <c:pt idx="66">
                  <c:v>0.20287305156086519</c:v>
                </c:pt>
                <c:pt idx="67">
                  <c:v>0.20141513678718817</c:v>
                </c:pt>
                <c:pt idx="68">
                  <c:v>0.19991411213401719</c:v>
                </c:pt>
                <c:pt idx="69">
                  <c:v>0.19841835038282132</c:v>
                </c:pt>
                <c:pt idx="70">
                  <c:v>0.19693776648257438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50-4A06-80F7-C6852385DF0C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Millenials</c:v>
                </c:pt>
              </c:strCache>
            </c:strRef>
          </c:tx>
          <c:spPr>
            <a:noFill/>
            <a:ln w="25400" cap="flat" cmpd="sng" algn="ctr">
              <a:solidFill>
                <a:srgbClr val="FFC000"/>
              </a:solidFill>
              <a:miter lim="800000"/>
            </a:ln>
            <a:effectLst/>
          </c:spPr>
          <c:invertIfNegative val="0"/>
          <c:cat>
            <c:numRef>
              <c:f>Sheet2!$A$2:$A$72</c:f>
              <c:numCache>
                <c:formatCode>General</c:formatCode>
                <c:ptCount val="7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</c:numCache>
            </c:numRef>
          </c:cat>
          <c:val>
            <c:numRef>
              <c:f>Sheet2!$E$2:$E$72</c:f>
              <c:numCache>
                <c:formatCode>General</c:formatCode>
                <c:ptCount val="71"/>
                <c:pt idx="49">
                  <c:v>1.388831707471988E-2</c:v>
                </c:pt>
                <c:pt idx="50">
                  <c:v>2.7862417144406425E-2</c:v>
                </c:pt>
                <c:pt idx="51">
                  <c:v>4.1945519224913422E-2</c:v>
                </c:pt>
                <c:pt idx="52">
                  <c:v>5.6081417376828008E-2</c:v>
                </c:pt>
                <c:pt idx="53">
                  <c:v>7.0257827109749441E-2</c:v>
                </c:pt>
                <c:pt idx="54">
                  <c:v>8.4511325205030144E-2</c:v>
                </c:pt>
                <c:pt idx="55">
                  <c:v>9.8858646411775802E-2</c:v>
                </c:pt>
                <c:pt idx="56">
                  <c:v>0.11252240096190286</c:v>
                </c:pt>
                <c:pt idx="57">
                  <c:v>0.12611282933936402</c:v>
                </c:pt>
                <c:pt idx="58">
                  <c:v>0.1396341838768442</c:v>
                </c:pt>
                <c:pt idx="59">
                  <c:v>0.15307964071994107</c:v>
                </c:pt>
                <c:pt idx="60">
                  <c:v>0.16647601840305806</c:v>
                </c:pt>
                <c:pt idx="61">
                  <c:v>0.18078210620607169</c:v>
                </c:pt>
                <c:pt idx="62">
                  <c:v>0.19501530494695041</c:v>
                </c:pt>
                <c:pt idx="63">
                  <c:v>0.20901290247169899</c:v>
                </c:pt>
                <c:pt idx="64">
                  <c:v>0.22270963343783334</c:v>
                </c:pt>
                <c:pt idx="65">
                  <c:v>0.22254044704648029</c:v>
                </c:pt>
                <c:pt idx="66">
                  <c:v>0.22233174758728366</c:v>
                </c:pt>
                <c:pt idx="67">
                  <c:v>0.22201377094400704</c:v>
                </c:pt>
                <c:pt idx="68">
                  <c:v>0.22163208877748622</c:v>
                </c:pt>
                <c:pt idx="69">
                  <c:v>0.2212398746840582</c:v>
                </c:pt>
                <c:pt idx="70">
                  <c:v>0.22084836378967079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50-4A06-80F7-C6852385D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1917239103"/>
        <c:axId val="1917238271"/>
      </c:barChart>
      <c:catAx>
        <c:axId val="191723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38271"/>
        <c:crosses val="autoZero"/>
        <c:auto val="1"/>
        <c:lblAlgn val="ctr"/>
        <c:lblOffset val="100"/>
        <c:noMultiLvlLbl val="0"/>
      </c:catAx>
      <c:valAx>
        <c:axId val="1917238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3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277644</xdr:colOff>
      <xdr:row>23</xdr:row>
      <xdr:rowOff>96094</xdr:rowOff>
    </xdr:from>
    <xdr:to>
      <xdr:col>118</xdr:col>
      <xdr:colOff>265180</xdr:colOff>
      <xdr:row>44</xdr:row>
      <xdr:rowOff>179329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EDCE6CB-DC01-4237-82B0-BA23DCA38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429683</xdr:colOff>
      <xdr:row>3</xdr:row>
      <xdr:rowOff>2419</xdr:rowOff>
    </xdr:from>
    <xdr:to>
      <xdr:col>26</xdr:col>
      <xdr:colOff>42333</xdr:colOff>
      <xdr:row>27</xdr:row>
      <xdr:rowOff>88598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9F81A-B72E-4935-B168-E64DD5C24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39451-0682-433E-A402-D8B8DC930F3F}">
  <dimension ref="A1:DO379"/>
  <sheetViews>
    <sheetView topLeftCell="CP1" zoomScale="73" zoomScaleNormal="87" workbookViewId="0">
      <selection activeCell="CZ17" sqref="CZ17"/>
    </sheetView>
  </sheetViews>
  <sheetFormatPr baseColWidth="10" defaultColWidth="21.5" defaultRowHeight="15"/>
  <cols>
    <col min="1" max="1" width="21.5" style="3"/>
    <col min="2" max="19" width="21.5" style="19" customWidth="1"/>
    <col min="20" max="20" width="10.33203125" style="19" customWidth="1"/>
    <col min="21" max="21" width="13.83203125" style="19" customWidth="1"/>
    <col min="22" max="102" width="21.5" style="19" customWidth="1"/>
    <col min="103" max="103" width="32.1640625" style="3" customWidth="1"/>
    <col min="104" max="111" width="21.5" style="3" customWidth="1"/>
    <col min="112" max="113" width="21.5" customWidth="1"/>
    <col min="114" max="114" width="21.5" style="7"/>
    <col min="115" max="118" width="21.5" style="3"/>
    <col min="120" max="16384" width="21.5" style="3"/>
  </cols>
  <sheetData>
    <row r="1" spans="1:119">
      <c r="A1" s="2" t="s">
        <v>104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16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6" t="s">
        <v>25</v>
      </c>
      <c r="AB1" s="16" t="s">
        <v>26</v>
      </c>
      <c r="AC1" s="16" t="s">
        <v>27</v>
      </c>
      <c r="AD1" s="16" t="s">
        <v>28</v>
      </c>
      <c r="AE1" s="16" t="s">
        <v>29</v>
      </c>
      <c r="AF1" s="16" t="s">
        <v>30</v>
      </c>
      <c r="AG1" s="16" t="s">
        <v>31</v>
      </c>
      <c r="AH1" s="16" t="s">
        <v>32</v>
      </c>
      <c r="AI1" s="16" t="s">
        <v>33</v>
      </c>
      <c r="AJ1" s="16" t="s">
        <v>34</v>
      </c>
      <c r="AK1" s="16" t="s">
        <v>35</v>
      </c>
      <c r="AL1" s="16" t="s">
        <v>36</v>
      </c>
      <c r="AM1" s="16" t="s">
        <v>37</v>
      </c>
      <c r="AN1" s="16" t="s">
        <v>38</v>
      </c>
      <c r="AO1" s="16" t="s">
        <v>39</v>
      </c>
      <c r="AP1" s="16" t="s">
        <v>40</v>
      </c>
      <c r="AQ1" s="16" t="s">
        <v>41</v>
      </c>
      <c r="AR1" s="16" t="s">
        <v>42</v>
      </c>
      <c r="AS1" s="16" t="s">
        <v>43</v>
      </c>
      <c r="AT1" s="16" t="s">
        <v>44</v>
      </c>
      <c r="AU1" s="16" t="s">
        <v>45</v>
      </c>
      <c r="AV1" s="16" t="s">
        <v>46</v>
      </c>
      <c r="AW1" s="16" t="s">
        <v>47</v>
      </c>
      <c r="AX1" s="16" t="s">
        <v>48</v>
      </c>
      <c r="AY1" s="16" t="s">
        <v>49</v>
      </c>
      <c r="AZ1" s="16" t="s">
        <v>50</v>
      </c>
      <c r="BA1" s="16" t="s">
        <v>51</v>
      </c>
      <c r="BB1" s="16" t="s">
        <v>52</v>
      </c>
      <c r="BC1" s="16" t="s">
        <v>53</v>
      </c>
      <c r="BD1" s="16" t="s">
        <v>54</v>
      </c>
      <c r="BE1" s="16" t="s">
        <v>55</v>
      </c>
      <c r="BF1" s="16" t="s">
        <v>56</v>
      </c>
      <c r="BG1" s="16" t="s">
        <v>57</v>
      </c>
      <c r="BH1" s="16" t="s">
        <v>58</v>
      </c>
      <c r="BI1" s="16" t="s">
        <v>59</v>
      </c>
      <c r="BJ1" s="16" t="s">
        <v>60</v>
      </c>
      <c r="BK1" s="16" t="s">
        <v>61</v>
      </c>
      <c r="BL1" s="16" t="s">
        <v>62</v>
      </c>
      <c r="BM1" s="16" t="s">
        <v>63</v>
      </c>
      <c r="BN1" s="16" t="s">
        <v>64</v>
      </c>
      <c r="BO1" s="16" t="s">
        <v>65</v>
      </c>
      <c r="BP1" s="16" t="s">
        <v>66</v>
      </c>
      <c r="BQ1" s="16" t="s">
        <v>67</v>
      </c>
      <c r="BR1" s="16" t="s">
        <v>68</v>
      </c>
      <c r="BS1" s="16" t="s">
        <v>69</v>
      </c>
      <c r="BT1" s="16" t="s">
        <v>70</v>
      </c>
      <c r="BU1" s="16" t="s">
        <v>71</v>
      </c>
      <c r="BV1" s="16" t="s">
        <v>72</v>
      </c>
      <c r="BW1" s="16" t="s">
        <v>73</v>
      </c>
      <c r="BX1" s="16" t="s">
        <v>74</v>
      </c>
      <c r="BY1" s="16" t="s">
        <v>75</v>
      </c>
      <c r="BZ1" s="16" t="s">
        <v>76</v>
      </c>
      <c r="CA1" s="16" t="s">
        <v>77</v>
      </c>
      <c r="CB1" s="16" t="s">
        <v>78</v>
      </c>
      <c r="CC1" s="16" t="s">
        <v>79</v>
      </c>
      <c r="CD1" s="16" t="s">
        <v>80</v>
      </c>
      <c r="CE1" s="16" t="s">
        <v>81</v>
      </c>
      <c r="CF1" s="16" t="s">
        <v>82</v>
      </c>
      <c r="CG1" s="16" t="s">
        <v>83</v>
      </c>
      <c r="CH1" s="16" t="s">
        <v>84</v>
      </c>
      <c r="CI1" s="16" t="s">
        <v>85</v>
      </c>
      <c r="CJ1" s="16" t="s">
        <v>86</v>
      </c>
      <c r="CK1" s="16" t="s">
        <v>87</v>
      </c>
      <c r="CL1" s="16" t="s">
        <v>88</v>
      </c>
      <c r="CM1" s="16" t="s">
        <v>89</v>
      </c>
      <c r="CN1" s="16" t="s">
        <v>90</v>
      </c>
      <c r="CO1" s="16" t="s">
        <v>91</v>
      </c>
      <c r="CP1" s="16" t="s">
        <v>92</v>
      </c>
      <c r="CQ1" s="16" t="s">
        <v>93</v>
      </c>
      <c r="CR1" s="16" t="s">
        <v>94</v>
      </c>
      <c r="CS1" s="16" t="s">
        <v>95</v>
      </c>
      <c r="CT1" s="16" t="s">
        <v>96</v>
      </c>
      <c r="CU1" s="16" t="s">
        <v>97</v>
      </c>
      <c r="CV1" s="16" t="s">
        <v>98</v>
      </c>
      <c r="CW1" s="16" t="s">
        <v>99</v>
      </c>
      <c r="CX1" s="16" t="s">
        <v>100</v>
      </c>
      <c r="CY1" s="6" t="s">
        <v>106</v>
      </c>
      <c r="CZ1" s="6" t="s">
        <v>105</v>
      </c>
      <c r="DA1" s="6" t="s">
        <v>107</v>
      </c>
      <c r="DB1" s="6" t="s">
        <v>108</v>
      </c>
      <c r="DC1" s="6" t="s">
        <v>109</v>
      </c>
      <c r="DD1" s="6" t="s">
        <v>110</v>
      </c>
      <c r="DE1" s="6" t="s">
        <v>111</v>
      </c>
      <c r="DF1" s="6" t="s">
        <v>112</v>
      </c>
      <c r="DG1" s="6" t="s">
        <v>113</v>
      </c>
      <c r="DH1" s="6" t="s">
        <v>115</v>
      </c>
      <c r="DI1" s="6" t="s">
        <v>116</v>
      </c>
      <c r="DJ1" s="8" t="s">
        <v>117</v>
      </c>
      <c r="DK1" s="3" t="s">
        <v>118</v>
      </c>
      <c r="DL1" s="3" t="s">
        <v>114</v>
      </c>
      <c r="DM1" s="3" t="s">
        <v>108</v>
      </c>
      <c r="DN1" s="3" t="s">
        <v>110</v>
      </c>
    </row>
    <row r="2" spans="1:119">
      <c r="A2" s="4">
        <v>1950</v>
      </c>
      <c r="B2" s="17">
        <v>3762.5650000000001</v>
      </c>
      <c r="C2" s="17">
        <v>3600.4270000000001</v>
      </c>
      <c r="D2" s="17">
        <v>3442.3440000000001</v>
      </c>
      <c r="E2" s="17">
        <v>3289.2939999999999</v>
      </c>
      <c r="F2" s="17">
        <v>3142.2570000000001</v>
      </c>
      <c r="G2" s="17">
        <v>3002.2139999999999</v>
      </c>
      <c r="H2" s="17">
        <v>2870.1419999999998</v>
      </c>
      <c r="I2" s="17">
        <v>2747.0219999999999</v>
      </c>
      <c r="J2" s="17">
        <v>2633.8330000000001</v>
      </c>
      <c r="K2" s="17">
        <v>2531.556</v>
      </c>
      <c r="L2" s="17">
        <v>2439.4470000000001</v>
      </c>
      <c r="M2" s="17">
        <v>2356.7649999999999</v>
      </c>
      <c r="N2" s="17">
        <v>2293.0970000000002</v>
      </c>
      <c r="O2" s="17">
        <v>2252.8690000000001</v>
      </c>
      <c r="P2" s="17">
        <v>2231.893</v>
      </c>
      <c r="Q2" s="17">
        <v>2218.6799999999998</v>
      </c>
      <c r="R2" s="17">
        <v>2212.0720000000001</v>
      </c>
      <c r="S2" s="17">
        <v>2223.7379999999998</v>
      </c>
      <c r="T2" s="17">
        <v>2257.2109999999998</v>
      </c>
      <c r="U2" s="17">
        <v>2305.335</v>
      </c>
      <c r="V2" s="17">
        <v>2355.9160000000002</v>
      </c>
      <c r="W2" s="17">
        <v>2409.587</v>
      </c>
      <c r="X2" s="17">
        <v>2458.7289999999998</v>
      </c>
      <c r="Y2" s="17">
        <v>2497.712</v>
      </c>
      <c r="Z2" s="17">
        <v>2527.7809999999999</v>
      </c>
      <c r="AA2" s="17">
        <v>2558.2109999999998</v>
      </c>
      <c r="AB2" s="17">
        <v>2590.0219999999999</v>
      </c>
      <c r="AC2" s="17">
        <v>2600.8249999999998</v>
      </c>
      <c r="AD2" s="17">
        <v>2581.308</v>
      </c>
      <c r="AE2" s="17">
        <v>2541.674</v>
      </c>
      <c r="AF2" s="17">
        <v>2500.721</v>
      </c>
      <c r="AG2" s="17">
        <v>2453.83</v>
      </c>
      <c r="AH2" s="17">
        <v>2415.0619999999999</v>
      </c>
      <c r="AI2" s="17">
        <v>2393.038</v>
      </c>
      <c r="AJ2" s="17">
        <v>2380.817</v>
      </c>
      <c r="AK2" s="17">
        <v>2362.8049999999998</v>
      </c>
      <c r="AL2" s="17">
        <v>2342.0830000000001</v>
      </c>
      <c r="AM2" s="17">
        <v>2317.6309999999999</v>
      </c>
      <c r="AN2" s="17">
        <v>2287.3690000000001</v>
      </c>
      <c r="AO2" s="17">
        <v>2252.63</v>
      </c>
      <c r="AP2" s="17">
        <v>2217.9070000000002</v>
      </c>
      <c r="AQ2" s="17">
        <v>2183.5920000000001</v>
      </c>
      <c r="AR2" s="17">
        <v>2143.4319999999998</v>
      </c>
      <c r="AS2" s="17">
        <v>2095.1799999999998</v>
      </c>
      <c r="AT2" s="17">
        <v>2042.126</v>
      </c>
      <c r="AU2" s="17">
        <v>1988.9970000000001</v>
      </c>
      <c r="AV2" s="17">
        <v>1933.87</v>
      </c>
      <c r="AW2" s="17">
        <v>1886.1590000000001</v>
      </c>
      <c r="AX2" s="17">
        <v>1850.7149999999999</v>
      </c>
      <c r="AY2" s="17">
        <v>1822.9490000000001</v>
      </c>
      <c r="AZ2" s="17">
        <v>1793.749</v>
      </c>
      <c r="BA2" s="17">
        <v>1765.3340000000001</v>
      </c>
      <c r="BB2" s="17">
        <v>1733.059</v>
      </c>
      <c r="BC2" s="17">
        <v>1693.8230000000001</v>
      </c>
      <c r="BD2" s="17">
        <v>1650.2449999999999</v>
      </c>
      <c r="BE2" s="17">
        <v>1607.5630000000001</v>
      </c>
      <c r="BF2" s="17">
        <v>1564.1479999999999</v>
      </c>
      <c r="BG2" s="17">
        <v>1523.2650000000001</v>
      </c>
      <c r="BH2" s="17">
        <v>1486.873</v>
      </c>
      <c r="BI2" s="17">
        <v>1452.86</v>
      </c>
      <c r="BJ2" s="17">
        <v>1416.357</v>
      </c>
      <c r="BK2" s="17">
        <v>1377.3889999999999</v>
      </c>
      <c r="BL2" s="17">
        <v>1337.825</v>
      </c>
      <c r="BM2" s="17">
        <v>1297.7950000000001</v>
      </c>
      <c r="BN2" s="17">
        <v>1255.8920000000001</v>
      </c>
      <c r="BO2" s="17">
        <v>1212.7650000000001</v>
      </c>
      <c r="BP2" s="17">
        <v>1170.903</v>
      </c>
      <c r="BQ2" s="17">
        <v>1114.9490000000001</v>
      </c>
      <c r="BR2" s="17">
        <v>1038.1590000000001</v>
      </c>
      <c r="BS2" s="17">
        <v>948.66899999999998</v>
      </c>
      <c r="BT2" s="17">
        <v>860.62400000000002</v>
      </c>
      <c r="BU2" s="17">
        <v>770.32299999999998</v>
      </c>
      <c r="BV2" s="17">
        <v>691.53499999999997</v>
      </c>
      <c r="BW2" s="17">
        <v>632.26800000000003</v>
      </c>
      <c r="BX2" s="17">
        <v>585.96799999999996</v>
      </c>
      <c r="BY2" s="17">
        <v>538.79700000000003</v>
      </c>
      <c r="BZ2" s="17">
        <v>494.38799999999998</v>
      </c>
      <c r="CA2" s="17">
        <v>447.678</v>
      </c>
      <c r="CB2" s="17">
        <v>395.03800000000001</v>
      </c>
      <c r="CC2" s="17">
        <v>340.09</v>
      </c>
      <c r="CD2" s="17">
        <v>289.44099999999997</v>
      </c>
      <c r="CE2" s="17">
        <v>241.00299999999999</v>
      </c>
      <c r="CF2" s="17">
        <v>200.84700000000001</v>
      </c>
      <c r="CG2" s="17">
        <v>172.41200000000001</v>
      </c>
      <c r="CH2" s="17">
        <v>152.34100000000001</v>
      </c>
      <c r="CI2" s="17">
        <v>133.79</v>
      </c>
      <c r="CJ2" s="17">
        <v>118.074</v>
      </c>
      <c r="CK2" s="17">
        <v>102.949</v>
      </c>
      <c r="CL2" s="17">
        <v>86.587000000000003</v>
      </c>
      <c r="CM2" s="17">
        <v>70.132000000000005</v>
      </c>
      <c r="CN2" s="17">
        <v>54.923999999999999</v>
      </c>
      <c r="CO2" s="17">
        <v>44.055</v>
      </c>
      <c r="CP2" s="17">
        <v>36.962000000000003</v>
      </c>
      <c r="CQ2" s="17">
        <v>28.573</v>
      </c>
      <c r="CR2" s="17">
        <v>18.885000000000002</v>
      </c>
      <c r="CS2" s="17">
        <v>13.112</v>
      </c>
      <c r="CT2" s="17">
        <v>11.18</v>
      </c>
      <c r="CU2" s="17">
        <v>8.9619999999999997</v>
      </c>
      <c r="CV2" s="17">
        <v>6.46</v>
      </c>
      <c r="CW2" s="17">
        <v>3.6709999999999998</v>
      </c>
      <c r="CX2" s="17">
        <v>6.2670000000000003</v>
      </c>
      <c r="CY2" s="3">
        <f>SUM(B2:CX2)</f>
        <v>158804.39699999997</v>
      </c>
      <c r="DF2" s="3">
        <f>SUM(T2:Y2)</f>
        <v>14284.49</v>
      </c>
      <c r="DG2" s="3">
        <f>DF2/CY2</f>
        <v>8.9950217184477599E-2</v>
      </c>
      <c r="DH2">
        <f>SUM(Y2:AY2)</f>
        <v>61768.445999999996</v>
      </c>
      <c r="DI2" s="9">
        <f t="shared" ref="DI2:DI14" si="0">DH2/CY2</f>
        <v>0.38895929311075694</v>
      </c>
    </row>
    <row r="3" spans="1:119">
      <c r="A3" s="4">
        <v>1951</v>
      </c>
      <c r="B3" s="17">
        <v>3712.154</v>
      </c>
      <c r="C3" s="17">
        <v>3735.7539999999999</v>
      </c>
      <c r="D3" s="17">
        <v>3585.3789999999999</v>
      </c>
      <c r="E3" s="17">
        <v>3435.7379999999998</v>
      </c>
      <c r="F3" s="17">
        <v>3288.2289999999998</v>
      </c>
      <c r="G3" s="17">
        <v>3144.248</v>
      </c>
      <c r="H3" s="17">
        <v>3004.99</v>
      </c>
      <c r="I3" s="17">
        <v>2871.652</v>
      </c>
      <c r="J3" s="17">
        <v>2746.636</v>
      </c>
      <c r="K3" s="17">
        <v>2631.7449999999999</v>
      </c>
      <c r="L3" s="17">
        <v>2527.77</v>
      </c>
      <c r="M3" s="17">
        <v>2433.0320000000002</v>
      </c>
      <c r="N3" s="17">
        <v>2347.058</v>
      </c>
      <c r="O3" s="17">
        <v>2280.585</v>
      </c>
      <c r="P3" s="17">
        <v>2238.5430000000001</v>
      </c>
      <c r="Q3" s="17">
        <v>2216.5250000000001</v>
      </c>
      <c r="R3" s="17">
        <v>2202.1030000000001</v>
      </c>
      <c r="S3" s="17">
        <v>2194.0549999999998</v>
      </c>
      <c r="T3" s="17">
        <v>2205.6610000000001</v>
      </c>
      <c r="U3" s="17">
        <v>2241.0830000000001</v>
      </c>
      <c r="V3" s="17">
        <v>2292.3980000000001</v>
      </c>
      <c r="W3" s="17">
        <v>2346.0920000000001</v>
      </c>
      <c r="X3" s="17">
        <v>2403.1559999999999</v>
      </c>
      <c r="Y3" s="17">
        <v>2454.607</v>
      </c>
      <c r="Z3" s="17">
        <v>2494.0360000000001</v>
      </c>
      <c r="AA3" s="17">
        <v>2523.3359999999998</v>
      </c>
      <c r="AB3" s="17">
        <v>2553.201</v>
      </c>
      <c r="AC3" s="17">
        <v>2584.357</v>
      </c>
      <c r="AD3" s="17">
        <v>2594.645</v>
      </c>
      <c r="AE3" s="17">
        <v>2575.011</v>
      </c>
      <c r="AF3" s="17">
        <v>2535.4670000000001</v>
      </c>
      <c r="AG3" s="17">
        <v>2494.2809999999999</v>
      </c>
      <c r="AH3" s="17">
        <v>2446.8380000000002</v>
      </c>
      <c r="AI3" s="17">
        <v>2407.6460000000002</v>
      </c>
      <c r="AJ3" s="17">
        <v>2385.4639999999999</v>
      </c>
      <c r="AK3" s="17">
        <v>2373.1170000000002</v>
      </c>
      <c r="AL3" s="17">
        <v>2355.1709999999998</v>
      </c>
      <c r="AM3" s="17">
        <v>2335.3150000000001</v>
      </c>
      <c r="AN3" s="17">
        <v>2309.4229999999998</v>
      </c>
      <c r="AO3" s="17">
        <v>2274.0929999999998</v>
      </c>
      <c r="AP3" s="17">
        <v>2232.4270000000001</v>
      </c>
      <c r="AQ3" s="17">
        <v>2191.0369999999998</v>
      </c>
      <c r="AR3" s="17">
        <v>2148.7220000000002</v>
      </c>
      <c r="AS3" s="17">
        <v>2106.6819999999998</v>
      </c>
      <c r="AT3" s="17">
        <v>2066.2170000000001</v>
      </c>
      <c r="AU3" s="17">
        <v>2026.6279999999999</v>
      </c>
      <c r="AV3" s="17">
        <v>1985.9670000000001</v>
      </c>
      <c r="AW3" s="17">
        <v>1944.683</v>
      </c>
      <c r="AX3" s="17">
        <v>1903.5239999999999</v>
      </c>
      <c r="AY3" s="17">
        <v>1862.69</v>
      </c>
      <c r="AZ3" s="17">
        <v>1822.1320000000001</v>
      </c>
      <c r="BA3" s="17">
        <v>1781.463</v>
      </c>
      <c r="BB3" s="17">
        <v>1740.587</v>
      </c>
      <c r="BC3" s="17">
        <v>1700.58</v>
      </c>
      <c r="BD3" s="17">
        <v>1661.8810000000001</v>
      </c>
      <c r="BE3" s="17">
        <v>1623.9580000000001</v>
      </c>
      <c r="BF3" s="17">
        <v>1585.479</v>
      </c>
      <c r="BG3" s="17">
        <v>1546.279</v>
      </c>
      <c r="BH3" s="17">
        <v>1507.49</v>
      </c>
      <c r="BI3" s="17">
        <v>1469.405</v>
      </c>
      <c r="BJ3" s="17">
        <v>1431.229</v>
      </c>
      <c r="BK3" s="17">
        <v>1391.367</v>
      </c>
      <c r="BL3" s="17">
        <v>1349.521</v>
      </c>
      <c r="BM3" s="17">
        <v>1306.317</v>
      </c>
      <c r="BN3" s="17">
        <v>1261.703</v>
      </c>
      <c r="BO3" s="17">
        <v>1214.857</v>
      </c>
      <c r="BP3" s="17">
        <v>1166.9000000000001</v>
      </c>
      <c r="BQ3" s="17">
        <v>1119.874</v>
      </c>
      <c r="BR3" s="17">
        <v>1061.4079999999999</v>
      </c>
      <c r="BS3" s="17">
        <v>986.18700000000001</v>
      </c>
      <c r="BT3" s="17">
        <v>900.90099999999995</v>
      </c>
      <c r="BU3" s="17">
        <v>816.91399999999999</v>
      </c>
      <c r="BV3" s="17">
        <v>731.17399999999998</v>
      </c>
      <c r="BW3" s="17">
        <v>655.84900000000005</v>
      </c>
      <c r="BX3" s="17">
        <v>597.90300000000002</v>
      </c>
      <c r="BY3" s="17">
        <v>551.61199999999997</v>
      </c>
      <c r="BZ3" s="17">
        <v>504.983</v>
      </c>
      <c r="CA3" s="17">
        <v>461.24099999999999</v>
      </c>
      <c r="CB3" s="17">
        <v>415.59399999999999</v>
      </c>
      <c r="CC3" s="17">
        <v>364.726</v>
      </c>
      <c r="CD3" s="17">
        <v>311.99200000000002</v>
      </c>
      <c r="CE3" s="17">
        <v>263.43400000000003</v>
      </c>
      <c r="CF3" s="17">
        <v>217.07599999999999</v>
      </c>
      <c r="CG3" s="17">
        <v>178.90299999999999</v>
      </c>
      <c r="CH3" s="17">
        <v>152.25700000000001</v>
      </c>
      <c r="CI3" s="17">
        <v>133.84399999999999</v>
      </c>
      <c r="CJ3" s="17">
        <v>116.97799999999999</v>
      </c>
      <c r="CK3" s="17">
        <v>103.05500000000001</v>
      </c>
      <c r="CL3" s="17">
        <v>89.539000000000001</v>
      </c>
      <c r="CM3" s="17">
        <v>74.795000000000002</v>
      </c>
      <c r="CN3" s="17">
        <v>59.734999999999999</v>
      </c>
      <c r="CO3" s="17">
        <v>46.387999999999998</v>
      </c>
      <c r="CP3" s="17">
        <v>37.331000000000003</v>
      </c>
      <c r="CQ3" s="17">
        <v>31.24</v>
      </c>
      <c r="CR3" s="17">
        <v>24.062999999999999</v>
      </c>
      <c r="CS3" s="17">
        <v>15.801</v>
      </c>
      <c r="CT3" s="17">
        <v>11.365</v>
      </c>
      <c r="CU3" s="17">
        <v>9.1319999999999997</v>
      </c>
      <c r="CV3" s="17">
        <v>6.5890000000000004</v>
      </c>
      <c r="CW3" s="17">
        <v>3.7360000000000002</v>
      </c>
      <c r="CX3" s="17">
        <v>6.3259999999999996</v>
      </c>
      <c r="CY3" s="3">
        <f t="shared" ref="CY3:CY13" si="1">SUM(B3:CX3)</f>
        <v>160872.26400000002</v>
      </c>
      <c r="DF3" s="3">
        <f>SUM(T3:Z3)</f>
        <v>16437.032999999999</v>
      </c>
      <c r="DG3" s="3">
        <f t="shared" ref="DG3:DG66" si="2">DF3/CY3</f>
        <v>0.10217443698063451</v>
      </c>
      <c r="DH3">
        <f>SUM(Z3:AZ3)</f>
        <v>61532.109999999986</v>
      </c>
      <c r="DI3" s="9">
        <f t="shared" si="0"/>
        <v>0.38249048325695212</v>
      </c>
    </row>
    <row r="4" spans="1:119">
      <c r="A4" s="4">
        <v>1952</v>
      </c>
      <c r="B4" s="17">
        <v>3706.92</v>
      </c>
      <c r="C4" s="17">
        <v>3664.5859999999998</v>
      </c>
      <c r="D4" s="17">
        <v>3717.9169999999999</v>
      </c>
      <c r="E4" s="17">
        <v>3578.92</v>
      </c>
      <c r="F4" s="17">
        <v>3437.346</v>
      </c>
      <c r="G4" s="17">
        <v>3295.0129999999999</v>
      </c>
      <c r="H4" s="17">
        <v>3153.7370000000001</v>
      </c>
      <c r="I4" s="17">
        <v>3014.931</v>
      </c>
      <c r="J4" s="17">
        <v>2880.009</v>
      </c>
      <c r="K4" s="17">
        <v>2752.8049999999998</v>
      </c>
      <c r="L4" s="17">
        <v>2635.9409999999998</v>
      </c>
      <c r="M4" s="17">
        <v>2530.0250000000001</v>
      </c>
      <c r="N4" s="17">
        <v>2432.4360000000001</v>
      </c>
      <c r="O4" s="17">
        <v>2342.9720000000002</v>
      </c>
      <c r="P4" s="17">
        <v>2273.5390000000002</v>
      </c>
      <c r="Q4" s="17">
        <v>2229.5889999999999</v>
      </c>
      <c r="R4" s="17">
        <v>2206.4780000000001</v>
      </c>
      <c r="S4" s="17">
        <v>2190.8139999999999</v>
      </c>
      <c r="T4" s="17">
        <v>2181.31</v>
      </c>
      <c r="U4" s="17">
        <v>2192.8820000000001</v>
      </c>
      <c r="V4" s="17">
        <v>2230.3310000000001</v>
      </c>
      <c r="W4" s="17">
        <v>2284.9479999999999</v>
      </c>
      <c r="X4" s="17">
        <v>2341.8739999999998</v>
      </c>
      <c r="Y4" s="17">
        <v>2402.4560000000001</v>
      </c>
      <c r="Z4" s="17">
        <v>2456.3330000000001</v>
      </c>
      <c r="AA4" s="17">
        <v>2496.299</v>
      </c>
      <c r="AB4" s="17">
        <v>2524.902</v>
      </c>
      <c r="AC4" s="17">
        <v>2554.277</v>
      </c>
      <c r="AD4" s="17">
        <v>2584.8519999999999</v>
      </c>
      <c r="AE4" s="17">
        <v>2594.652</v>
      </c>
      <c r="AF4" s="17">
        <v>2574.8530000000001</v>
      </c>
      <c r="AG4" s="17">
        <v>2535.3049999999998</v>
      </c>
      <c r="AH4" s="17">
        <v>2493.7890000000002</v>
      </c>
      <c r="AI4" s="17">
        <v>2445.6819999999998</v>
      </c>
      <c r="AJ4" s="17">
        <v>2405.9740000000002</v>
      </c>
      <c r="AK4" s="17">
        <v>2383.5810000000001</v>
      </c>
      <c r="AL4" s="17">
        <v>2371.078</v>
      </c>
      <c r="AM4" s="17">
        <v>2353.1559999999999</v>
      </c>
      <c r="AN4" s="17">
        <v>2334.116</v>
      </c>
      <c r="AO4" s="17">
        <v>2306.7269999999999</v>
      </c>
      <c r="AP4" s="17">
        <v>2266.2550000000001</v>
      </c>
      <c r="AQ4" s="17">
        <v>2217.58</v>
      </c>
      <c r="AR4" s="17">
        <v>2169.44</v>
      </c>
      <c r="AS4" s="17">
        <v>2119.0419999999999</v>
      </c>
      <c r="AT4" s="17">
        <v>2075.0239999999999</v>
      </c>
      <c r="AU4" s="17">
        <v>2042.2349999999999</v>
      </c>
      <c r="AV4" s="17">
        <v>2015.9880000000001</v>
      </c>
      <c r="AW4" s="17">
        <v>1987.6690000000001</v>
      </c>
      <c r="AX4" s="17">
        <v>1960.1</v>
      </c>
      <c r="AY4" s="17">
        <v>1925.3820000000001</v>
      </c>
      <c r="AZ4" s="17">
        <v>1879.07</v>
      </c>
      <c r="BA4" s="17">
        <v>1825.652</v>
      </c>
      <c r="BB4" s="17">
        <v>1773.441</v>
      </c>
      <c r="BC4" s="17">
        <v>1720.0350000000001</v>
      </c>
      <c r="BD4" s="17">
        <v>1672.2159999999999</v>
      </c>
      <c r="BE4" s="17">
        <v>1633.961</v>
      </c>
      <c r="BF4" s="17">
        <v>1601.5909999999999</v>
      </c>
      <c r="BG4" s="17">
        <v>1567.2139999999999</v>
      </c>
      <c r="BH4" s="17">
        <v>1532.124</v>
      </c>
      <c r="BI4" s="17">
        <v>1495.335</v>
      </c>
      <c r="BJ4" s="17">
        <v>1455.47</v>
      </c>
      <c r="BK4" s="17">
        <v>1413.0509999999999</v>
      </c>
      <c r="BL4" s="17">
        <v>1369.742</v>
      </c>
      <c r="BM4" s="17">
        <v>1324.9259999999999</v>
      </c>
      <c r="BN4" s="17">
        <v>1277.9870000000001</v>
      </c>
      <c r="BO4" s="17">
        <v>1228.691</v>
      </c>
      <c r="BP4" s="17">
        <v>1176.798</v>
      </c>
      <c r="BQ4" s="17">
        <v>1123.904</v>
      </c>
      <c r="BR4" s="17">
        <v>1071.6079999999999</v>
      </c>
      <c r="BS4" s="17">
        <v>1010.497</v>
      </c>
      <c r="BT4" s="17">
        <v>936.66099999999994</v>
      </c>
      <c r="BU4" s="17">
        <v>855.37099999999998</v>
      </c>
      <c r="BV4" s="17">
        <v>775.23199999999997</v>
      </c>
      <c r="BW4" s="17">
        <v>693.84100000000001</v>
      </c>
      <c r="BX4" s="17">
        <v>621.79499999999996</v>
      </c>
      <c r="BY4" s="17">
        <v>565.02700000000004</v>
      </c>
      <c r="BZ4" s="17">
        <v>518.63499999999999</v>
      </c>
      <c r="CA4" s="17">
        <v>472.43599999999998</v>
      </c>
      <c r="CB4" s="17">
        <v>429.25400000000002</v>
      </c>
      <c r="CC4" s="17">
        <v>384.56200000000001</v>
      </c>
      <c r="CD4" s="17">
        <v>335.339</v>
      </c>
      <c r="CE4" s="17">
        <v>284.69299999999998</v>
      </c>
      <c r="CF4" s="17">
        <v>238.10599999999999</v>
      </c>
      <c r="CG4" s="17">
        <v>193.71299999999999</v>
      </c>
      <c r="CH4" s="17">
        <v>157.429</v>
      </c>
      <c r="CI4" s="17">
        <v>132.50399999999999</v>
      </c>
      <c r="CJ4" s="17">
        <v>115.702</v>
      </c>
      <c r="CK4" s="17">
        <v>100.477</v>
      </c>
      <c r="CL4" s="17">
        <v>88.308999999999997</v>
      </c>
      <c r="CM4" s="17">
        <v>76.367000000000004</v>
      </c>
      <c r="CN4" s="17">
        <v>63.203000000000003</v>
      </c>
      <c r="CO4" s="17">
        <v>49.497999999999998</v>
      </c>
      <c r="CP4" s="17">
        <v>37.978999999999999</v>
      </c>
      <c r="CQ4" s="17">
        <v>30.707000000000001</v>
      </c>
      <c r="CR4" s="17">
        <v>25.6</v>
      </c>
      <c r="CS4" s="17">
        <v>19.617999999999999</v>
      </c>
      <c r="CT4" s="17">
        <v>12.760999999999999</v>
      </c>
      <c r="CU4" s="17">
        <v>9.1080000000000005</v>
      </c>
      <c r="CV4" s="17">
        <v>6.577</v>
      </c>
      <c r="CW4" s="17">
        <v>3.7440000000000002</v>
      </c>
      <c r="CX4" s="17">
        <v>6.3949999999999996</v>
      </c>
      <c r="CY4" s="3">
        <f t="shared" si="1"/>
        <v>163266.02599999998</v>
      </c>
      <c r="DF4" s="3">
        <f>SUM(T4:AA4)</f>
        <v>18586.433000000001</v>
      </c>
      <c r="DG4" s="3">
        <f t="shared" si="2"/>
        <v>0.11384140016980632</v>
      </c>
      <c r="DH4">
        <f>SUM(AA4:BA4)</f>
        <v>61442.679999999993</v>
      </c>
      <c r="DI4" s="9">
        <f t="shared" si="0"/>
        <v>0.37633475564597868</v>
      </c>
    </row>
    <row r="5" spans="1:119">
      <c r="A5" s="4">
        <v>1953</v>
      </c>
      <c r="B5" s="17">
        <v>3740.8409999999999</v>
      </c>
      <c r="C5" s="17">
        <v>3732.6489999999999</v>
      </c>
      <c r="D5" s="17">
        <v>3695.538</v>
      </c>
      <c r="E5" s="17">
        <v>3702.7249999999999</v>
      </c>
      <c r="F5" s="17">
        <v>3575.018</v>
      </c>
      <c r="G5" s="17">
        <v>3441.4169999999999</v>
      </c>
      <c r="H5" s="17">
        <v>3304.1640000000002</v>
      </c>
      <c r="I5" s="17">
        <v>3165.4940000000001</v>
      </c>
      <c r="J5" s="17">
        <v>3027.0410000000002</v>
      </c>
      <c r="K5" s="17">
        <v>2890.4389999999999</v>
      </c>
      <c r="L5" s="17">
        <v>2760.9520000000002</v>
      </c>
      <c r="M5" s="17">
        <v>2642.029</v>
      </c>
      <c r="N5" s="17">
        <v>2534.0920000000001</v>
      </c>
      <c r="O5" s="17">
        <v>2433.5790000000002</v>
      </c>
      <c r="P5" s="17">
        <v>2340.5569999999998</v>
      </c>
      <c r="Q5" s="17">
        <v>2268.1129999999998</v>
      </c>
      <c r="R5" s="17">
        <v>2222.2179999999998</v>
      </c>
      <c r="S5" s="17">
        <v>2197.9960000000001</v>
      </c>
      <c r="T5" s="17">
        <v>2181.0770000000002</v>
      </c>
      <c r="U5" s="17">
        <v>2170.107</v>
      </c>
      <c r="V5" s="17">
        <v>2181.6550000000002</v>
      </c>
      <c r="W5" s="17">
        <v>2221.1590000000001</v>
      </c>
      <c r="X5" s="17">
        <v>2279.12</v>
      </c>
      <c r="Y5" s="17">
        <v>2339.3220000000001</v>
      </c>
      <c r="Z5" s="17">
        <v>2403.4679999999998</v>
      </c>
      <c r="AA5" s="17">
        <v>2459.8110000000001</v>
      </c>
      <c r="AB5" s="17">
        <v>2500.3440000000001</v>
      </c>
      <c r="AC5" s="17">
        <v>2528.2689999999998</v>
      </c>
      <c r="AD5" s="17">
        <v>2557.1729999999998</v>
      </c>
      <c r="AE5" s="17">
        <v>2587.1889999999999</v>
      </c>
      <c r="AF5" s="17">
        <v>2596.5059999999999</v>
      </c>
      <c r="AG5" s="17">
        <v>2576.5279999999998</v>
      </c>
      <c r="AH5" s="17">
        <v>2536.9470000000001</v>
      </c>
      <c r="AI5" s="17">
        <v>2495.0720000000001</v>
      </c>
      <c r="AJ5" s="17">
        <v>2446.2669999999998</v>
      </c>
      <c r="AK5" s="17">
        <v>2406.0140000000001</v>
      </c>
      <c r="AL5" s="17">
        <v>2383.395</v>
      </c>
      <c r="AM5" s="17">
        <v>2370.7260000000001</v>
      </c>
      <c r="AN5" s="17">
        <v>2352.8139999999999</v>
      </c>
      <c r="AO5" s="17">
        <v>2334.578</v>
      </c>
      <c r="AP5" s="17">
        <v>2305.67</v>
      </c>
      <c r="AQ5" s="17">
        <v>2260.0250000000001</v>
      </c>
      <c r="AR5" s="17">
        <v>2204.2979999999998</v>
      </c>
      <c r="AS5" s="17">
        <v>2149.3679999999999</v>
      </c>
      <c r="AT5" s="17">
        <v>2090.8440000000001</v>
      </c>
      <c r="AU5" s="17">
        <v>2044.818</v>
      </c>
      <c r="AV5" s="17">
        <v>2019.6859999999999</v>
      </c>
      <c r="AW5" s="17">
        <v>2006.7729999999999</v>
      </c>
      <c r="AX5" s="17">
        <v>1990.79</v>
      </c>
      <c r="AY5" s="17">
        <v>1976.9269999999999</v>
      </c>
      <c r="AZ5" s="17">
        <v>1948.6289999999999</v>
      </c>
      <c r="BA5" s="17">
        <v>1896.8030000000001</v>
      </c>
      <c r="BB5" s="17">
        <v>1830.4739999999999</v>
      </c>
      <c r="BC5" s="17">
        <v>1766.674</v>
      </c>
      <c r="BD5" s="17">
        <v>1700.6859999999999</v>
      </c>
      <c r="BE5" s="17">
        <v>1645.0150000000001</v>
      </c>
      <c r="BF5" s="17">
        <v>1607.1769999999999</v>
      </c>
      <c r="BG5" s="17">
        <v>1580.3420000000001</v>
      </c>
      <c r="BH5" s="17">
        <v>1550.047</v>
      </c>
      <c r="BI5" s="17">
        <v>1519.046</v>
      </c>
      <c r="BJ5" s="17">
        <v>1484.231</v>
      </c>
      <c r="BK5" s="17">
        <v>1442.5550000000001</v>
      </c>
      <c r="BL5" s="17">
        <v>1395.8589999999999</v>
      </c>
      <c r="BM5" s="17">
        <v>1349.07</v>
      </c>
      <c r="BN5" s="17">
        <v>1301.249</v>
      </c>
      <c r="BO5" s="17">
        <v>1250.538</v>
      </c>
      <c r="BP5" s="17">
        <v>1196.519</v>
      </c>
      <c r="BQ5" s="17">
        <v>1139.537</v>
      </c>
      <c r="BR5" s="17">
        <v>1081.664</v>
      </c>
      <c r="BS5" s="17">
        <v>1024.0550000000001</v>
      </c>
      <c r="BT5" s="17">
        <v>960.25099999999998</v>
      </c>
      <c r="BU5" s="17">
        <v>887.75</v>
      </c>
      <c r="BV5" s="17">
        <v>810.40099999999995</v>
      </c>
      <c r="BW5" s="17">
        <v>734.05799999999999</v>
      </c>
      <c r="BX5" s="17">
        <v>656.96199999999999</v>
      </c>
      <c r="BY5" s="17">
        <v>588.14700000000005</v>
      </c>
      <c r="BZ5" s="17">
        <v>532.52</v>
      </c>
      <c r="CA5" s="17">
        <v>485.99099999999999</v>
      </c>
      <c r="CB5" s="17">
        <v>440.19</v>
      </c>
      <c r="CC5" s="17">
        <v>397.53899999999999</v>
      </c>
      <c r="CD5" s="17">
        <v>353.77</v>
      </c>
      <c r="CE5" s="17">
        <v>306.161</v>
      </c>
      <c r="CF5" s="17">
        <v>257.56799999999998</v>
      </c>
      <c r="CG5" s="17">
        <v>212.922</v>
      </c>
      <c r="CH5" s="17">
        <v>170.46600000000001</v>
      </c>
      <c r="CI5" s="17">
        <v>136.047</v>
      </c>
      <c r="CJ5" s="17">
        <v>112.827</v>
      </c>
      <c r="CK5" s="17">
        <v>97.626000000000005</v>
      </c>
      <c r="CL5" s="17">
        <v>84.03</v>
      </c>
      <c r="CM5" s="17">
        <v>73.611000000000004</v>
      </c>
      <c r="CN5" s="17">
        <v>63.235999999999997</v>
      </c>
      <c r="CO5" s="17">
        <v>51.640999999999998</v>
      </c>
      <c r="CP5" s="17">
        <v>39.284999999999997</v>
      </c>
      <c r="CQ5" s="17">
        <v>29.587</v>
      </c>
      <c r="CR5" s="17">
        <v>24.099</v>
      </c>
      <c r="CS5" s="17">
        <v>19.972999999999999</v>
      </c>
      <c r="CT5" s="17">
        <v>15.182</v>
      </c>
      <c r="CU5" s="17">
        <v>9.7260000000000009</v>
      </c>
      <c r="CV5" s="17">
        <v>6.4889999999999999</v>
      </c>
      <c r="CW5" s="17">
        <v>3.7189999999999999</v>
      </c>
      <c r="CX5" s="17">
        <v>6.45</v>
      </c>
      <c r="CY5" s="3">
        <f t="shared" si="1"/>
        <v>165909.99599999987</v>
      </c>
      <c r="DF5" s="3">
        <f>SUM(T5:AB5)</f>
        <v>20736.063000000002</v>
      </c>
      <c r="DG5" s="3">
        <f t="shared" si="2"/>
        <v>0.12498380748559609</v>
      </c>
      <c r="DH5">
        <f>SUM(AB5:BB5)</f>
        <v>61396.927000000003</v>
      </c>
      <c r="DI5" s="9">
        <f t="shared" si="0"/>
        <v>0.370061650776003</v>
      </c>
    </row>
    <row r="6" spans="1:119">
      <c r="A6" s="4">
        <v>1954</v>
      </c>
      <c r="B6" s="17">
        <v>3807.931</v>
      </c>
      <c r="C6" s="17">
        <v>3814.68</v>
      </c>
      <c r="D6" s="17">
        <v>3790.5720000000001</v>
      </c>
      <c r="E6" s="17">
        <v>3739.248</v>
      </c>
      <c r="F6" s="17">
        <v>3687.415</v>
      </c>
      <c r="G6" s="17">
        <v>3571.0169999999998</v>
      </c>
      <c r="H6" s="17">
        <v>3445.4059999999999</v>
      </c>
      <c r="I6" s="17">
        <v>3313.2440000000001</v>
      </c>
      <c r="J6" s="17">
        <v>3177.1880000000001</v>
      </c>
      <c r="K6" s="17">
        <v>3039.0929999999998</v>
      </c>
      <c r="L6" s="17">
        <v>2900.8110000000001</v>
      </c>
      <c r="M6" s="17">
        <v>2769.04</v>
      </c>
      <c r="N6" s="17">
        <v>2648.058</v>
      </c>
      <c r="O6" s="17">
        <v>2538.1</v>
      </c>
      <c r="P6" s="17">
        <v>2434.66</v>
      </c>
      <c r="Q6" s="17">
        <v>2338.0770000000002</v>
      </c>
      <c r="R6" s="17">
        <v>2262.6170000000002</v>
      </c>
      <c r="S6" s="17">
        <v>2214.7750000000001</v>
      </c>
      <c r="T6" s="17">
        <v>2189.44</v>
      </c>
      <c r="U6" s="17">
        <v>2171.2640000000001</v>
      </c>
      <c r="V6" s="17">
        <v>2158.8240000000001</v>
      </c>
      <c r="W6" s="17">
        <v>2170.346</v>
      </c>
      <c r="X6" s="17">
        <v>2211.9079999999999</v>
      </c>
      <c r="Y6" s="17">
        <v>2273.2190000000001</v>
      </c>
      <c r="Z6" s="17">
        <v>2336.6999999999998</v>
      </c>
      <c r="AA6" s="17">
        <v>2404.415</v>
      </c>
      <c r="AB6" s="17">
        <v>2463.2280000000001</v>
      </c>
      <c r="AC6" s="17">
        <v>2504.3270000000002</v>
      </c>
      <c r="AD6" s="17">
        <v>2531.5720000000001</v>
      </c>
      <c r="AE6" s="17">
        <v>2560.0030000000002</v>
      </c>
      <c r="AF6" s="17">
        <v>2589.4580000000001</v>
      </c>
      <c r="AG6" s="17">
        <v>2598.2919999999999</v>
      </c>
      <c r="AH6" s="17">
        <v>2578.1370000000002</v>
      </c>
      <c r="AI6" s="17">
        <v>2538.5230000000001</v>
      </c>
      <c r="AJ6" s="17">
        <v>2496.288</v>
      </c>
      <c r="AK6" s="17">
        <v>2446.7849999999999</v>
      </c>
      <c r="AL6" s="17">
        <v>2405.989</v>
      </c>
      <c r="AM6" s="17">
        <v>2383.143</v>
      </c>
      <c r="AN6" s="17">
        <v>2370.3090000000002</v>
      </c>
      <c r="AO6" s="17">
        <v>2352.4070000000002</v>
      </c>
      <c r="AP6" s="17">
        <v>2334.9769999999999</v>
      </c>
      <c r="AQ6" s="17">
        <v>2304.5479999999998</v>
      </c>
      <c r="AR6" s="17">
        <v>2253.721</v>
      </c>
      <c r="AS6" s="17">
        <v>2190.9349999999999</v>
      </c>
      <c r="AT6" s="17">
        <v>2129.2049999999999</v>
      </c>
      <c r="AU6" s="17">
        <v>2062.5430000000001</v>
      </c>
      <c r="AV6" s="17">
        <v>2014.5060000000001</v>
      </c>
      <c r="AW6" s="17">
        <v>1997.0450000000001</v>
      </c>
      <c r="AX6" s="17">
        <v>1997.489</v>
      </c>
      <c r="AY6" s="17">
        <v>1993.86</v>
      </c>
      <c r="AZ6" s="17">
        <v>1993.7260000000001</v>
      </c>
      <c r="BA6" s="17">
        <v>1971.8610000000001</v>
      </c>
      <c r="BB6" s="17">
        <v>1914.511</v>
      </c>
      <c r="BC6" s="17">
        <v>1835.252</v>
      </c>
      <c r="BD6" s="17">
        <v>1759.846</v>
      </c>
      <c r="BE6" s="17">
        <v>1681.259</v>
      </c>
      <c r="BF6" s="17">
        <v>1617.723</v>
      </c>
      <c r="BG6" s="17">
        <v>1580.3040000000001</v>
      </c>
      <c r="BH6" s="17">
        <v>1559.0139999999999</v>
      </c>
      <c r="BI6" s="17">
        <v>1532.807</v>
      </c>
      <c r="BJ6" s="17">
        <v>1505.903</v>
      </c>
      <c r="BK6" s="17">
        <v>1473.067</v>
      </c>
      <c r="BL6" s="17">
        <v>1429.578</v>
      </c>
      <c r="BM6" s="17">
        <v>1378.6</v>
      </c>
      <c r="BN6" s="17">
        <v>1328.325</v>
      </c>
      <c r="BO6" s="17">
        <v>1277.4949999999999</v>
      </c>
      <c r="BP6" s="17">
        <v>1223.008</v>
      </c>
      <c r="BQ6" s="17">
        <v>1164.26</v>
      </c>
      <c r="BR6" s="17">
        <v>1102.181</v>
      </c>
      <c r="BS6" s="17">
        <v>1039.3209999999999</v>
      </c>
      <c r="BT6" s="17">
        <v>976.39200000000005</v>
      </c>
      <c r="BU6" s="17">
        <v>909.89200000000005</v>
      </c>
      <c r="BV6" s="17">
        <v>838.73199999999997</v>
      </c>
      <c r="BW6" s="17">
        <v>765.33299999999997</v>
      </c>
      <c r="BX6" s="17">
        <v>692.79499999999996</v>
      </c>
      <c r="BY6" s="17">
        <v>620.00300000000004</v>
      </c>
      <c r="BZ6" s="17">
        <v>554.42600000000004</v>
      </c>
      <c r="CA6" s="17">
        <v>499.94299999999998</v>
      </c>
      <c r="CB6" s="17">
        <v>453.28199999999998</v>
      </c>
      <c r="CC6" s="17">
        <v>407.87799999999999</v>
      </c>
      <c r="CD6" s="17">
        <v>365.76</v>
      </c>
      <c r="CE6" s="17">
        <v>322.91699999999997</v>
      </c>
      <c r="CF6" s="17">
        <v>276.92599999999999</v>
      </c>
      <c r="CG6" s="17">
        <v>230.39099999999999</v>
      </c>
      <c r="CH6" s="17">
        <v>187.69200000000001</v>
      </c>
      <c r="CI6" s="17">
        <v>147.17599999999999</v>
      </c>
      <c r="CJ6" s="17">
        <v>114.627</v>
      </c>
      <c r="CK6" s="17">
        <v>93.114999999999995</v>
      </c>
      <c r="CL6" s="17">
        <v>79.516000000000005</v>
      </c>
      <c r="CM6" s="17">
        <v>67.555000000000007</v>
      </c>
      <c r="CN6" s="17">
        <v>58.887</v>
      </c>
      <c r="CO6" s="17">
        <v>50.082000000000001</v>
      </c>
      <c r="CP6" s="17">
        <v>40.061</v>
      </c>
      <c r="CQ6" s="17">
        <v>29.055</v>
      </c>
      <c r="CR6" s="17">
        <v>21.181000000000001</v>
      </c>
      <c r="CS6" s="17">
        <v>17.478000000000002</v>
      </c>
      <c r="CT6" s="17">
        <v>14.336</v>
      </c>
      <c r="CU6" s="17">
        <v>10.738</v>
      </c>
      <c r="CV6" s="17">
        <v>6.6859999999999999</v>
      </c>
      <c r="CW6" s="17">
        <v>3.6789999999999998</v>
      </c>
      <c r="CX6" s="17">
        <v>6.4770000000000003</v>
      </c>
      <c r="CY6" s="3">
        <f t="shared" si="1"/>
        <v>168736.39000000007</v>
      </c>
      <c r="DF6" s="3">
        <f>SUM(T6:AC6)</f>
        <v>22883.671000000002</v>
      </c>
      <c r="DG6" s="3">
        <f t="shared" si="2"/>
        <v>0.13561787709219092</v>
      </c>
      <c r="DH6">
        <f>SUM(AC6:BC6)</f>
        <v>61349.412000000004</v>
      </c>
      <c r="DI6" s="9">
        <f t="shared" si="0"/>
        <v>0.36358139462388628</v>
      </c>
    </row>
    <row r="7" spans="1:119">
      <c r="A7" s="4">
        <v>1955</v>
      </c>
      <c r="B7" s="17">
        <v>3900.8910000000001</v>
      </c>
      <c r="C7" s="17">
        <v>3904.76</v>
      </c>
      <c r="D7" s="17">
        <v>3880.6779999999999</v>
      </c>
      <c r="E7" s="17">
        <v>3831.7289999999998</v>
      </c>
      <c r="F7" s="17">
        <v>3760.9960000000001</v>
      </c>
      <c r="G7" s="17">
        <v>3671.5610000000001</v>
      </c>
      <c r="H7" s="17">
        <v>3566.5059999999999</v>
      </c>
      <c r="I7" s="17">
        <v>3448.9140000000002</v>
      </c>
      <c r="J7" s="17">
        <v>3321.8679999999999</v>
      </c>
      <c r="K7" s="17">
        <v>3188.45</v>
      </c>
      <c r="L7" s="17">
        <v>3050.732</v>
      </c>
      <c r="M7" s="17">
        <v>2910.788</v>
      </c>
      <c r="N7" s="17">
        <v>2776.75</v>
      </c>
      <c r="O7" s="17">
        <v>2653.721</v>
      </c>
      <c r="P7" s="17">
        <v>2541.7539999999999</v>
      </c>
      <c r="Q7" s="17">
        <v>2435.3969999999999</v>
      </c>
      <c r="R7" s="17">
        <v>2335.2600000000002</v>
      </c>
      <c r="S7" s="17">
        <v>2256.79</v>
      </c>
      <c r="T7" s="17">
        <v>2207.0039999999999</v>
      </c>
      <c r="U7" s="17">
        <v>2180.558</v>
      </c>
      <c r="V7" s="17">
        <v>2161.1239999999998</v>
      </c>
      <c r="W7" s="17">
        <v>2147.2150000000001</v>
      </c>
      <c r="X7" s="17">
        <v>2158.7080000000001</v>
      </c>
      <c r="Y7" s="17">
        <v>2202.326</v>
      </c>
      <c r="Z7" s="17">
        <v>2266.9830000000002</v>
      </c>
      <c r="AA7" s="17">
        <v>2333.741</v>
      </c>
      <c r="AB7" s="17">
        <v>2405.0230000000001</v>
      </c>
      <c r="AC7" s="17">
        <v>2466.3009999999999</v>
      </c>
      <c r="AD7" s="17">
        <v>2507.962</v>
      </c>
      <c r="AE7" s="17">
        <v>2534.5219999999999</v>
      </c>
      <c r="AF7" s="17">
        <v>2562.4749999999999</v>
      </c>
      <c r="AG7" s="17">
        <v>2591.3629999999998</v>
      </c>
      <c r="AH7" s="17">
        <v>2599.712</v>
      </c>
      <c r="AI7" s="17">
        <v>2579.3809999999999</v>
      </c>
      <c r="AJ7" s="17">
        <v>2539.7420000000002</v>
      </c>
      <c r="AK7" s="17">
        <v>2497.1529999999998</v>
      </c>
      <c r="AL7" s="17">
        <v>2446.9569999999999</v>
      </c>
      <c r="AM7" s="17">
        <v>2405.6219999999998</v>
      </c>
      <c r="AN7" s="17">
        <v>2382.5520000000001</v>
      </c>
      <c r="AO7" s="17">
        <v>2369.556</v>
      </c>
      <c r="AP7" s="17">
        <v>2351.6669999999999</v>
      </c>
      <c r="AQ7" s="17">
        <v>2335.0450000000001</v>
      </c>
      <c r="AR7" s="17">
        <v>2303.0990000000002</v>
      </c>
      <c r="AS7" s="17">
        <v>2247.09</v>
      </c>
      <c r="AT7" s="17">
        <v>2177.241</v>
      </c>
      <c r="AU7" s="17">
        <v>2108.7109999999998</v>
      </c>
      <c r="AV7" s="17">
        <v>2033.9090000000001</v>
      </c>
      <c r="AW7" s="17">
        <v>1983.865</v>
      </c>
      <c r="AX7" s="17">
        <v>1974.088</v>
      </c>
      <c r="AY7" s="17">
        <v>1987.9069999999999</v>
      </c>
      <c r="AZ7" s="17">
        <v>1996.6510000000001</v>
      </c>
      <c r="BA7" s="17">
        <v>2010.2650000000001</v>
      </c>
      <c r="BB7" s="17">
        <v>1994.8440000000001</v>
      </c>
      <c r="BC7" s="17">
        <v>1931.971</v>
      </c>
      <c r="BD7" s="17">
        <v>1839.7750000000001</v>
      </c>
      <c r="BE7" s="17">
        <v>1752.7560000000001</v>
      </c>
      <c r="BF7" s="17">
        <v>1661.5619999999999</v>
      </c>
      <c r="BG7" s="17">
        <v>1590.1610000000001</v>
      </c>
      <c r="BH7" s="17">
        <v>1553.1669999999999</v>
      </c>
      <c r="BI7" s="17">
        <v>1537.432</v>
      </c>
      <c r="BJ7" s="17">
        <v>1515.3230000000001</v>
      </c>
      <c r="BK7" s="17">
        <v>1492.5260000000001</v>
      </c>
      <c r="BL7" s="17">
        <v>1461.675</v>
      </c>
      <c r="BM7" s="17">
        <v>1416.3779999999999</v>
      </c>
      <c r="BN7" s="17">
        <v>1361.117</v>
      </c>
      <c r="BO7" s="17">
        <v>1307.3599999999999</v>
      </c>
      <c r="BP7" s="17">
        <v>1253.5229999999999</v>
      </c>
      <c r="BQ7" s="17">
        <v>1195.2619999999999</v>
      </c>
      <c r="BR7" s="17">
        <v>1131.787</v>
      </c>
      <c r="BS7" s="17">
        <v>1064.6130000000001</v>
      </c>
      <c r="BT7" s="17">
        <v>996.76900000000001</v>
      </c>
      <c r="BU7" s="17">
        <v>928.52200000000005</v>
      </c>
      <c r="BV7" s="17">
        <v>859.33299999999997</v>
      </c>
      <c r="BW7" s="17">
        <v>789.52300000000002</v>
      </c>
      <c r="BX7" s="17">
        <v>720.09</v>
      </c>
      <c r="BY7" s="17">
        <v>651.37300000000005</v>
      </c>
      <c r="BZ7" s="17">
        <v>582.904</v>
      </c>
      <c r="CA7" s="17">
        <v>520.57899999999995</v>
      </c>
      <c r="CB7" s="17">
        <v>467.25</v>
      </c>
      <c r="CC7" s="17">
        <v>420.46</v>
      </c>
      <c r="CD7" s="17">
        <v>375.46300000000002</v>
      </c>
      <c r="CE7" s="17">
        <v>333.88400000000001</v>
      </c>
      <c r="CF7" s="17">
        <v>291.97399999999999</v>
      </c>
      <c r="CG7" s="17">
        <v>247.61</v>
      </c>
      <c r="CH7" s="17">
        <v>203.14400000000001</v>
      </c>
      <c r="CI7" s="17">
        <v>162.398</v>
      </c>
      <c r="CJ7" s="17">
        <v>123.83199999999999</v>
      </c>
      <c r="CK7" s="17">
        <v>93.16</v>
      </c>
      <c r="CL7" s="17">
        <v>73.361999999999995</v>
      </c>
      <c r="CM7" s="17">
        <v>61.371000000000002</v>
      </c>
      <c r="CN7" s="17">
        <v>51.046999999999997</v>
      </c>
      <c r="CO7" s="17">
        <v>44.134</v>
      </c>
      <c r="CP7" s="17">
        <v>36.901000000000003</v>
      </c>
      <c r="CQ7" s="17">
        <v>28.459</v>
      </c>
      <c r="CR7" s="17">
        <v>18.806999999999999</v>
      </c>
      <c r="CS7" s="17">
        <v>12.760999999999999</v>
      </c>
      <c r="CT7" s="17">
        <v>10.847</v>
      </c>
      <c r="CU7" s="17">
        <v>8.6890000000000001</v>
      </c>
      <c r="CV7" s="17">
        <v>6.2869999999999999</v>
      </c>
      <c r="CW7" s="17">
        <v>3.641</v>
      </c>
      <c r="CX7" s="17">
        <v>6.468</v>
      </c>
      <c r="CY7" s="3">
        <f t="shared" si="1"/>
        <v>171685.33699999991</v>
      </c>
      <c r="DF7" s="3">
        <f>SUM(T7:AD7)</f>
        <v>25036.945</v>
      </c>
      <c r="DG7" s="3">
        <f t="shared" si="2"/>
        <v>0.1458304211500602</v>
      </c>
      <c r="DH7">
        <f>SUM(AD7:BD7)</f>
        <v>61293.125</v>
      </c>
      <c r="DI7" s="9">
        <f t="shared" si="0"/>
        <v>0.3570085021296841</v>
      </c>
    </row>
    <row r="8" spans="1:119">
      <c r="A8" s="4">
        <v>1956</v>
      </c>
      <c r="B8" s="17">
        <v>4010.5279999999998</v>
      </c>
      <c r="C8" s="17">
        <v>3919.567</v>
      </c>
      <c r="D8" s="17">
        <v>3911.49</v>
      </c>
      <c r="E8" s="17">
        <v>3880.4580000000001</v>
      </c>
      <c r="F8" s="17">
        <v>3828.62</v>
      </c>
      <c r="G8" s="17">
        <v>3758.12</v>
      </c>
      <c r="H8" s="17">
        <v>3672.37</v>
      </c>
      <c r="I8" s="17">
        <v>3574.7730000000001</v>
      </c>
      <c r="J8" s="17">
        <v>3461.18</v>
      </c>
      <c r="K8" s="17">
        <v>3331.22</v>
      </c>
      <c r="L8" s="17">
        <v>3190.82</v>
      </c>
      <c r="M8" s="17">
        <v>3048.1570000000002</v>
      </c>
      <c r="N8" s="17">
        <v>2903.855</v>
      </c>
      <c r="O8" s="17">
        <v>2767.69</v>
      </c>
      <c r="P8" s="17">
        <v>2646.1219999999998</v>
      </c>
      <c r="Q8" s="17">
        <v>2537.9780000000001</v>
      </c>
      <c r="R8" s="17">
        <v>2435.0059999999999</v>
      </c>
      <c r="S8" s="17">
        <v>2338.1080000000002</v>
      </c>
      <c r="T8" s="17">
        <v>2263.221</v>
      </c>
      <c r="U8" s="17">
        <v>2217.241</v>
      </c>
      <c r="V8" s="17">
        <v>2194.5279999999998</v>
      </c>
      <c r="W8" s="17">
        <v>2178.8609999999999</v>
      </c>
      <c r="X8" s="17">
        <v>2169.056</v>
      </c>
      <c r="Y8" s="17">
        <v>2182.3229999999999</v>
      </c>
      <c r="Z8" s="17">
        <v>2224.1709999999998</v>
      </c>
      <c r="AA8" s="17">
        <v>2284.7739999999999</v>
      </c>
      <c r="AB8" s="17">
        <v>2347.6170000000002</v>
      </c>
      <c r="AC8" s="17">
        <v>2414.576</v>
      </c>
      <c r="AD8" s="17">
        <v>2472.5160000000001</v>
      </c>
      <c r="AE8" s="17">
        <v>2512.7449999999999</v>
      </c>
      <c r="AF8" s="17">
        <v>2539.0770000000002</v>
      </c>
      <c r="AG8" s="17">
        <v>2566.4160000000002</v>
      </c>
      <c r="AH8" s="17">
        <v>2594.6559999999999</v>
      </c>
      <c r="AI8" s="17">
        <v>2602.183</v>
      </c>
      <c r="AJ8" s="17">
        <v>2580.6370000000002</v>
      </c>
      <c r="AK8" s="17">
        <v>2539.5839999999998</v>
      </c>
      <c r="AL8" s="17">
        <v>2495.8919999999998</v>
      </c>
      <c r="AM8" s="17">
        <v>2444.9169999999999</v>
      </c>
      <c r="AN8" s="17">
        <v>2402.7399999999998</v>
      </c>
      <c r="AO8" s="17">
        <v>2378.6590000000001</v>
      </c>
      <c r="AP8" s="17">
        <v>2364.7150000000001</v>
      </c>
      <c r="AQ8" s="17">
        <v>2345.808</v>
      </c>
      <c r="AR8" s="17">
        <v>2327.5619999999999</v>
      </c>
      <c r="AS8" s="17">
        <v>2296.2350000000001</v>
      </c>
      <c r="AT8" s="17">
        <v>2244.3150000000001</v>
      </c>
      <c r="AU8" s="17">
        <v>2180.4259999999999</v>
      </c>
      <c r="AV8" s="17">
        <v>2117.4380000000001</v>
      </c>
      <c r="AW8" s="17">
        <v>2048.8519999999999</v>
      </c>
      <c r="AX8" s="17">
        <v>2000.8119999999999</v>
      </c>
      <c r="AY8" s="17">
        <v>1986.3689999999999</v>
      </c>
      <c r="AZ8" s="17">
        <v>1991.3720000000001</v>
      </c>
      <c r="BA8" s="17">
        <v>1991.846</v>
      </c>
      <c r="BB8" s="17">
        <v>1996.4559999999999</v>
      </c>
      <c r="BC8" s="17">
        <v>1974.8969999999999</v>
      </c>
      <c r="BD8" s="17">
        <v>1910.91</v>
      </c>
      <c r="BE8" s="17">
        <v>1820.711</v>
      </c>
      <c r="BF8" s="17">
        <v>1734.837</v>
      </c>
      <c r="BG8" s="17">
        <v>1644.86</v>
      </c>
      <c r="BH8" s="17">
        <v>1573.307</v>
      </c>
      <c r="BI8" s="17">
        <v>1533.722</v>
      </c>
      <c r="BJ8" s="17">
        <v>1513.8510000000001</v>
      </c>
      <c r="BK8" s="17">
        <v>1488.181</v>
      </c>
      <c r="BL8" s="17">
        <v>1462.1569999999999</v>
      </c>
      <c r="BM8" s="17">
        <v>1427.9069999999999</v>
      </c>
      <c r="BN8" s="17">
        <v>1379.057</v>
      </c>
      <c r="BO8" s="17">
        <v>1320.3309999999999</v>
      </c>
      <c r="BP8" s="17">
        <v>1263.2049999999999</v>
      </c>
      <c r="BQ8" s="17">
        <v>1205.837</v>
      </c>
      <c r="BR8" s="17">
        <v>1145.8230000000001</v>
      </c>
      <c r="BS8" s="17">
        <v>1083.2570000000001</v>
      </c>
      <c r="BT8" s="17">
        <v>1018.708</v>
      </c>
      <c r="BU8" s="17">
        <v>953.48</v>
      </c>
      <c r="BV8" s="17">
        <v>888.31200000000001</v>
      </c>
      <c r="BW8" s="17">
        <v>821.21600000000001</v>
      </c>
      <c r="BX8" s="17">
        <v>751.66499999999996</v>
      </c>
      <c r="BY8" s="17">
        <v>681.4</v>
      </c>
      <c r="BZ8" s="17">
        <v>612.35500000000002</v>
      </c>
      <c r="CA8" s="17">
        <v>543.74300000000005</v>
      </c>
      <c r="CB8" s="17">
        <v>481.78100000000001</v>
      </c>
      <c r="CC8" s="17">
        <v>429.64</v>
      </c>
      <c r="CD8" s="17">
        <v>384.64800000000002</v>
      </c>
      <c r="CE8" s="17">
        <v>341.40300000000002</v>
      </c>
      <c r="CF8" s="17">
        <v>301.51299999999998</v>
      </c>
      <c r="CG8" s="17">
        <v>261.94200000000001</v>
      </c>
      <c r="CH8" s="17">
        <v>220.80500000000001</v>
      </c>
      <c r="CI8" s="17">
        <v>180.09</v>
      </c>
      <c r="CJ8" s="17">
        <v>142.291</v>
      </c>
      <c r="CK8" s="17">
        <v>107.524</v>
      </c>
      <c r="CL8" s="17">
        <v>81.341999999999999</v>
      </c>
      <c r="CM8" s="17">
        <v>63.816000000000003</v>
      </c>
      <c r="CN8" s="17">
        <v>52.49</v>
      </c>
      <c r="CO8" s="17">
        <v>43.343000000000004</v>
      </c>
      <c r="CP8" s="17">
        <v>37.43</v>
      </c>
      <c r="CQ8" s="17">
        <v>31.216999999999999</v>
      </c>
      <c r="CR8" s="17">
        <v>23.99</v>
      </c>
      <c r="CS8" s="17">
        <v>15.749000000000001</v>
      </c>
      <c r="CT8" s="17">
        <v>10.734999999999999</v>
      </c>
      <c r="CU8" s="17">
        <v>8.6029999999999998</v>
      </c>
      <c r="CV8" s="17">
        <v>6.2279999999999998</v>
      </c>
      <c r="CW8" s="17">
        <v>3.6110000000000002</v>
      </c>
      <c r="CX8" s="17">
        <v>6.4279999999999999</v>
      </c>
      <c r="CY8" s="3">
        <f t="shared" si="1"/>
        <v>174705.00600000008</v>
      </c>
      <c r="DF8" s="3">
        <f>SUM(T8:AE8)</f>
        <v>27461.629000000001</v>
      </c>
      <c r="DG8" s="3">
        <f t="shared" si="2"/>
        <v>0.15718856390411612</v>
      </c>
      <c r="DH8">
        <f>SUM(AE8:BE8)</f>
        <v>61256.23</v>
      </c>
      <c r="DI8" s="9">
        <f t="shared" si="0"/>
        <v>0.35062664432180024</v>
      </c>
    </row>
    <row r="9" spans="1:119">
      <c r="A9" s="4">
        <v>1957</v>
      </c>
      <c r="B9" s="17">
        <v>4117.7950000000001</v>
      </c>
      <c r="C9" s="17">
        <v>4080.94</v>
      </c>
      <c r="D9" s="17">
        <v>3934.7629999999999</v>
      </c>
      <c r="E9" s="17">
        <v>3914.739</v>
      </c>
      <c r="F9" s="17">
        <v>3876.777</v>
      </c>
      <c r="G9" s="17">
        <v>3822.0920000000001</v>
      </c>
      <c r="H9" s="17">
        <v>3751.8910000000001</v>
      </c>
      <c r="I9" s="17">
        <v>3669.9029999999998</v>
      </c>
      <c r="J9" s="17">
        <v>3579.8589999999999</v>
      </c>
      <c r="K9" s="17">
        <v>3470.3710000000001</v>
      </c>
      <c r="L9" s="17">
        <v>3337.6109999999999</v>
      </c>
      <c r="M9" s="17">
        <v>3190.346</v>
      </c>
      <c r="N9" s="17">
        <v>3042.8620000000001</v>
      </c>
      <c r="O9" s="17">
        <v>2894.3270000000002</v>
      </c>
      <c r="P9" s="17">
        <v>2756.154</v>
      </c>
      <c r="Q9" s="17">
        <v>2636.1550000000002</v>
      </c>
      <c r="R9" s="17">
        <v>2531.9349999999999</v>
      </c>
      <c r="S9" s="17">
        <v>2432.444</v>
      </c>
      <c r="T9" s="17">
        <v>2338.8739999999998</v>
      </c>
      <c r="U9" s="17">
        <v>2267.6410000000001</v>
      </c>
      <c r="V9" s="17">
        <v>2225.5079999999998</v>
      </c>
      <c r="W9" s="17">
        <v>2206.5529999999999</v>
      </c>
      <c r="X9" s="17">
        <v>2194.67</v>
      </c>
      <c r="Y9" s="17">
        <v>2188.9810000000002</v>
      </c>
      <c r="Z9" s="17">
        <v>2204.0129999999999</v>
      </c>
      <c r="AA9" s="17">
        <v>2244.0500000000002</v>
      </c>
      <c r="AB9" s="17">
        <v>2300.5430000000001</v>
      </c>
      <c r="AC9" s="17">
        <v>2359.4110000000001</v>
      </c>
      <c r="AD9" s="17">
        <v>2421.9830000000002</v>
      </c>
      <c r="AE9" s="17">
        <v>2476.5320000000002</v>
      </c>
      <c r="AF9" s="17">
        <v>2515.2910000000002</v>
      </c>
      <c r="AG9" s="17">
        <v>2541.3710000000001</v>
      </c>
      <c r="AH9" s="17">
        <v>2568.0709999999999</v>
      </c>
      <c r="AI9" s="17">
        <v>2595.6390000000001</v>
      </c>
      <c r="AJ9" s="17">
        <v>2602.3359999999998</v>
      </c>
      <c r="AK9" s="17">
        <v>2579.5929999999998</v>
      </c>
      <c r="AL9" s="17">
        <v>2537.1619999999998</v>
      </c>
      <c r="AM9" s="17">
        <v>2492.404</v>
      </c>
      <c r="AN9" s="17">
        <v>2440.6959999999999</v>
      </c>
      <c r="AO9" s="17">
        <v>2397.7109999999998</v>
      </c>
      <c r="AP9" s="17">
        <v>2372.6419999999998</v>
      </c>
      <c r="AQ9" s="17">
        <v>2357.761</v>
      </c>
      <c r="AR9" s="17">
        <v>2337.8519999999999</v>
      </c>
      <c r="AS9" s="17">
        <v>2317.9969999999998</v>
      </c>
      <c r="AT9" s="17">
        <v>2287.319</v>
      </c>
      <c r="AU9" s="17">
        <v>2239.5369999999998</v>
      </c>
      <c r="AV9" s="17">
        <v>2181.67</v>
      </c>
      <c r="AW9" s="17">
        <v>2124.2849999999999</v>
      </c>
      <c r="AX9" s="17">
        <v>2061.982</v>
      </c>
      <c r="AY9" s="17">
        <v>2015.992</v>
      </c>
      <c r="AZ9" s="17">
        <v>1996.8910000000001</v>
      </c>
      <c r="BA9" s="17">
        <v>1993.067</v>
      </c>
      <c r="BB9" s="17">
        <v>1985.2629999999999</v>
      </c>
      <c r="BC9" s="17">
        <v>1980.855</v>
      </c>
      <c r="BD9" s="17">
        <v>1953.172</v>
      </c>
      <c r="BE9" s="17">
        <v>1888.127</v>
      </c>
      <c r="BF9" s="17">
        <v>1800.0070000000001</v>
      </c>
      <c r="BG9" s="17">
        <v>1715.356</v>
      </c>
      <c r="BH9" s="17">
        <v>1626.6769999999999</v>
      </c>
      <c r="BI9" s="17">
        <v>1555.0360000000001</v>
      </c>
      <c r="BJ9" s="17">
        <v>1512.893</v>
      </c>
      <c r="BK9" s="17">
        <v>1488.9</v>
      </c>
      <c r="BL9" s="17">
        <v>1459.6880000000001</v>
      </c>
      <c r="BM9" s="17">
        <v>1430.4580000000001</v>
      </c>
      <c r="BN9" s="17">
        <v>1392.835</v>
      </c>
      <c r="BO9" s="17">
        <v>1340.473</v>
      </c>
      <c r="BP9" s="17">
        <v>1278.3330000000001</v>
      </c>
      <c r="BQ9" s="17">
        <v>1217.885</v>
      </c>
      <c r="BR9" s="17">
        <v>1157.0340000000001</v>
      </c>
      <c r="BS9" s="17">
        <v>1095.319</v>
      </c>
      <c r="BT9" s="17">
        <v>1033.7180000000001</v>
      </c>
      <c r="BU9" s="17">
        <v>971.85500000000002</v>
      </c>
      <c r="BV9" s="17">
        <v>909.303</v>
      </c>
      <c r="BW9" s="17">
        <v>847.27300000000002</v>
      </c>
      <c r="BX9" s="17">
        <v>782.33399999999995</v>
      </c>
      <c r="BY9" s="17">
        <v>713.10299999999995</v>
      </c>
      <c r="BZ9" s="17">
        <v>642.06700000000001</v>
      </c>
      <c r="CA9" s="17">
        <v>572.75599999999997</v>
      </c>
      <c r="CB9" s="17">
        <v>504.06200000000001</v>
      </c>
      <c r="CC9" s="17">
        <v>442.51900000000001</v>
      </c>
      <c r="CD9" s="17">
        <v>391.613</v>
      </c>
      <c r="CE9" s="17">
        <v>348.46</v>
      </c>
      <c r="CF9" s="17">
        <v>307.00700000000001</v>
      </c>
      <c r="CG9" s="17">
        <v>268.84500000000003</v>
      </c>
      <c r="CH9" s="17">
        <v>231.649</v>
      </c>
      <c r="CI9" s="17">
        <v>193.77799999999999</v>
      </c>
      <c r="CJ9" s="17">
        <v>156.85499999999999</v>
      </c>
      <c r="CK9" s="17">
        <v>122.038</v>
      </c>
      <c r="CL9" s="17">
        <v>91.106999999999999</v>
      </c>
      <c r="CM9" s="17">
        <v>69.441000000000003</v>
      </c>
      <c r="CN9" s="17">
        <v>54.204000000000001</v>
      </c>
      <c r="CO9" s="17">
        <v>43.555999999999997</v>
      </c>
      <c r="CP9" s="17">
        <v>35.594000000000001</v>
      </c>
      <c r="CQ9" s="17">
        <v>30.687000000000001</v>
      </c>
      <c r="CR9" s="17">
        <v>25.498999999999999</v>
      </c>
      <c r="CS9" s="17">
        <v>19.495000000000001</v>
      </c>
      <c r="CT9" s="17">
        <v>12.675000000000001</v>
      </c>
      <c r="CU9" s="17">
        <v>8.5519999999999996</v>
      </c>
      <c r="CV9" s="17">
        <v>6.1929999999999996</v>
      </c>
      <c r="CW9" s="17">
        <v>3.585</v>
      </c>
      <c r="CX9" s="17">
        <v>6.351</v>
      </c>
      <c r="CY9" s="3">
        <f t="shared" si="1"/>
        <v>177751.47700000007</v>
      </c>
      <c r="DF9" s="3">
        <f>SUM(T9:AF9)</f>
        <v>29944.05</v>
      </c>
      <c r="DG9" s="3">
        <f t="shared" si="2"/>
        <v>0.16846020356837871</v>
      </c>
      <c r="DH9">
        <f>SUM(AF9:BF9)</f>
        <v>61164.693000000007</v>
      </c>
      <c r="DI9" s="9">
        <f t="shared" si="0"/>
        <v>0.34410230526523267</v>
      </c>
    </row>
    <row r="10" spans="1:119">
      <c r="A10" s="4">
        <v>1958</v>
      </c>
      <c r="B10" s="17">
        <v>4207.4120000000003</v>
      </c>
      <c r="C10" s="17">
        <v>4147.66</v>
      </c>
      <c r="D10" s="17">
        <v>4084.902</v>
      </c>
      <c r="E10" s="17">
        <v>3948.444</v>
      </c>
      <c r="F10" s="17">
        <v>3916.4810000000002</v>
      </c>
      <c r="G10" s="17">
        <v>3871.6089999999999</v>
      </c>
      <c r="H10" s="17">
        <v>3814.098</v>
      </c>
      <c r="I10" s="17">
        <v>3744.2220000000002</v>
      </c>
      <c r="J10" s="17">
        <v>3666.0279999999998</v>
      </c>
      <c r="K10" s="17">
        <v>3583.5680000000002</v>
      </c>
      <c r="L10" s="17">
        <v>3478.2249999999999</v>
      </c>
      <c r="M10" s="17">
        <v>3342.7170000000001</v>
      </c>
      <c r="N10" s="17">
        <v>3188.6469999999999</v>
      </c>
      <c r="O10" s="17">
        <v>3036.3980000000001</v>
      </c>
      <c r="P10" s="17">
        <v>2883.69</v>
      </c>
      <c r="Q10" s="17">
        <v>2743.5639999999999</v>
      </c>
      <c r="R10" s="17">
        <v>2625.18</v>
      </c>
      <c r="S10" s="17">
        <v>2524.9229999999998</v>
      </c>
      <c r="T10" s="17">
        <v>2428.9490000000001</v>
      </c>
      <c r="U10" s="17">
        <v>2338.741</v>
      </c>
      <c r="V10" s="17">
        <v>2271.1869999999999</v>
      </c>
      <c r="W10" s="17">
        <v>2232.9169999999999</v>
      </c>
      <c r="X10" s="17">
        <v>2217.7240000000002</v>
      </c>
      <c r="Y10" s="17">
        <v>2209.6280000000002</v>
      </c>
      <c r="Z10" s="17">
        <v>2208.0549999999998</v>
      </c>
      <c r="AA10" s="17">
        <v>2224.8440000000001</v>
      </c>
      <c r="AB10" s="17">
        <v>2263.058</v>
      </c>
      <c r="AC10" s="17">
        <v>2315.4189999999999</v>
      </c>
      <c r="AD10" s="17">
        <v>2370.2930000000001</v>
      </c>
      <c r="AE10" s="17">
        <v>2428.4549999999999</v>
      </c>
      <c r="AF10" s="17">
        <v>2479.5929999999998</v>
      </c>
      <c r="AG10" s="17">
        <v>2516.87</v>
      </c>
      <c r="AH10" s="17">
        <v>2542.6880000000001</v>
      </c>
      <c r="AI10" s="17">
        <v>2568.7379999999998</v>
      </c>
      <c r="AJ10" s="17">
        <v>2595.6219999999998</v>
      </c>
      <c r="AK10" s="17">
        <v>2601.4879999999998</v>
      </c>
      <c r="AL10" s="17">
        <v>2577.5569999999998</v>
      </c>
      <c r="AM10" s="17">
        <v>2533.7649999999999</v>
      </c>
      <c r="AN10" s="17">
        <v>2487.9580000000001</v>
      </c>
      <c r="AO10" s="17">
        <v>2435.5360000000001</v>
      </c>
      <c r="AP10" s="17">
        <v>2391.7640000000001</v>
      </c>
      <c r="AQ10" s="17">
        <v>2365.7150000000001</v>
      </c>
      <c r="AR10" s="17">
        <v>2349.9029999999998</v>
      </c>
      <c r="AS10" s="17">
        <v>2328.9989999999998</v>
      </c>
      <c r="AT10" s="17">
        <v>2307.5439999999999</v>
      </c>
      <c r="AU10" s="17">
        <v>2277.5250000000001</v>
      </c>
      <c r="AV10" s="17">
        <v>2233.8980000000001</v>
      </c>
      <c r="AW10" s="17">
        <v>2182.0749999999998</v>
      </c>
      <c r="AX10" s="17">
        <v>2130.3119999999999</v>
      </c>
      <c r="AY10" s="17">
        <v>2074.3139999999999</v>
      </c>
      <c r="AZ10" s="17">
        <v>2030.39</v>
      </c>
      <c r="BA10" s="17">
        <v>2006.6410000000001</v>
      </c>
      <c r="BB10" s="17">
        <v>1993.9929999999999</v>
      </c>
      <c r="BC10" s="17">
        <v>1977.9179999999999</v>
      </c>
      <c r="BD10" s="17">
        <v>1964.498</v>
      </c>
      <c r="BE10" s="17">
        <v>1930.704</v>
      </c>
      <c r="BF10" s="17">
        <v>1864.627</v>
      </c>
      <c r="BG10" s="17">
        <v>1778.6179999999999</v>
      </c>
      <c r="BH10" s="17">
        <v>1695.222</v>
      </c>
      <c r="BI10" s="17">
        <v>1607.874</v>
      </c>
      <c r="BJ10" s="17">
        <v>1536.173</v>
      </c>
      <c r="BK10" s="17">
        <v>1491.4880000000001</v>
      </c>
      <c r="BL10" s="17">
        <v>1463.384</v>
      </c>
      <c r="BM10" s="17">
        <v>1430.644</v>
      </c>
      <c r="BN10" s="17">
        <v>1398.2190000000001</v>
      </c>
      <c r="BO10" s="17">
        <v>1357.24</v>
      </c>
      <c r="BP10" s="17">
        <v>1301.3879999999999</v>
      </c>
      <c r="BQ10" s="17">
        <v>1235.857</v>
      </c>
      <c r="BR10" s="17">
        <v>1172.1130000000001</v>
      </c>
      <c r="BS10" s="17">
        <v>1107.8040000000001</v>
      </c>
      <c r="BT10" s="17">
        <v>1044.4100000000001</v>
      </c>
      <c r="BU10" s="17">
        <v>983.79899999999998</v>
      </c>
      <c r="BV10" s="17">
        <v>924.64400000000001</v>
      </c>
      <c r="BW10" s="17">
        <v>864.79100000000005</v>
      </c>
      <c r="BX10" s="17">
        <v>805.92200000000003</v>
      </c>
      <c r="BY10" s="17">
        <v>743.16300000000001</v>
      </c>
      <c r="BZ10" s="17">
        <v>674.28099999999995</v>
      </c>
      <c r="CA10" s="17">
        <v>602.5</v>
      </c>
      <c r="CB10" s="17">
        <v>532.95000000000005</v>
      </c>
      <c r="CC10" s="17">
        <v>464.202</v>
      </c>
      <c r="CD10" s="17">
        <v>403.101</v>
      </c>
      <c r="CE10" s="17">
        <v>353.44900000000001</v>
      </c>
      <c r="CF10" s="17">
        <v>312.15199999999999</v>
      </c>
      <c r="CG10" s="17">
        <v>272.50599999999997</v>
      </c>
      <c r="CH10" s="17">
        <v>236.08500000000001</v>
      </c>
      <c r="CI10" s="17">
        <v>201.27699999999999</v>
      </c>
      <c r="CJ10" s="17">
        <v>166.68700000000001</v>
      </c>
      <c r="CK10" s="17">
        <v>133.56800000000001</v>
      </c>
      <c r="CL10" s="17">
        <v>101.745</v>
      </c>
      <c r="CM10" s="17">
        <v>74.659000000000006</v>
      </c>
      <c r="CN10" s="17">
        <v>57.515999999999998</v>
      </c>
      <c r="CO10" s="17">
        <v>44.576000000000001</v>
      </c>
      <c r="CP10" s="17">
        <v>34.606999999999999</v>
      </c>
      <c r="CQ10" s="17">
        <v>27.832999999999998</v>
      </c>
      <c r="CR10" s="17">
        <v>23.934000000000001</v>
      </c>
      <c r="CS10" s="17">
        <v>19.774000000000001</v>
      </c>
      <c r="CT10" s="17">
        <v>14.994</v>
      </c>
      <c r="CU10" s="17">
        <v>9.5969999999999995</v>
      </c>
      <c r="CV10" s="17">
        <v>6.1630000000000003</v>
      </c>
      <c r="CW10" s="17">
        <v>3.556</v>
      </c>
      <c r="CX10" s="17">
        <v>6.2489999999999997</v>
      </c>
      <c r="CY10" s="3">
        <f t="shared" si="1"/>
        <v>180788.38700000005</v>
      </c>
      <c r="DF10" s="3">
        <f>SUM(T10:AG10)</f>
        <v>32505.733000000004</v>
      </c>
      <c r="DG10" s="3">
        <f t="shared" si="2"/>
        <v>0.17979989500099913</v>
      </c>
      <c r="DH10">
        <f>SUM(AG10:BG10)</f>
        <v>61049.659999999996</v>
      </c>
      <c r="DI10" s="9">
        <f t="shared" si="0"/>
        <v>0.33768573863098839</v>
      </c>
    </row>
    <row r="11" spans="1:119">
      <c r="A11" s="4">
        <v>1959</v>
      </c>
      <c r="B11" s="17">
        <v>4262.7160000000003</v>
      </c>
      <c r="C11" s="17">
        <v>4190.723</v>
      </c>
      <c r="D11" s="17">
        <v>4122.1980000000003</v>
      </c>
      <c r="E11" s="17">
        <v>4055.86</v>
      </c>
      <c r="F11" s="17">
        <v>3962.2959999999998</v>
      </c>
      <c r="G11" s="17">
        <v>3918.4029999999998</v>
      </c>
      <c r="H11" s="17">
        <v>3866.6210000000001</v>
      </c>
      <c r="I11" s="17">
        <v>3806.2860000000001</v>
      </c>
      <c r="J11" s="17">
        <v>3736.73</v>
      </c>
      <c r="K11" s="17">
        <v>3662.3240000000001</v>
      </c>
      <c r="L11" s="17">
        <v>3587.44</v>
      </c>
      <c r="M11" s="17">
        <v>3486.2339999999999</v>
      </c>
      <c r="N11" s="17">
        <v>3347.973</v>
      </c>
      <c r="O11" s="17">
        <v>3187.096</v>
      </c>
      <c r="P11" s="17">
        <v>3030.08</v>
      </c>
      <c r="Q11" s="17">
        <v>2873.194</v>
      </c>
      <c r="R11" s="17">
        <v>2731.1089999999999</v>
      </c>
      <c r="S11" s="17">
        <v>2614.3319999999999</v>
      </c>
      <c r="T11" s="17">
        <v>2518.029</v>
      </c>
      <c r="U11" s="17">
        <v>2425.5659999999998</v>
      </c>
      <c r="V11" s="17">
        <v>2338.7130000000002</v>
      </c>
      <c r="W11" s="17">
        <v>2274.8319999999999</v>
      </c>
      <c r="X11" s="17">
        <v>2240.42</v>
      </c>
      <c r="Y11" s="17">
        <v>2228.9870000000001</v>
      </c>
      <c r="Z11" s="17">
        <v>2224.674</v>
      </c>
      <c r="AA11" s="17">
        <v>2227.2150000000001</v>
      </c>
      <c r="AB11" s="17">
        <v>2245.7600000000002</v>
      </c>
      <c r="AC11" s="17">
        <v>2282.1529999999998</v>
      </c>
      <c r="AD11" s="17">
        <v>2330.3879999999999</v>
      </c>
      <c r="AE11" s="17">
        <v>2381.2730000000001</v>
      </c>
      <c r="AF11" s="17">
        <v>2435.0320000000002</v>
      </c>
      <c r="AG11" s="17">
        <v>2482.7640000000001</v>
      </c>
      <c r="AH11" s="17">
        <v>2518.5590000000002</v>
      </c>
      <c r="AI11" s="17">
        <v>2544.1170000000002</v>
      </c>
      <c r="AJ11" s="17">
        <v>2569.5189999999998</v>
      </c>
      <c r="AK11" s="17">
        <v>2595.7220000000002</v>
      </c>
      <c r="AL11" s="17">
        <v>2600.7550000000001</v>
      </c>
      <c r="AM11" s="17">
        <v>2575.6370000000002</v>
      </c>
      <c r="AN11" s="17">
        <v>2530.4810000000002</v>
      </c>
      <c r="AO11" s="17">
        <v>2483.627</v>
      </c>
      <c r="AP11" s="17">
        <v>2430.4879999999998</v>
      </c>
      <c r="AQ11" s="17">
        <v>2385.9259999999999</v>
      </c>
      <c r="AR11" s="17">
        <v>2358.8969999999999</v>
      </c>
      <c r="AS11" s="17">
        <v>2342.1559999999999</v>
      </c>
      <c r="AT11" s="17">
        <v>2320.2559999999999</v>
      </c>
      <c r="AU11" s="17">
        <v>2297.1999999999998</v>
      </c>
      <c r="AV11" s="17">
        <v>2267.84</v>
      </c>
      <c r="AW11" s="17">
        <v>2228.3609999999999</v>
      </c>
      <c r="AX11" s="17">
        <v>2182.5740000000001</v>
      </c>
      <c r="AY11" s="17">
        <v>2136.4279999999999</v>
      </c>
      <c r="AZ11" s="17">
        <v>2086.7260000000001</v>
      </c>
      <c r="BA11" s="17">
        <v>2044.867</v>
      </c>
      <c r="BB11" s="17">
        <v>2016.472</v>
      </c>
      <c r="BC11" s="17">
        <v>1995.0050000000001</v>
      </c>
      <c r="BD11" s="17">
        <v>1970.664</v>
      </c>
      <c r="BE11" s="17">
        <v>1948.2380000000001</v>
      </c>
      <c r="BF11" s="17">
        <v>1908.336</v>
      </c>
      <c r="BG11" s="17">
        <v>1841.223</v>
      </c>
      <c r="BH11" s="17">
        <v>1757.3209999999999</v>
      </c>
      <c r="BI11" s="17">
        <v>1675.175</v>
      </c>
      <c r="BJ11" s="17">
        <v>1589.153</v>
      </c>
      <c r="BK11" s="17">
        <v>1517.3879999999999</v>
      </c>
      <c r="BL11" s="17">
        <v>1470.162</v>
      </c>
      <c r="BM11" s="17">
        <v>1437.9480000000001</v>
      </c>
      <c r="BN11" s="17">
        <v>1401.68</v>
      </c>
      <c r="BO11" s="17">
        <v>1366.0630000000001</v>
      </c>
      <c r="BP11" s="17">
        <v>1321.7280000000001</v>
      </c>
      <c r="BQ11" s="17">
        <v>1262.384</v>
      </c>
      <c r="BR11" s="17">
        <v>1193.462</v>
      </c>
      <c r="BS11" s="17">
        <v>1126.422</v>
      </c>
      <c r="BT11" s="17">
        <v>1058.653</v>
      </c>
      <c r="BU11" s="17">
        <v>993.58</v>
      </c>
      <c r="BV11" s="17">
        <v>933.95500000000004</v>
      </c>
      <c r="BW11" s="17">
        <v>877.50199999999995</v>
      </c>
      <c r="BX11" s="17">
        <v>820.34299999999996</v>
      </c>
      <c r="BY11" s="17">
        <v>764.63099999999997</v>
      </c>
      <c r="BZ11" s="17">
        <v>704.048</v>
      </c>
      <c r="CA11" s="17">
        <v>635.50900000000001</v>
      </c>
      <c r="CB11" s="17">
        <v>562.98400000000004</v>
      </c>
      <c r="CC11" s="17">
        <v>493.19299999999998</v>
      </c>
      <c r="CD11" s="17">
        <v>424.38600000000002</v>
      </c>
      <c r="CE11" s="17">
        <v>363.72500000000002</v>
      </c>
      <c r="CF11" s="17">
        <v>315.32600000000002</v>
      </c>
      <c r="CG11" s="17">
        <v>275.88</v>
      </c>
      <c r="CH11" s="17">
        <v>238.03800000000001</v>
      </c>
      <c r="CI11" s="17">
        <v>203.35499999999999</v>
      </c>
      <c r="CJ11" s="17">
        <v>170.934</v>
      </c>
      <c r="CK11" s="17">
        <v>139.619</v>
      </c>
      <c r="CL11" s="17">
        <v>110.301</v>
      </c>
      <c r="CM11" s="17">
        <v>81.471000000000004</v>
      </c>
      <c r="CN11" s="17">
        <v>58.225999999999999</v>
      </c>
      <c r="CO11" s="17">
        <v>45.603000000000002</v>
      </c>
      <c r="CP11" s="17">
        <v>34.954999999999998</v>
      </c>
      <c r="CQ11" s="17">
        <v>25.666</v>
      </c>
      <c r="CR11" s="17">
        <v>20.079000000000001</v>
      </c>
      <c r="CS11" s="17">
        <v>17.187999999999999</v>
      </c>
      <c r="CT11" s="17">
        <v>14.053000000000001</v>
      </c>
      <c r="CU11" s="17">
        <v>10.497999999999999</v>
      </c>
      <c r="CV11" s="17">
        <v>6.52</v>
      </c>
      <c r="CW11" s="17">
        <v>3.512</v>
      </c>
      <c r="CX11" s="17">
        <v>6.1349999999999998</v>
      </c>
      <c r="CY11" s="3">
        <f t="shared" si="1"/>
        <v>183786.24899999992</v>
      </c>
      <c r="DF11" s="3">
        <f>SUM(T11:AH11)</f>
        <v>35154.364999999991</v>
      </c>
      <c r="DG11" s="3">
        <f t="shared" si="2"/>
        <v>0.19127853792804708</v>
      </c>
      <c r="DH11">
        <f>SUM(AH11:BH11)</f>
        <v>60937.395000000004</v>
      </c>
      <c r="DI11" s="9">
        <f t="shared" si="0"/>
        <v>0.33156667232487036</v>
      </c>
    </row>
    <row r="12" spans="1:119">
      <c r="A12" s="4">
        <v>1960</v>
      </c>
      <c r="B12" s="17">
        <v>4268.8159999999998</v>
      </c>
      <c r="C12" s="17">
        <v>4203.3220000000001</v>
      </c>
      <c r="D12" s="17">
        <v>4142.9669999999996</v>
      </c>
      <c r="E12" s="17">
        <v>4086.1480000000001</v>
      </c>
      <c r="F12" s="17">
        <v>4031.2640000000001</v>
      </c>
      <c r="G12" s="17">
        <v>3976.7109999999998</v>
      </c>
      <c r="H12" s="17">
        <v>3920.8890000000001</v>
      </c>
      <c r="I12" s="17">
        <v>3862.1950000000002</v>
      </c>
      <c r="J12" s="17">
        <v>3799.027</v>
      </c>
      <c r="K12" s="17">
        <v>3729.7820000000002</v>
      </c>
      <c r="L12" s="17">
        <v>3659.1529999999998</v>
      </c>
      <c r="M12" s="17">
        <v>3591.828</v>
      </c>
      <c r="N12" s="17">
        <v>3494.7429999999999</v>
      </c>
      <c r="O12" s="17">
        <v>3353.7109999999998</v>
      </c>
      <c r="P12" s="17">
        <v>3186.0059999999999</v>
      </c>
      <c r="Q12" s="17">
        <v>3024.2020000000002</v>
      </c>
      <c r="R12" s="17">
        <v>2863.1170000000002</v>
      </c>
      <c r="S12" s="17">
        <v>2719.0529999999999</v>
      </c>
      <c r="T12" s="17">
        <v>2603.8649999999998</v>
      </c>
      <c r="U12" s="17">
        <v>2511.5</v>
      </c>
      <c r="V12" s="17">
        <v>2422.529</v>
      </c>
      <c r="W12" s="17">
        <v>2339.0160000000001</v>
      </c>
      <c r="X12" s="17">
        <v>2278.797</v>
      </c>
      <c r="Y12" s="17">
        <v>2248.2379999999998</v>
      </c>
      <c r="Z12" s="17">
        <v>2240.56</v>
      </c>
      <c r="AA12" s="17">
        <v>2240.0300000000002</v>
      </c>
      <c r="AB12" s="17">
        <v>2246.6840000000002</v>
      </c>
      <c r="AC12" s="17">
        <v>2266.989</v>
      </c>
      <c r="AD12" s="17">
        <v>2301.5659999999998</v>
      </c>
      <c r="AE12" s="17">
        <v>2345.683</v>
      </c>
      <c r="AF12" s="17">
        <v>2392.587</v>
      </c>
      <c r="AG12" s="17">
        <v>2441.9520000000002</v>
      </c>
      <c r="AH12" s="17">
        <v>2486.2860000000001</v>
      </c>
      <c r="AI12" s="17">
        <v>2520.6060000000002</v>
      </c>
      <c r="AJ12" s="17">
        <v>2545.9070000000002</v>
      </c>
      <c r="AK12" s="17">
        <v>2570.6660000000002</v>
      </c>
      <c r="AL12" s="17">
        <v>2596.19</v>
      </c>
      <c r="AM12" s="17">
        <v>2600.3939999999998</v>
      </c>
      <c r="AN12" s="17">
        <v>2574.0839999999998</v>
      </c>
      <c r="AO12" s="17">
        <v>2527.5610000000001</v>
      </c>
      <c r="AP12" s="17">
        <v>2479.65</v>
      </c>
      <c r="AQ12" s="17">
        <v>2425.7890000000002</v>
      </c>
      <c r="AR12" s="17">
        <v>2380.4299999999998</v>
      </c>
      <c r="AS12" s="17">
        <v>2352.4169999999999</v>
      </c>
      <c r="AT12" s="17">
        <v>2334.7440000000001</v>
      </c>
      <c r="AU12" s="17">
        <v>2311.8470000000002</v>
      </c>
      <c r="AV12" s="17">
        <v>2287.1880000000001</v>
      </c>
      <c r="AW12" s="17">
        <v>2258.4810000000002</v>
      </c>
      <c r="AX12" s="17">
        <v>2223.1439999999998</v>
      </c>
      <c r="AY12" s="17">
        <v>2183.3809999999999</v>
      </c>
      <c r="AZ12" s="17">
        <v>2142.8420000000001</v>
      </c>
      <c r="BA12" s="17">
        <v>2099.4259999999999</v>
      </c>
      <c r="BB12" s="17">
        <v>2059.6219999999998</v>
      </c>
      <c r="BC12" s="17">
        <v>2026.579</v>
      </c>
      <c r="BD12" s="17">
        <v>1996.296</v>
      </c>
      <c r="BE12" s="17">
        <v>1963.6890000000001</v>
      </c>
      <c r="BF12" s="17">
        <v>1932.259</v>
      </c>
      <c r="BG12" s="17">
        <v>1886.2460000000001</v>
      </c>
      <c r="BH12" s="17">
        <v>1818.09</v>
      </c>
      <c r="BI12" s="17">
        <v>1736.278</v>
      </c>
      <c r="BJ12" s="17">
        <v>1655.37</v>
      </c>
      <c r="BK12" s="17">
        <v>1570.6590000000001</v>
      </c>
      <c r="BL12" s="17">
        <v>1498.8209999999999</v>
      </c>
      <c r="BM12" s="17">
        <v>1449.048</v>
      </c>
      <c r="BN12" s="17">
        <v>1412.722</v>
      </c>
      <c r="BO12" s="17">
        <v>1372.924</v>
      </c>
      <c r="BP12" s="17">
        <v>1334.1089999999999</v>
      </c>
      <c r="BQ12" s="17">
        <v>1286.4159999999999</v>
      </c>
      <c r="BR12" s="17">
        <v>1223.5740000000001</v>
      </c>
      <c r="BS12" s="17">
        <v>1151.2529999999999</v>
      </c>
      <c r="BT12" s="17">
        <v>1080.9079999999999</v>
      </c>
      <c r="BU12" s="17">
        <v>1009.671</v>
      </c>
      <c r="BV12" s="17">
        <v>942.91099999999994</v>
      </c>
      <c r="BW12" s="17">
        <v>884.26199999999994</v>
      </c>
      <c r="BX12" s="17">
        <v>830.50300000000004</v>
      </c>
      <c r="BY12" s="17">
        <v>776.02800000000002</v>
      </c>
      <c r="BZ12" s="17">
        <v>723.46100000000001</v>
      </c>
      <c r="CA12" s="17">
        <v>665.04600000000005</v>
      </c>
      <c r="CB12" s="17">
        <v>596.84100000000001</v>
      </c>
      <c r="CC12" s="17">
        <v>523.56200000000001</v>
      </c>
      <c r="CD12" s="17">
        <v>453.51900000000001</v>
      </c>
      <c r="CE12" s="17">
        <v>384.64699999999999</v>
      </c>
      <c r="CF12" s="17">
        <v>324.41699999999997</v>
      </c>
      <c r="CG12" s="17">
        <v>277.262</v>
      </c>
      <c r="CH12" s="17">
        <v>239.66300000000001</v>
      </c>
      <c r="CI12" s="17">
        <v>203.619</v>
      </c>
      <c r="CJ12" s="17">
        <v>170.66900000000001</v>
      </c>
      <c r="CK12" s="17">
        <v>140.62899999999999</v>
      </c>
      <c r="CL12" s="17">
        <v>112.584</v>
      </c>
      <c r="CM12" s="17">
        <v>87.061000000000007</v>
      </c>
      <c r="CN12" s="17">
        <v>61.216000000000001</v>
      </c>
      <c r="CO12" s="17">
        <v>41.808999999999997</v>
      </c>
      <c r="CP12" s="17">
        <v>33.701999999999998</v>
      </c>
      <c r="CQ12" s="17">
        <v>25.343</v>
      </c>
      <c r="CR12" s="17">
        <v>16.731999999999999</v>
      </c>
      <c r="CS12" s="17">
        <v>12.331</v>
      </c>
      <c r="CT12" s="17">
        <v>10.446</v>
      </c>
      <c r="CU12" s="17">
        <v>8.3379999999999992</v>
      </c>
      <c r="CV12" s="17">
        <v>6.0039999999999996</v>
      </c>
      <c r="CW12" s="17">
        <v>3.4470000000000001</v>
      </c>
      <c r="CX12" s="17">
        <v>6.0209999999999999</v>
      </c>
      <c r="CY12" s="3">
        <f t="shared" si="1"/>
        <v>186720.56999999989</v>
      </c>
      <c r="DF12" s="3">
        <f>SUM(T12:AI12)</f>
        <v>37886.887999999999</v>
      </c>
      <c r="DG12" s="3">
        <f t="shared" si="2"/>
        <v>0.2029068784440837</v>
      </c>
      <c r="DH12">
        <f>SUM(AI12:BI12)</f>
        <v>60833.805999999997</v>
      </c>
      <c r="DI12" s="9">
        <f t="shared" si="0"/>
        <v>0.32580130834005078</v>
      </c>
    </row>
    <row r="13" spans="1:119">
      <c r="A13" s="4">
        <v>1961</v>
      </c>
      <c r="B13" s="17">
        <v>4217.9269999999997</v>
      </c>
      <c r="C13" s="17">
        <v>4252.7169999999996</v>
      </c>
      <c r="D13" s="17">
        <v>4202.7240000000002</v>
      </c>
      <c r="E13" s="17">
        <v>4152.2520000000004</v>
      </c>
      <c r="F13" s="17">
        <v>4100.5969999999998</v>
      </c>
      <c r="G13" s="17">
        <v>4047.0549999999998</v>
      </c>
      <c r="H13" s="17">
        <v>3990.1509999999998</v>
      </c>
      <c r="I13" s="17">
        <v>3928.4079999999999</v>
      </c>
      <c r="J13" s="17">
        <v>3864.9810000000002</v>
      </c>
      <c r="K13" s="17">
        <v>3800.7080000000001</v>
      </c>
      <c r="L13" s="17">
        <v>3732.5720000000001</v>
      </c>
      <c r="M13" s="17">
        <v>3661.317</v>
      </c>
      <c r="N13" s="17">
        <v>3592.326</v>
      </c>
      <c r="O13" s="17">
        <v>3494.4789999999998</v>
      </c>
      <c r="P13" s="17">
        <v>3354.1370000000002</v>
      </c>
      <c r="Q13" s="17">
        <v>3188.0709999999999</v>
      </c>
      <c r="R13" s="17">
        <v>3027.7280000000001</v>
      </c>
      <c r="S13" s="17">
        <v>2868.0590000000002</v>
      </c>
      <c r="T13" s="17">
        <v>2725.4479999999999</v>
      </c>
      <c r="U13" s="17">
        <v>2611.6469999999999</v>
      </c>
      <c r="V13" s="17">
        <v>2520.5459999999998</v>
      </c>
      <c r="W13" s="17">
        <v>2432.8270000000002</v>
      </c>
      <c r="X13" s="17">
        <v>2350.6080000000002</v>
      </c>
      <c r="Y13" s="17">
        <v>2290.9459999999999</v>
      </c>
      <c r="Z13" s="17">
        <v>2259.8589999999999</v>
      </c>
      <c r="AA13" s="17">
        <v>2250.9110000000001</v>
      </c>
      <c r="AB13" s="17">
        <v>2249.0949999999998</v>
      </c>
      <c r="AC13" s="17">
        <v>2254.3560000000002</v>
      </c>
      <c r="AD13" s="17">
        <v>2273.1880000000001</v>
      </c>
      <c r="AE13" s="17">
        <v>2306.317</v>
      </c>
      <c r="AF13" s="17">
        <v>2349.011</v>
      </c>
      <c r="AG13" s="17">
        <v>2394.3829999999998</v>
      </c>
      <c r="AH13" s="17">
        <v>2442.0940000000001</v>
      </c>
      <c r="AI13" s="17">
        <v>2485.0909999999999</v>
      </c>
      <c r="AJ13" s="17">
        <v>2518.5859999999998</v>
      </c>
      <c r="AK13" s="17">
        <v>2543.3890000000001</v>
      </c>
      <c r="AL13" s="17">
        <v>2567.5839999999998</v>
      </c>
      <c r="AM13" s="17">
        <v>2592.5340000000001</v>
      </c>
      <c r="AN13" s="17">
        <v>2596.125</v>
      </c>
      <c r="AO13" s="17">
        <v>2569.0990000000002</v>
      </c>
      <c r="AP13" s="17">
        <v>2521.768</v>
      </c>
      <c r="AQ13" s="17">
        <v>2473.134</v>
      </c>
      <c r="AR13" s="17">
        <v>2418.7150000000001</v>
      </c>
      <c r="AS13" s="17">
        <v>2372.3429999999998</v>
      </c>
      <c r="AT13" s="17">
        <v>2342.61</v>
      </c>
      <c r="AU13" s="17">
        <v>2322.8409999999999</v>
      </c>
      <c r="AV13" s="17">
        <v>2297.8009999999999</v>
      </c>
      <c r="AW13" s="17">
        <v>2270.5639999999999</v>
      </c>
      <c r="AX13" s="17">
        <v>2240.6579999999999</v>
      </c>
      <c r="AY13" s="17">
        <v>2206.3290000000002</v>
      </c>
      <c r="AZ13" s="17">
        <v>2168.7860000000001</v>
      </c>
      <c r="BA13" s="17">
        <v>2130.212</v>
      </c>
      <c r="BB13" s="17">
        <v>2089.241</v>
      </c>
      <c r="BC13" s="17">
        <v>2049.3049999999998</v>
      </c>
      <c r="BD13" s="17">
        <v>2012.0309999999999</v>
      </c>
      <c r="BE13" s="17">
        <v>1975.0409999999999</v>
      </c>
      <c r="BF13" s="17">
        <v>1936.1679999999999</v>
      </c>
      <c r="BG13" s="17">
        <v>1898.0509999999999</v>
      </c>
      <c r="BH13" s="17">
        <v>1847.65</v>
      </c>
      <c r="BI13" s="17">
        <v>1778.9649999999999</v>
      </c>
      <c r="BJ13" s="17">
        <v>1699.056</v>
      </c>
      <c r="BK13" s="17">
        <v>1619.6020000000001</v>
      </c>
      <c r="BL13" s="17">
        <v>1536.604</v>
      </c>
      <c r="BM13" s="17">
        <v>1465.393</v>
      </c>
      <c r="BN13" s="17">
        <v>1414.248</v>
      </c>
      <c r="BO13" s="17">
        <v>1375.3420000000001</v>
      </c>
      <c r="BP13" s="17">
        <v>1333.373</v>
      </c>
      <c r="BQ13" s="17">
        <v>1292.366</v>
      </c>
      <c r="BR13" s="17">
        <v>1243.2070000000001</v>
      </c>
      <c r="BS13" s="17">
        <v>1180.1289999999999</v>
      </c>
      <c r="BT13" s="17">
        <v>1108.319</v>
      </c>
      <c r="BU13" s="17">
        <v>1038.4559999999999</v>
      </c>
      <c r="BV13" s="17">
        <v>968.07799999999997</v>
      </c>
      <c r="BW13" s="17">
        <v>901.18499999999995</v>
      </c>
      <c r="BX13" s="17">
        <v>840.73800000000006</v>
      </c>
      <c r="BY13" s="17">
        <v>784.30899999999997</v>
      </c>
      <c r="BZ13" s="17">
        <v>727.59799999999996</v>
      </c>
      <c r="CA13" s="17">
        <v>672.77</v>
      </c>
      <c r="CB13" s="17">
        <v>613.83699999999999</v>
      </c>
      <c r="CC13" s="17">
        <v>547.81600000000003</v>
      </c>
      <c r="CD13" s="17">
        <v>478.505</v>
      </c>
      <c r="CE13" s="17">
        <v>412.33800000000002</v>
      </c>
      <c r="CF13" s="17">
        <v>347.601</v>
      </c>
      <c r="CG13" s="17">
        <v>291.23200000000003</v>
      </c>
      <c r="CH13" s="17">
        <v>247.19900000000001</v>
      </c>
      <c r="CI13" s="17">
        <v>212.262</v>
      </c>
      <c r="CJ13" s="17">
        <v>178.589</v>
      </c>
      <c r="CK13" s="17">
        <v>148.89500000000001</v>
      </c>
      <c r="CL13" s="17">
        <v>122.631</v>
      </c>
      <c r="CM13" s="17">
        <v>97.528999999999996</v>
      </c>
      <c r="CN13" s="17">
        <v>74.009</v>
      </c>
      <c r="CO13" s="17">
        <v>51.5</v>
      </c>
      <c r="CP13" s="17">
        <v>35.520000000000003</v>
      </c>
      <c r="CQ13" s="17">
        <v>28.568000000000001</v>
      </c>
      <c r="CR13" s="17">
        <v>21.402999999999999</v>
      </c>
      <c r="CS13" s="17">
        <v>14.023999999999999</v>
      </c>
      <c r="CT13" s="17">
        <v>10.281000000000001</v>
      </c>
      <c r="CU13" s="17">
        <v>8.1519999999999992</v>
      </c>
      <c r="CV13" s="17">
        <v>5.8449999999999998</v>
      </c>
      <c r="CW13" s="17">
        <v>3.359</v>
      </c>
      <c r="CX13" s="17">
        <v>5.9160000000000004</v>
      </c>
      <c r="CY13" s="3">
        <f t="shared" si="1"/>
        <v>189569.84999999986</v>
      </c>
      <c r="DF13" s="3">
        <f>SUM(T13:AJ13)</f>
        <v>40714.913</v>
      </c>
      <c r="DG13" s="3">
        <f t="shared" si="2"/>
        <v>0.21477525566433708</v>
      </c>
      <c r="DH13">
        <f>SUM(AJ13:BJ13)</f>
        <v>60438.585999999996</v>
      </c>
      <c r="DI13" s="9">
        <f t="shared" si="0"/>
        <v>0.31881961187393482</v>
      </c>
    </row>
    <row r="14" spans="1:119">
      <c r="A14" s="4">
        <v>1962</v>
      </c>
      <c r="B14" s="17">
        <v>4115.5020000000004</v>
      </c>
      <c r="C14" s="17">
        <v>4128.8050000000003</v>
      </c>
      <c r="D14" s="17">
        <v>4238.567</v>
      </c>
      <c r="E14" s="17">
        <v>4204.0540000000001</v>
      </c>
      <c r="F14" s="17">
        <v>4163.4449999999997</v>
      </c>
      <c r="G14" s="17">
        <v>4116.9319999999998</v>
      </c>
      <c r="H14" s="17">
        <v>4064.7089999999998</v>
      </c>
      <c r="I14" s="17">
        <v>4005.4259999999999</v>
      </c>
      <c r="J14" s="17">
        <v>3937.7330000000002</v>
      </c>
      <c r="K14" s="17">
        <v>3869.5410000000002</v>
      </c>
      <c r="L14" s="17">
        <v>3804.1350000000002</v>
      </c>
      <c r="M14" s="17">
        <v>3737.0749999999998</v>
      </c>
      <c r="N14" s="17">
        <v>3665.165</v>
      </c>
      <c r="O14" s="17">
        <v>3594.473</v>
      </c>
      <c r="P14" s="17">
        <v>3495.819</v>
      </c>
      <c r="Q14" s="17">
        <v>3356.1030000000001</v>
      </c>
      <c r="R14" s="17">
        <v>3191.6</v>
      </c>
      <c r="S14" s="17">
        <v>3032.6419999999998</v>
      </c>
      <c r="T14" s="17">
        <v>2874.3150000000001</v>
      </c>
      <c r="U14" s="17">
        <v>2733.0920000000001</v>
      </c>
      <c r="V14" s="17">
        <v>2620.6260000000002</v>
      </c>
      <c r="W14" s="17">
        <v>2530.748</v>
      </c>
      <c r="X14" s="17">
        <v>2444.241</v>
      </c>
      <c r="Y14" s="17">
        <v>2363.2739999999999</v>
      </c>
      <c r="Z14" s="17">
        <v>2304.145</v>
      </c>
      <c r="AA14" s="17">
        <v>2272.5169999999998</v>
      </c>
      <c r="AB14" s="17">
        <v>2262.2919999999999</v>
      </c>
      <c r="AC14" s="17">
        <v>2259.192</v>
      </c>
      <c r="AD14" s="17">
        <v>2263.0630000000001</v>
      </c>
      <c r="AE14" s="17">
        <v>2280.4299999999998</v>
      </c>
      <c r="AF14" s="17">
        <v>2312.125</v>
      </c>
      <c r="AG14" s="17">
        <v>2353.415</v>
      </c>
      <c r="AH14" s="17">
        <v>2397.2730000000001</v>
      </c>
      <c r="AI14" s="17">
        <v>2443.3510000000001</v>
      </c>
      <c r="AJ14" s="17">
        <v>2485.0300000000002</v>
      </c>
      <c r="AK14" s="17">
        <v>2517.7150000000001</v>
      </c>
      <c r="AL14" s="17">
        <v>2542.0320000000002</v>
      </c>
      <c r="AM14" s="17">
        <v>2565.6729999999998</v>
      </c>
      <c r="AN14" s="17">
        <v>2590.06</v>
      </c>
      <c r="AO14" s="17">
        <v>2593.038</v>
      </c>
      <c r="AP14" s="17">
        <v>2565.2840000000001</v>
      </c>
      <c r="AQ14" s="17">
        <v>2517.1239999999998</v>
      </c>
      <c r="AR14" s="17">
        <v>2467.7420000000002</v>
      </c>
      <c r="AS14" s="17">
        <v>2412.7399999999998</v>
      </c>
      <c r="AT14" s="17">
        <v>2365.335</v>
      </c>
      <c r="AU14" s="17">
        <v>2333.866</v>
      </c>
      <c r="AV14" s="17">
        <v>2311.9940000000001</v>
      </c>
      <c r="AW14" s="17">
        <v>2284.797</v>
      </c>
      <c r="AX14" s="17">
        <v>2254.9699999999998</v>
      </c>
      <c r="AY14" s="17">
        <v>2223.8490000000002</v>
      </c>
      <c r="AZ14" s="17">
        <v>2190.5129999999999</v>
      </c>
      <c r="BA14" s="17">
        <v>2155.172</v>
      </c>
      <c r="BB14" s="17">
        <v>2118.5479999999998</v>
      </c>
      <c r="BC14" s="17">
        <v>2080</v>
      </c>
      <c r="BD14" s="17">
        <v>2039.915</v>
      </c>
      <c r="BE14" s="17">
        <v>1998.39</v>
      </c>
      <c r="BF14" s="17">
        <v>1954.673</v>
      </c>
      <c r="BG14" s="17">
        <v>1909.5160000000001</v>
      </c>
      <c r="BH14" s="17">
        <v>1864.692</v>
      </c>
      <c r="BI14" s="17">
        <v>1809.8789999999999</v>
      </c>
      <c r="BJ14" s="17">
        <v>1740.633</v>
      </c>
      <c r="BK14" s="17">
        <v>1662.5889999999999</v>
      </c>
      <c r="BL14" s="17">
        <v>1584.5530000000001</v>
      </c>
      <c r="BM14" s="17">
        <v>1503.2280000000001</v>
      </c>
      <c r="BN14" s="17">
        <v>1432.6120000000001</v>
      </c>
      <c r="BO14" s="17">
        <v>1380.0719999999999</v>
      </c>
      <c r="BP14" s="17">
        <v>1338.567</v>
      </c>
      <c r="BQ14" s="17">
        <v>1294.4069999999999</v>
      </c>
      <c r="BR14" s="17">
        <v>1251.1880000000001</v>
      </c>
      <c r="BS14" s="17">
        <v>1200.5409999999999</v>
      </c>
      <c r="BT14" s="17">
        <v>1137.1990000000001</v>
      </c>
      <c r="BU14" s="17">
        <v>1065.867</v>
      </c>
      <c r="BV14" s="17">
        <v>996.45500000000004</v>
      </c>
      <c r="BW14" s="17">
        <v>926.90200000000004</v>
      </c>
      <c r="BX14" s="17">
        <v>859.84699999999998</v>
      </c>
      <c r="BY14" s="17">
        <v>797.57299999999998</v>
      </c>
      <c r="BZ14" s="17">
        <v>738.44799999999998</v>
      </c>
      <c r="CA14" s="17">
        <v>679.476</v>
      </c>
      <c r="CB14" s="17">
        <v>622.35799999999995</v>
      </c>
      <c r="CC14" s="17">
        <v>562.88300000000004</v>
      </c>
      <c r="CD14" s="17">
        <v>499.01499999999999</v>
      </c>
      <c r="CE14" s="17">
        <v>433.64400000000001</v>
      </c>
      <c r="CF14" s="17">
        <v>371.32400000000001</v>
      </c>
      <c r="CG14" s="17">
        <v>310.69600000000003</v>
      </c>
      <c r="CH14" s="17">
        <v>258.16300000000001</v>
      </c>
      <c r="CI14" s="17">
        <v>217.233</v>
      </c>
      <c r="CJ14" s="17">
        <v>184.94499999999999</v>
      </c>
      <c r="CK14" s="17">
        <v>153.62899999999999</v>
      </c>
      <c r="CL14" s="17">
        <v>127.179</v>
      </c>
      <c r="CM14" s="17">
        <v>104.68</v>
      </c>
      <c r="CN14" s="17">
        <v>82.51</v>
      </c>
      <c r="CO14" s="17">
        <v>60.984000000000002</v>
      </c>
      <c r="CP14" s="17">
        <v>41.802</v>
      </c>
      <c r="CQ14" s="17">
        <v>29.244</v>
      </c>
      <c r="CR14" s="17">
        <v>23.443999999999999</v>
      </c>
      <c r="CS14" s="17">
        <v>17.47</v>
      </c>
      <c r="CT14" s="17">
        <v>11.321999999999999</v>
      </c>
      <c r="CU14" s="17">
        <v>7.9409999999999998</v>
      </c>
      <c r="CV14" s="17">
        <v>5.6639999999999997</v>
      </c>
      <c r="CW14" s="17">
        <v>3.2639999999999998</v>
      </c>
      <c r="CX14" s="17">
        <v>5.8239999999999998</v>
      </c>
      <c r="CY14" s="3">
        <f>SUM(B14:CX14)</f>
        <v>192313.74699999997</v>
      </c>
      <c r="DF14" s="3">
        <f>SUM(T14:AK14)</f>
        <v>43716.843999999997</v>
      </c>
      <c r="DG14" s="3">
        <f t="shared" si="2"/>
        <v>0.22732043175259856</v>
      </c>
      <c r="DH14">
        <f>SUM(AK14:BK14)</f>
        <v>60070.739000000009</v>
      </c>
      <c r="DI14" s="9">
        <f t="shared" si="0"/>
        <v>0.31235800839552058</v>
      </c>
    </row>
    <row r="15" spans="1:119">
      <c r="A15" s="4">
        <v>1963</v>
      </c>
      <c r="B15" s="17">
        <v>3977.308</v>
      </c>
      <c r="C15" s="17">
        <v>4050.605</v>
      </c>
      <c r="D15" s="17">
        <v>4103.2960000000003</v>
      </c>
      <c r="E15" s="17">
        <v>4224.7</v>
      </c>
      <c r="F15" s="17">
        <v>4205.68</v>
      </c>
      <c r="G15" s="17">
        <v>4174.9380000000001</v>
      </c>
      <c r="H15" s="17">
        <v>4133.5680000000002</v>
      </c>
      <c r="I15" s="17">
        <v>4082.6619999999998</v>
      </c>
      <c r="J15" s="17">
        <v>4020.9940000000001</v>
      </c>
      <c r="K15" s="17">
        <v>3947.3409999999999</v>
      </c>
      <c r="L15" s="17">
        <v>3874.377</v>
      </c>
      <c r="M15" s="17">
        <v>3807.8310000000001</v>
      </c>
      <c r="N15" s="17">
        <v>3741.8429999999998</v>
      </c>
      <c r="O15" s="17">
        <v>3669.27</v>
      </c>
      <c r="P15" s="17">
        <v>3596.873</v>
      </c>
      <c r="Q15" s="17">
        <v>3497.404</v>
      </c>
      <c r="R15" s="17">
        <v>3358.3049999999998</v>
      </c>
      <c r="S15" s="17">
        <v>3195.3519999999999</v>
      </c>
      <c r="T15" s="17">
        <v>3037.7689999999998</v>
      </c>
      <c r="U15" s="17">
        <v>2880.7750000000001</v>
      </c>
      <c r="V15" s="17">
        <v>2740.93</v>
      </c>
      <c r="W15" s="17">
        <v>2629.7930000000001</v>
      </c>
      <c r="X15" s="17">
        <v>2541.1320000000001</v>
      </c>
      <c r="Y15" s="17">
        <v>2455.8319999999999</v>
      </c>
      <c r="Z15" s="17">
        <v>2376.1170000000002</v>
      </c>
      <c r="AA15" s="17">
        <v>2317.5149999999999</v>
      </c>
      <c r="AB15" s="17">
        <v>2285.3449999999998</v>
      </c>
      <c r="AC15" s="17">
        <v>2273.8420000000001</v>
      </c>
      <c r="AD15" s="17">
        <v>2269.4549999999999</v>
      </c>
      <c r="AE15" s="17">
        <v>2271.9360000000001</v>
      </c>
      <c r="AF15" s="17">
        <v>2287.8389999999999</v>
      </c>
      <c r="AG15" s="17">
        <v>2318.1010000000001</v>
      </c>
      <c r="AH15" s="17">
        <v>2357.9870000000001</v>
      </c>
      <c r="AI15" s="17">
        <v>2400.3339999999998</v>
      </c>
      <c r="AJ15" s="17">
        <v>2444.779</v>
      </c>
      <c r="AK15" s="17">
        <v>2485.1410000000001</v>
      </c>
      <c r="AL15" s="17">
        <v>2517.0169999999998</v>
      </c>
      <c r="AM15" s="17">
        <v>2540.8490000000002</v>
      </c>
      <c r="AN15" s="17">
        <v>2563.9369999999999</v>
      </c>
      <c r="AO15" s="17">
        <v>2587.7629999999999</v>
      </c>
      <c r="AP15" s="17">
        <v>2590.1280000000002</v>
      </c>
      <c r="AQ15" s="17">
        <v>2561.6419999999998</v>
      </c>
      <c r="AR15" s="17">
        <v>2512.65</v>
      </c>
      <c r="AS15" s="17">
        <v>2462.5160000000001</v>
      </c>
      <c r="AT15" s="17">
        <v>2406.9279999999999</v>
      </c>
      <c r="AU15" s="17">
        <v>2358.4850000000001</v>
      </c>
      <c r="AV15" s="17">
        <v>2325.277</v>
      </c>
      <c r="AW15" s="17">
        <v>2301.297</v>
      </c>
      <c r="AX15" s="17">
        <v>2271.94</v>
      </c>
      <c r="AY15" s="17">
        <v>2239.518</v>
      </c>
      <c r="AZ15" s="17">
        <v>2207.1790000000001</v>
      </c>
      <c r="BA15" s="17">
        <v>2174.8339999999998</v>
      </c>
      <c r="BB15" s="17">
        <v>2141.694</v>
      </c>
      <c r="BC15" s="17">
        <v>2107.0169999999998</v>
      </c>
      <c r="BD15" s="17">
        <v>2070.893</v>
      </c>
      <c r="BE15" s="17">
        <v>2030.654</v>
      </c>
      <c r="BF15" s="17">
        <v>1984.873</v>
      </c>
      <c r="BG15" s="17">
        <v>1934.421</v>
      </c>
      <c r="BH15" s="17">
        <v>1882.9690000000001</v>
      </c>
      <c r="BI15" s="17">
        <v>1831.43</v>
      </c>
      <c r="BJ15" s="17">
        <v>1772.1990000000001</v>
      </c>
      <c r="BK15" s="17">
        <v>1702.3869999999999</v>
      </c>
      <c r="BL15" s="17">
        <v>1626.204</v>
      </c>
      <c r="BM15" s="17">
        <v>1549.58</v>
      </c>
      <c r="BN15" s="17">
        <v>1469.924</v>
      </c>
      <c r="BO15" s="17">
        <v>1399.8989999999999</v>
      </c>
      <c r="BP15" s="17">
        <v>1345.9590000000001</v>
      </c>
      <c r="BQ15" s="17">
        <v>1301.8510000000001</v>
      </c>
      <c r="BR15" s="17">
        <v>1255.4939999999999</v>
      </c>
      <c r="BS15" s="17">
        <v>1210.058</v>
      </c>
      <c r="BT15" s="17">
        <v>1157.9190000000001</v>
      </c>
      <c r="BU15" s="17">
        <v>1094.307</v>
      </c>
      <c r="BV15" s="17">
        <v>1023.448</v>
      </c>
      <c r="BW15" s="17">
        <v>954.48400000000004</v>
      </c>
      <c r="BX15" s="17">
        <v>885.75300000000004</v>
      </c>
      <c r="BY15" s="17">
        <v>818.53</v>
      </c>
      <c r="BZ15" s="17">
        <v>754.42499999999995</v>
      </c>
      <c r="CA15" s="17">
        <v>692.59699999999998</v>
      </c>
      <c r="CB15" s="17">
        <v>631.35699999999997</v>
      </c>
      <c r="CC15" s="17">
        <v>571.94399999999996</v>
      </c>
      <c r="CD15" s="17">
        <v>511.923</v>
      </c>
      <c r="CE15" s="17">
        <v>450.20600000000002</v>
      </c>
      <c r="CF15" s="17">
        <v>388.77300000000002</v>
      </c>
      <c r="CG15" s="17">
        <v>330.3</v>
      </c>
      <c r="CH15" s="17">
        <v>273.77999999999997</v>
      </c>
      <c r="CI15" s="17">
        <v>225.084</v>
      </c>
      <c r="CJ15" s="17">
        <v>187.25800000000001</v>
      </c>
      <c r="CK15" s="17">
        <v>157.61699999999999</v>
      </c>
      <c r="CL15" s="17">
        <v>128.65799999999999</v>
      </c>
      <c r="CM15" s="17">
        <v>105.45399999999999</v>
      </c>
      <c r="CN15" s="17">
        <v>86.721000000000004</v>
      </c>
      <c r="CO15" s="17">
        <v>67.483999999999995</v>
      </c>
      <c r="CP15" s="17">
        <v>47.954000000000001</v>
      </c>
      <c r="CQ15" s="17">
        <v>32.098999999999997</v>
      </c>
      <c r="CR15" s="17">
        <v>22.965</v>
      </c>
      <c r="CS15" s="17">
        <v>18.318000000000001</v>
      </c>
      <c r="CT15" s="17">
        <v>13.536</v>
      </c>
      <c r="CU15" s="17">
        <v>8.6170000000000009</v>
      </c>
      <c r="CV15" s="17">
        <v>5.5259999999999998</v>
      </c>
      <c r="CW15" s="17">
        <v>3.1880000000000002</v>
      </c>
      <c r="CX15" s="17">
        <v>5.74</v>
      </c>
      <c r="CY15" s="3">
        <f>SUM(B15:CX15)</f>
        <v>194932.39999999985</v>
      </c>
      <c r="DF15" s="3">
        <f>SUM(T15:AL15)</f>
        <v>46891.63900000001</v>
      </c>
      <c r="DG15" s="3">
        <f>DF15/CY15</f>
        <v>0.24055333541268689</v>
      </c>
      <c r="DH15">
        <f>SUM(AL15:BL15)</f>
        <v>59706.701000000015</v>
      </c>
      <c r="DI15" s="9">
        <f>DH15/CY15</f>
        <v>0.30629439231241223</v>
      </c>
      <c r="DJ15" s="7">
        <v>0.30629439231241223</v>
      </c>
      <c r="DK15" s="7">
        <v>0.24055333541268689</v>
      </c>
      <c r="DL15" s="7"/>
      <c r="DM15" s="7"/>
      <c r="DN15" s="7"/>
      <c r="DO15" s="10">
        <f>SUM(DJ15:DN15)</f>
        <v>0.54684772772509915</v>
      </c>
    </row>
    <row r="16" spans="1:119">
      <c r="A16" s="4">
        <v>1964</v>
      </c>
      <c r="B16" s="17">
        <v>3827.2170000000001</v>
      </c>
      <c r="C16" s="17">
        <v>3956.37</v>
      </c>
      <c r="D16" s="17">
        <v>4054.3490000000002</v>
      </c>
      <c r="E16" s="17">
        <v>4123.4309999999996</v>
      </c>
      <c r="F16" s="17">
        <v>4208.7839999999997</v>
      </c>
      <c r="G16" s="17">
        <v>4205.2719999999999</v>
      </c>
      <c r="H16" s="17">
        <v>4184.4179999999997</v>
      </c>
      <c r="I16" s="17">
        <v>4148.2139999999999</v>
      </c>
      <c r="J16" s="17">
        <v>4098.6480000000001</v>
      </c>
      <c r="K16" s="17">
        <v>4034.625</v>
      </c>
      <c r="L16" s="17">
        <v>3955.0430000000001</v>
      </c>
      <c r="M16" s="17">
        <v>3877.3409999999999</v>
      </c>
      <c r="N16" s="17">
        <v>3809.6860000000001</v>
      </c>
      <c r="O16" s="17">
        <v>3744.8029999999999</v>
      </c>
      <c r="P16" s="17">
        <v>3671.6030000000001</v>
      </c>
      <c r="Q16" s="17">
        <v>3597.5329999999999</v>
      </c>
      <c r="R16" s="17">
        <v>3497.2979999999998</v>
      </c>
      <c r="S16" s="17">
        <v>3358.884</v>
      </c>
      <c r="T16" s="17">
        <v>3197.5610000000001</v>
      </c>
      <c r="U16" s="17">
        <v>3041.4319999999998</v>
      </c>
      <c r="V16" s="17">
        <v>2885.8470000000002</v>
      </c>
      <c r="W16" s="17">
        <v>2747.4490000000001</v>
      </c>
      <c r="X16" s="17">
        <v>2637.6950000000002</v>
      </c>
      <c r="Y16" s="17">
        <v>2550.297</v>
      </c>
      <c r="Z16" s="17">
        <v>2466.2460000000001</v>
      </c>
      <c r="AA16" s="17">
        <v>2387.8200000000002</v>
      </c>
      <c r="AB16" s="17">
        <v>2329.7750000000001</v>
      </c>
      <c r="AC16" s="17">
        <v>2297.0770000000002</v>
      </c>
      <c r="AD16" s="17">
        <v>2284.3000000000002</v>
      </c>
      <c r="AE16" s="17">
        <v>2278.6280000000002</v>
      </c>
      <c r="AF16" s="17">
        <v>2279.7150000000001</v>
      </c>
      <c r="AG16" s="17">
        <v>2294.1460000000002</v>
      </c>
      <c r="AH16" s="17">
        <v>2322.9589999999998</v>
      </c>
      <c r="AI16" s="17">
        <v>2361.4229999999998</v>
      </c>
      <c r="AJ16" s="17">
        <v>2402.2379999999998</v>
      </c>
      <c r="AK16" s="17">
        <v>2445.029</v>
      </c>
      <c r="AL16" s="17">
        <v>2484.0549999999998</v>
      </c>
      <c r="AM16" s="17">
        <v>2515.1060000000002</v>
      </c>
      <c r="AN16" s="17">
        <v>2538.4409999999998</v>
      </c>
      <c r="AO16" s="17">
        <v>2560.9659999999999</v>
      </c>
      <c r="AP16" s="17">
        <v>2584.2199999999998</v>
      </c>
      <c r="AQ16" s="17">
        <v>2585.9699999999998</v>
      </c>
      <c r="AR16" s="17">
        <v>2556.7660000000001</v>
      </c>
      <c r="AS16" s="17">
        <v>2506.9639999999999</v>
      </c>
      <c r="AT16" s="17">
        <v>2456.105</v>
      </c>
      <c r="AU16" s="17">
        <v>2399.9549999999999</v>
      </c>
      <c r="AV16" s="17">
        <v>2350.4960000000001</v>
      </c>
      <c r="AW16" s="17">
        <v>2315.5650000000001</v>
      </c>
      <c r="AX16" s="17">
        <v>2289.489</v>
      </c>
      <c r="AY16" s="17">
        <v>2257.9850000000001</v>
      </c>
      <c r="AZ16" s="17">
        <v>2222.9830000000002</v>
      </c>
      <c r="BA16" s="17">
        <v>2189.4409999999998</v>
      </c>
      <c r="BB16" s="17">
        <v>2158.1030000000001</v>
      </c>
      <c r="BC16" s="17">
        <v>2127.183</v>
      </c>
      <c r="BD16" s="17">
        <v>2094.471</v>
      </c>
      <c r="BE16" s="17">
        <v>2060.7890000000002</v>
      </c>
      <c r="BF16" s="17">
        <v>2020.4179999999999</v>
      </c>
      <c r="BG16" s="17">
        <v>1970.3989999999999</v>
      </c>
      <c r="BH16" s="17">
        <v>1913.2339999999999</v>
      </c>
      <c r="BI16" s="17">
        <v>1855.511</v>
      </c>
      <c r="BJ16" s="17">
        <v>1797.28</v>
      </c>
      <c r="BK16" s="17">
        <v>1733.655</v>
      </c>
      <c r="BL16" s="17">
        <v>1663.31</v>
      </c>
      <c r="BM16" s="17">
        <v>1589.028</v>
      </c>
      <c r="BN16" s="17">
        <v>1513.855</v>
      </c>
      <c r="BO16" s="17">
        <v>1435.9079999999999</v>
      </c>
      <c r="BP16" s="17">
        <v>1366.5070000000001</v>
      </c>
      <c r="BQ16" s="17">
        <v>1311.193</v>
      </c>
      <c r="BR16" s="17">
        <v>1264.501</v>
      </c>
      <c r="BS16" s="17">
        <v>1215.9680000000001</v>
      </c>
      <c r="BT16" s="17">
        <v>1168.338</v>
      </c>
      <c r="BU16" s="17">
        <v>1114.731</v>
      </c>
      <c r="BV16" s="17">
        <v>1050.8779999999999</v>
      </c>
      <c r="BW16" s="17">
        <v>980.529</v>
      </c>
      <c r="BX16" s="17">
        <v>912.04499999999996</v>
      </c>
      <c r="BY16" s="17">
        <v>844.16899999999998</v>
      </c>
      <c r="BZ16" s="17">
        <v>776.81100000000004</v>
      </c>
      <c r="CA16" s="17">
        <v>710.90300000000002</v>
      </c>
      <c r="CB16" s="17">
        <v>646.40300000000002</v>
      </c>
      <c r="CC16" s="17">
        <v>582.92200000000003</v>
      </c>
      <c r="CD16" s="17">
        <v>521.24300000000005</v>
      </c>
      <c r="CE16" s="17">
        <v>460.70299999999997</v>
      </c>
      <c r="CF16" s="17">
        <v>401.16800000000001</v>
      </c>
      <c r="CG16" s="17">
        <v>343.70400000000001</v>
      </c>
      <c r="CH16" s="17">
        <v>289.10599999999999</v>
      </c>
      <c r="CI16" s="17">
        <v>236.72300000000001</v>
      </c>
      <c r="CJ16" s="17">
        <v>191.887</v>
      </c>
      <c r="CK16" s="17">
        <v>157.18299999999999</v>
      </c>
      <c r="CL16" s="17">
        <v>130.20500000000001</v>
      </c>
      <c r="CM16" s="17">
        <v>103.61799999999999</v>
      </c>
      <c r="CN16" s="17">
        <v>83.671999999999997</v>
      </c>
      <c r="CO16" s="17">
        <v>68.715000000000003</v>
      </c>
      <c r="CP16" s="17">
        <v>52.421999999999997</v>
      </c>
      <c r="CQ16" s="17">
        <v>34.895000000000003</v>
      </c>
      <c r="CR16" s="17">
        <v>22.376999999999999</v>
      </c>
      <c r="CS16" s="17">
        <v>16.672000000000001</v>
      </c>
      <c r="CT16" s="17">
        <v>13.180999999999999</v>
      </c>
      <c r="CU16" s="17">
        <v>9.593</v>
      </c>
      <c r="CV16" s="17">
        <v>5.9089999999999998</v>
      </c>
      <c r="CW16" s="17">
        <v>3.161</v>
      </c>
      <c r="CX16" s="17">
        <v>5.6550000000000002</v>
      </c>
      <c r="CY16" s="3">
        <f>SUM(B16:CX16)</f>
        <v>197408.49699999986</v>
      </c>
      <c r="CZ16" s="19">
        <f>T16</f>
        <v>3197.5610000000001</v>
      </c>
      <c r="DA16" s="3">
        <f>CZ16/CY16</f>
        <v>1.6197686769278238E-2</v>
      </c>
      <c r="DF16" s="3">
        <f>SUM(U16:AM16)</f>
        <v>47011.237000000008</v>
      </c>
      <c r="DG16" s="3">
        <f t="shared" si="2"/>
        <v>0.23814191240207883</v>
      </c>
      <c r="DH16">
        <f>SUM(AM16:BM16)</f>
        <v>59313.832999999977</v>
      </c>
      <c r="DI16" s="9">
        <f t="shared" ref="DI16:DI72" si="3">DH16/CY16</f>
        <v>0.30046241120006106</v>
      </c>
      <c r="DJ16" s="7">
        <v>0.30046241120006106</v>
      </c>
      <c r="DK16" s="7">
        <v>0.23814191240207883</v>
      </c>
      <c r="DL16" s="7"/>
      <c r="DM16" s="7"/>
      <c r="DN16" s="7"/>
      <c r="DO16" s="10">
        <f>SUM(DJ16:DN16)</f>
        <v>0.53860432360213983</v>
      </c>
    </row>
    <row r="17" spans="1:119">
      <c r="A17" s="4">
        <v>1965</v>
      </c>
      <c r="B17" s="17">
        <v>3684.7579999999998</v>
      </c>
      <c r="C17" s="17">
        <v>3854.7719999999999</v>
      </c>
      <c r="D17" s="17">
        <v>3987.4050000000002</v>
      </c>
      <c r="E17" s="17">
        <v>4085.547</v>
      </c>
      <c r="F17" s="17">
        <v>4152.0839999999998</v>
      </c>
      <c r="G17" s="17">
        <v>4189.902</v>
      </c>
      <c r="H17" s="17">
        <v>4201.8869999999997</v>
      </c>
      <c r="I17" s="17">
        <v>4190.9269999999997</v>
      </c>
      <c r="J17" s="17">
        <v>4159.9089999999997</v>
      </c>
      <c r="K17" s="17">
        <v>4111.7209999999995</v>
      </c>
      <c r="L17" s="17">
        <v>4045.3879999999999</v>
      </c>
      <c r="M17" s="17">
        <v>3959.94</v>
      </c>
      <c r="N17" s="17">
        <v>3877.5569999999998</v>
      </c>
      <c r="O17" s="17">
        <v>3808.8440000000001</v>
      </c>
      <c r="P17" s="17">
        <v>3745.1109999999999</v>
      </c>
      <c r="Q17" s="17">
        <v>3671.3359999999998</v>
      </c>
      <c r="R17" s="17">
        <v>3595.6489999999999</v>
      </c>
      <c r="S17" s="17">
        <v>3494.7190000000001</v>
      </c>
      <c r="T17" s="17">
        <v>3357.087</v>
      </c>
      <c r="U17" s="17">
        <v>3197.5129999999999</v>
      </c>
      <c r="V17" s="17">
        <v>3042.9470000000001</v>
      </c>
      <c r="W17" s="17">
        <v>2888.884</v>
      </c>
      <c r="X17" s="17">
        <v>2752.0320000000002</v>
      </c>
      <c r="Y17" s="17">
        <v>2643.7359999999999</v>
      </c>
      <c r="Z17" s="17">
        <v>2557.6579999999999</v>
      </c>
      <c r="AA17" s="17">
        <v>2474.9140000000002</v>
      </c>
      <c r="AB17" s="17">
        <v>2397.8310000000001</v>
      </c>
      <c r="AC17" s="17">
        <v>2340.3809999999999</v>
      </c>
      <c r="AD17" s="17">
        <v>2307.1779999999999</v>
      </c>
      <c r="AE17" s="17">
        <v>2293.136</v>
      </c>
      <c r="AF17" s="17">
        <v>2286.183</v>
      </c>
      <c r="AG17" s="17">
        <v>2285.8760000000002</v>
      </c>
      <c r="AH17" s="17">
        <v>2298.8240000000001</v>
      </c>
      <c r="AI17" s="17">
        <v>2326.1709999999998</v>
      </c>
      <c r="AJ17" s="17">
        <v>2363.1889999999999</v>
      </c>
      <c r="AK17" s="17">
        <v>2402.4450000000002</v>
      </c>
      <c r="AL17" s="17">
        <v>2443.556</v>
      </c>
      <c r="AM17" s="17">
        <v>2481.223</v>
      </c>
      <c r="AN17" s="17">
        <v>2511.4279999999999</v>
      </c>
      <c r="AO17" s="17">
        <v>2534.2510000000002</v>
      </c>
      <c r="AP17" s="17">
        <v>2556.1979999999999</v>
      </c>
      <c r="AQ17" s="17">
        <v>2578.8620000000001</v>
      </c>
      <c r="AR17" s="17">
        <v>2579.9969999999998</v>
      </c>
      <c r="AS17" s="17">
        <v>2550.0970000000002</v>
      </c>
      <c r="AT17" s="17">
        <v>2499.5219999999999</v>
      </c>
      <c r="AU17" s="17">
        <v>2447.971</v>
      </c>
      <c r="AV17" s="17">
        <v>2391.3009999999999</v>
      </c>
      <c r="AW17" s="17">
        <v>2340.8629999999998</v>
      </c>
      <c r="AX17" s="17">
        <v>2304.2339999999999</v>
      </c>
      <c r="AY17" s="17">
        <v>2276.0810000000001</v>
      </c>
      <c r="AZ17" s="17">
        <v>2242.4549999999999</v>
      </c>
      <c r="BA17" s="17">
        <v>2204.8989999999999</v>
      </c>
      <c r="BB17" s="17">
        <v>2170.1799999999998</v>
      </c>
      <c r="BC17" s="17">
        <v>2139.873</v>
      </c>
      <c r="BD17" s="17">
        <v>2111.194</v>
      </c>
      <c r="BE17" s="17">
        <v>2080.471</v>
      </c>
      <c r="BF17" s="17">
        <v>2049.2559999999999</v>
      </c>
      <c r="BG17" s="17">
        <v>2008.78</v>
      </c>
      <c r="BH17" s="17">
        <v>1954.5650000000001</v>
      </c>
      <c r="BI17" s="17">
        <v>1890.732</v>
      </c>
      <c r="BJ17" s="17">
        <v>1826.7819999999999</v>
      </c>
      <c r="BK17" s="17">
        <v>1761.904</v>
      </c>
      <c r="BL17" s="17">
        <v>1693.9349999999999</v>
      </c>
      <c r="BM17" s="17">
        <v>1623.1089999999999</v>
      </c>
      <c r="BN17" s="17">
        <v>1550.778</v>
      </c>
      <c r="BO17" s="17">
        <v>1477.1089999999999</v>
      </c>
      <c r="BP17" s="17">
        <v>1400.9259999999999</v>
      </c>
      <c r="BQ17" s="17">
        <v>1332.2</v>
      </c>
      <c r="BR17" s="17">
        <v>1275.5509999999999</v>
      </c>
      <c r="BS17" s="17">
        <v>1226.31</v>
      </c>
      <c r="BT17" s="17">
        <v>1175.6389999999999</v>
      </c>
      <c r="BU17" s="17">
        <v>1125.847</v>
      </c>
      <c r="BV17" s="17">
        <v>1070.8109999999999</v>
      </c>
      <c r="BW17" s="17">
        <v>1006.764</v>
      </c>
      <c r="BX17" s="17">
        <v>936.97199999999998</v>
      </c>
      <c r="BY17" s="17">
        <v>869.01400000000001</v>
      </c>
      <c r="BZ17" s="17">
        <v>802.03899999999999</v>
      </c>
      <c r="CA17" s="17">
        <v>734.59400000000005</v>
      </c>
      <c r="CB17" s="17">
        <v>666.93200000000002</v>
      </c>
      <c r="CC17" s="17">
        <v>599.80499999999995</v>
      </c>
      <c r="CD17" s="17">
        <v>534.13099999999997</v>
      </c>
      <c r="CE17" s="17">
        <v>470.23</v>
      </c>
      <c r="CF17" s="17">
        <v>409.21499999999997</v>
      </c>
      <c r="CG17" s="17">
        <v>351.89800000000002</v>
      </c>
      <c r="CH17" s="17">
        <v>298.43900000000002</v>
      </c>
      <c r="CI17" s="17">
        <v>247.75</v>
      </c>
      <c r="CJ17" s="17">
        <v>199.53399999999999</v>
      </c>
      <c r="CK17" s="17">
        <v>158.58699999999999</v>
      </c>
      <c r="CL17" s="17">
        <v>127.027</v>
      </c>
      <c r="CM17" s="17">
        <v>102.727</v>
      </c>
      <c r="CN17" s="17">
        <v>78.528999999999996</v>
      </c>
      <c r="CO17" s="17">
        <v>61.848999999999997</v>
      </c>
      <c r="CP17" s="17">
        <v>50.677</v>
      </c>
      <c r="CQ17" s="17">
        <v>37.335999999999999</v>
      </c>
      <c r="CR17" s="17">
        <v>21.824000000000002</v>
      </c>
      <c r="CS17" s="17">
        <v>12.648999999999999</v>
      </c>
      <c r="CT17" s="17">
        <v>10.372999999999999</v>
      </c>
      <c r="CU17" s="17">
        <v>8.0389999999999997</v>
      </c>
      <c r="CV17" s="17">
        <v>5.6479999999999997</v>
      </c>
      <c r="CW17" s="17">
        <v>3.1970000000000001</v>
      </c>
      <c r="CX17" s="17">
        <v>5.569</v>
      </c>
      <c r="CY17" s="3">
        <f t="shared" ref="CY17:CY80" si="4">SUM(B17:CX17)</f>
        <v>199733.67899999997</v>
      </c>
      <c r="CZ17" s="19">
        <f>SUM(T17:U17)</f>
        <v>6554.6</v>
      </c>
      <c r="DA17" s="3">
        <f t="shared" ref="DA17:DA72" si="5">CZ17/CY17</f>
        <v>3.2816698880312523E-2</v>
      </c>
      <c r="DF17" s="3">
        <f>SUM(V17:AN17)</f>
        <v>47097.591999999997</v>
      </c>
      <c r="DG17" s="3">
        <f t="shared" si="2"/>
        <v>0.23580195506237084</v>
      </c>
      <c r="DH17">
        <f>SUM(AN17:BN17)</f>
        <v>58879.718000000001</v>
      </c>
      <c r="DI17" s="9">
        <f t="shared" si="3"/>
        <v>0.29479113534978751</v>
      </c>
      <c r="DJ17" s="7">
        <v>0.29479113534978751</v>
      </c>
      <c r="DK17" s="7">
        <v>0.23580195506237084</v>
      </c>
      <c r="DL17" s="7"/>
      <c r="DM17" s="7"/>
      <c r="DN17" s="7"/>
      <c r="DO17" s="10">
        <f t="shared" ref="DO17:DO18" si="6">SUM(DJ17:DN17)</f>
        <v>0.5305930904121583</v>
      </c>
    </row>
    <row r="18" spans="1:119">
      <c r="A18" s="4">
        <v>1966</v>
      </c>
      <c r="B18" s="17">
        <v>3561.788</v>
      </c>
      <c r="C18" s="17">
        <v>3729.7</v>
      </c>
      <c r="D18" s="17">
        <v>3884.442</v>
      </c>
      <c r="E18" s="17">
        <v>4006.3760000000002</v>
      </c>
      <c r="F18" s="17">
        <v>4097.6809999999996</v>
      </c>
      <c r="G18" s="17">
        <v>4160.5349999999999</v>
      </c>
      <c r="H18" s="17">
        <v>4197.6400000000003</v>
      </c>
      <c r="I18" s="17">
        <v>4211.6989999999996</v>
      </c>
      <c r="J18" s="17">
        <v>4202.2709999999997</v>
      </c>
      <c r="K18" s="17">
        <v>4170.4889999999996</v>
      </c>
      <c r="L18" s="17">
        <v>4120.1019999999999</v>
      </c>
      <c r="M18" s="17">
        <v>4053.239</v>
      </c>
      <c r="N18" s="17">
        <v>3968.8879999999999</v>
      </c>
      <c r="O18" s="17">
        <v>3885.183</v>
      </c>
      <c r="P18" s="17">
        <v>3811.2060000000001</v>
      </c>
      <c r="Q18" s="17">
        <v>3740.0889999999999</v>
      </c>
      <c r="R18" s="17">
        <v>3659.59</v>
      </c>
      <c r="S18" s="17">
        <v>3576.614</v>
      </c>
      <c r="T18" s="17">
        <v>3472.8490000000002</v>
      </c>
      <c r="U18" s="17">
        <v>3339.3989999999999</v>
      </c>
      <c r="V18" s="17">
        <v>3188.386</v>
      </c>
      <c r="W18" s="17">
        <v>3041.6669999999999</v>
      </c>
      <c r="X18" s="17">
        <v>2895.884</v>
      </c>
      <c r="Y18" s="17">
        <v>2764.9</v>
      </c>
      <c r="Z18" s="17">
        <v>2658.1680000000001</v>
      </c>
      <c r="AA18" s="17">
        <v>2570.7919999999999</v>
      </c>
      <c r="AB18" s="17">
        <v>2487.3829999999998</v>
      </c>
      <c r="AC18" s="17">
        <v>2409.7710000000002</v>
      </c>
      <c r="AD18" s="17">
        <v>2351.0880000000002</v>
      </c>
      <c r="AE18" s="17">
        <v>2315.9459999999999</v>
      </c>
      <c r="AF18" s="17">
        <v>2299.538</v>
      </c>
      <c r="AG18" s="17">
        <v>2289.9389999999999</v>
      </c>
      <c r="AH18" s="17">
        <v>2286.5259999999998</v>
      </c>
      <c r="AI18" s="17">
        <v>2297.48</v>
      </c>
      <c r="AJ18" s="17">
        <v>2324.694</v>
      </c>
      <c r="AK18" s="17">
        <v>2362.7289999999998</v>
      </c>
      <c r="AL18" s="17">
        <v>2402.73</v>
      </c>
      <c r="AM18" s="17">
        <v>2444.6460000000002</v>
      </c>
      <c r="AN18" s="17">
        <v>2482.4940000000001</v>
      </c>
      <c r="AO18" s="17">
        <v>2511.79</v>
      </c>
      <c r="AP18" s="17">
        <v>2532.9940000000001</v>
      </c>
      <c r="AQ18" s="17">
        <v>2553.4659999999999</v>
      </c>
      <c r="AR18" s="17">
        <v>2574.6350000000002</v>
      </c>
      <c r="AS18" s="17">
        <v>2574.317</v>
      </c>
      <c r="AT18" s="17">
        <v>2543.1260000000002</v>
      </c>
      <c r="AU18" s="17">
        <v>2491.3470000000002</v>
      </c>
      <c r="AV18" s="17">
        <v>2438.415</v>
      </c>
      <c r="AW18" s="17">
        <v>2380.1489999999999</v>
      </c>
      <c r="AX18" s="17">
        <v>2328.337</v>
      </c>
      <c r="AY18" s="17">
        <v>2290.7159999999999</v>
      </c>
      <c r="AZ18" s="17">
        <v>2261.723</v>
      </c>
      <c r="BA18" s="17">
        <v>2227.2449999999999</v>
      </c>
      <c r="BB18" s="17">
        <v>2189.1350000000002</v>
      </c>
      <c r="BC18" s="17">
        <v>2152.6309999999999</v>
      </c>
      <c r="BD18" s="17">
        <v>2118.6190000000001</v>
      </c>
      <c r="BE18" s="17">
        <v>2085.1619999999998</v>
      </c>
      <c r="BF18" s="17">
        <v>2049.8530000000001</v>
      </c>
      <c r="BG18" s="17">
        <v>2013.6690000000001</v>
      </c>
      <c r="BH18" s="17">
        <v>1970.2639999999999</v>
      </c>
      <c r="BI18" s="17">
        <v>1916.3889999999999</v>
      </c>
      <c r="BJ18" s="17">
        <v>1854.8979999999999</v>
      </c>
      <c r="BK18" s="17">
        <v>1792.9590000000001</v>
      </c>
      <c r="BL18" s="17">
        <v>1730.4159999999999</v>
      </c>
      <c r="BM18" s="17">
        <v>1663.204</v>
      </c>
      <c r="BN18" s="17">
        <v>1590.431</v>
      </c>
      <c r="BO18" s="17">
        <v>1514.4670000000001</v>
      </c>
      <c r="BP18" s="17">
        <v>1437.6120000000001</v>
      </c>
      <c r="BQ18" s="17">
        <v>1358.26</v>
      </c>
      <c r="BR18" s="17">
        <v>1286.9269999999999</v>
      </c>
      <c r="BS18" s="17">
        <v>1228.7190000000001</v>
      </c>
      <c r="BT18" s="17">
        <v>1178.6379999999999</v>
      </c>
      <c r="BU18" s="17">
        <v>1127.0709999999999</v>
      </c>
      <c r="BV18" s="17">
        <v>1076.5229999999999</v>
      </c>
      <c r="BW18" s="17">
        <v>1020.84</v>
      </c>
      <c r="BX18" s="17">
        <v>956.173</v>
      </c>
      <c r="BY18" s="17">
        <v>885.90099999999995</v>
      </c>
      <c r="BZ18" s="17">
        <v>817.78899999999999</v>
      </c>
      <c r="CA18" s="17">
        <v>750.93299999999999</v>
      </c>
      <c r="CB18" s="17">
        <v>684.11300000000006</v>
      </c>
      <c r="CC18" s="17">
        <v>617.71600000000001</v>
      </c>
      <c r="CD18" s="17">
        <v>552.38599999999997</v>
      </c>
      <c r="CE18" s="17">
        <v>488.69299999999998</v>
      </c>
      <c r="CF18" s="17">
        <v>426.89600000000002</v>
      </c>
      <c r="CG18" s="17">
        <v>368.64100000000002</v>
      </c>
      <c r="CH18" s="17">
        <v>314.93</v>
      </c>
      <c r="CI18" s="17">
        <v>265.613</v>
      </c>
      <c r="CJ18" s="17">
        <v>218.19900000000001</v>
      </c>
      <c r="CK18" s="17">
        <v>174.441</v>
      </c>
      <c r="CL18" s="17">
        <v>138.965</v>
      </c>
      <c r="CM18" s="17">
        <v>110.652</v>
      </c>
      <c r="CN18" s="17">
        <v>87.801000000000002</v>
      </c>
      <c r="CO18" s="17">
        <v>66.528000000000006</v>
      </c>
      <c r="CP18" s="17">
        <v>52.594999999999999</v>
      </c>
      <c r="CQ18" s="17">
        <v>42.988999999999997</v>
      </c>
      <c r="CR18" s="17">
        <v>31.567</v>
      </c>
      <c r="CS18" s="17">
        <v>18.327000000000002</v>
      </c>
      <c r="CT18" s="17">
        <v>11.052</v>
      </c>
      <c r="CU18" s="17">
        <v>8.5730000000000004</v>
      </c>
      <c r="CV18" s="17">
        <v>5.9939999999999998</v>
      </c>
      <c r="CW18" s="17">
        <v>3.3159999999999998</v>
      </c>
      <c r="CX18" s="17">
        <v>5.4889999999999999</v>
      </c>
      <c r="CY18" s="3">
        <f t="shared" si="4"/>
        <v>201895.76</v>
      </c>
      <c r="CZ18" s="3">
        <f>SUM(T18:V18)</f>
        <v>10000.634</v>
      </c>
      <c r="DA18" s="3">
        <f t="shared" si="5"/>
        <v>4.95336504342637E-2</v>
      </c>
      <c r="DF18" s="3">
        <f>SUM(W18:AO18)</f>
        <v>47198.165000000001</v>
      </c>
      <c r="DG18" s="3">
        <f t="shared" si="2"/>
        <v>0.23377491929498667</v>
      </c>
      <c r="DH18">
        <f>SUM(AO18:BO18)</f>
        <v>58350.357000000004</v>
      </c>
      <c r="DI18" s="9">
        <f t="shared" si="3"/>
        <v>0.28901229525572997</v>
      </c>
      <c r="DJ18" s="7">
        <v>0.28901229525572997</v>
      </c>
      <c r="DK18" s="7">
        <v>0.23377491929498667</v>
      </c>
      <c r="DL18" s="7"/>
      <c r="DM18" s="7"/>
      <c r="DN18" s="7"/>
      <c r="DO18" s="10">
        <f t="shared" si="6"/>
        <v>0.52278721455071664</v>
      </c>
    </row>
    <row r="19" spans="1:119">
      <c r="A19" s="4">
        <v>1967</v>
      </c>
      <c r="B19" s="17">
        <v>3447.5189999999998</v>
      </c>
      <c r="C19" s="17">
        <v>3652.1779999999999</v>
      </c>
      <c r="D19" s="17">
        <v>3772.25</v>
      </c>
      <c r="E19" s="17">
        <v>3911.6039999999998</v>
      </c>
      <c r="F19" s="17">
        <v>4022.7469999999998</v>
      </c>
      <c r="G19" s="17">
        <v>4107.1469999999999</v>
      </c>
      <c r="H19" s="17">
        <v>4166.2730000000001</v>
      </c>
      <c r="I19" s="17">
        <v>4202.6409999999996</v>
      </c>
      <c r="J19" s="17">
        <v>4218.7659999999996</v>
      </c>
      <c r="K19" s="17">
        <v>4210.8779999999997</v>
      </c>
      <c r="L19" s="17">
        <v>4178.3519999999999</v>
      </c>
      <c r="M19" s="17">
        <v>4125.7969999999996</v>
      </c>
      <c r="N19" s="17">
        <v>4058.4470000000001</v>
      </c>
      <c r="O19" s="17">
        <v>3975.2489999999998</v>
      </c>
      <c r="P19" s="17">
        <v>3890.2739999999999</v>
      </c>
      <c r="Q19" s="17">
        <v>3811.078</v>
      </c>
      <c r="R19" s="17">
        <v>3732.616</v>
      </c>
      <c r="S19" s="17">
        <v>3645.4389999999999</v>
      </c>
      <c r="T19" s="17">
        <v>3555.2220000000002</v>
      </c>
      <c r="U19" s="17">
        <v>3448.6860000000001</v>
      </c>
      <c r="V19" s="17">
        <v>3319.5120000000002</v>
      </c>
      <c r="W19" s="17">
        <v>3177.1689999999999</v>
      </c>
      <c r="X19" s="17">
        <v>3038.402</v>
      </c>
      <c r="Y19" s="17">
        <v>2901.0079999999998</v>
      </c>
      <c r="Z19" s="17">
        <v>2775.9839999999999</v>
      </c>
      <c r="AA19" s="17">
        <v>2670.886</v>
      </c>
      <c r="AB19" s="17">
        <v>2582.2660000000001</v>
      </c>
      <c r="AC19" s="17">
        <v>2498.2460000000001</v>
      </c>
      <c r="AD19" s="17">
        <v>2420.1509999999998</v>
      </c>
      <c r="AE19" s="17">
        <v>2360.2719999999999</v>
      </c>
      <c r="AF19" s="17">
        <v>2323.212</v>
      </c>
      <c r="AG19" s="17">
        <v>2304.444</v>
      </c>
      <c r="AH19" s="17">
        <v>2292.2040000000002</v>
      </c>
      <c r="AI19" s="17">
        <v>2285.6819999999998</v>
      </c>
      <c r="AJ19" s="17">
        <v>2294.6329999999998</v>
      </c>
      <c r="AK19" s="17">
        <v>2321.6979999999999</v>
      </c>
      <c r="AL19" s="17">
        <v>2360.7280000000001</v>
      </c>
      <c r="AM19" s="17">
        <v>2401.4479999999999</v>
      </c>
      <c r="AN19" s="17">
        <v>2444.145</v>
      </c>
      <c r="AO19" s="17">
        <v>2482.1509999999998</v>
      </c>
      <c r="AP19" s="17">
        <v>2510.518</v>
      </c>
      <c r="AQ19" s="17">
        <v>2530.0880000000002</v>
      </c>
      <c r="AR19" s="17">
        <v>2549.0709999999999</v>
      </c>
      <c r="AS19" s="17">
        <v>2568.73</v>
      </c>
      <c r="AT19" s="17">
        <v>2566.9580000000001</v>
      </c>
      <c r="AU19" s="17">
        <v>2534.4940000000001</v>
      </c>
      <c r="AV19" s="17">
        <v>2481.5450000000001</v>
      </c>
      <c r="AW19" s="17">
        <v>2427.2649999999999</v>
      </c>
      <c r="AX19" s="17">
        <v>2367.44</v>
      </c>
      <c r="AY19" s="17">
        <v>2314.2860000000001</v>
      </c>
      <c r="AZ19" s="17">
        <v>2275.6970000000001</v>
      </c>
      <c r="BA19" s="17">
        <v>2245.88</v>
      </c>
      <c r="BB19" s="17">
        <v>2210.5709999999999</v>
      </c>
      <c r="BC19" s="17">
        <v>2171.933</v>
      </c>
      <c r="BD19" s="17">
        <v>2133.6669999999999</v>
      </c>
      <c r="BE19" s="17">
        <v>2095.9699999999998</v>
      </c>
      <c r="BF19" s="17">
        <v>2057.7530000000002</v>
      </c>
      <c r="BG19" s="17">
        <v>2017.877</v>
      </c>
      <c r="BH19" s="17">
        <v>1976.7449999999999</v>
      </c>
      <c r="BI19" s="17">
        <v>1930.4359999999999</v>
      </c>
      <c r="BJ19" s="17">
        <v>1876.9369999999999</v>
      </c>
      <c r="BK19" s="17">
        <v>1817.8320000000001</v>
      </c>
      <c r="BL19" s="17">
        <v>1757.9449999999999</v>
      </c>
      <c r="BM19" s="17">
        <v>1697.7809999999999</v>
      </c>
      <c r="BN19" s="17">
        <v>1631.3710000000001</v>
      </c>
      <c r="BO19" s="17">
        <v>1556.6980000000001</v>
      </c>
      <c r="BP19" s="17">
        <v>1477.1469999999999</v>
      </c>
      <c r="BQ19" s="17">
        <v>1397.154</v>
      </c>
      <c r="BR19" s="17">
        <v>1314.682</v>
      </c>
      <c r="BS19" s="17">
        <v>1240.787</v>
      </c>
      <c r="BT19" s="17">
        <v>1181.057</v>
      </c>
      <c r="BU19" s="17">
        <v>1130.1679999999999</v>
      </c>
      <c r="BV19" s="17">
        <v>1077.7360000000001</v>
      </c>
      <c r="BW19" s="17">
        <v>1026.4649999999999</v>
      </c>
      <c r="BX19" s="17">
        <v>970.16899999999998</v>
      </c>
      <c r="BY19" s="17">
        <v>904.923</v>
      </c>
      <c r="BZ19" s="17">
        <v>834.21699999999998</v>
      </c>
      <c r="CA19" s="17">
        <v>765.99300000000005</v>
      </c>
      <c r="CB19" s="17">
        <v>699.29899999999998</v>
      </c>
      <c r="CC19" s="17">
        <v>633.149</v>
      </c>
      <c r="CD19" s="17">
        <v>568.06100000000004</v>
      </c>
      <c r="CE19" s="17">
        <v>504.57100000000003</v>
      </c>
      <c r="CF19" s="17">
        <v>442.904</v>
      </c>
      <c r="CG19" s="17">
        <v>383.25200000000001</v>
      </c>
      <c r="CH19" s="17">
        <v>327.79700000000003</v>
      </c>
      <c r="CI19" s="17">
        <v>277.73</v>
      </c>
      <c r="CJ19" s="17">
        <v>232.589</v>
      </c>
      <c r="CK19" s="17">
        <v>188.483</v>
      </c>
      <c r="CL19" s="17">
        <v>149.214</v>
      </c>
      <c r="CM19" s="17">
        <v>119.235</v>
      </c>
      <c r="CN19" s="17">
        <v>94.191000000000003</v>
      </c>
      <c r="CO19" s="17">
        <v>72.805000000000007</v>
      </c>
      <c r="CP19" s="17">
        <v>54.475999999999999</v>
      </c>
      <c r="CQ19" s="17">
        <v>43.298000000000002</v>
      </c>
      <c r="CR19" s="17">
        <v>35.265999999999998</v>
      </c>
      <c r="CS19" s="17">
        <v>25.771999999999998</v>
      </c>
      <c r="CT19" s="17">
        <v>14.815</v>
      </c>
      <c r="CU19" s="17">
        <v>9.3520000000000003</v>
      </c>
      <c r="CV19" s="17">
        <v>6.5119999999999996</v>
      </c>
      <c r="CW19" s="17">
        <v>3.5009999999999999</v>
      </c>
      <c r="CX19" s="17">
        <v>5.4189999999999996</v>
      </c>
      <c r="CY19" s="3">
        <f t="shared" si="4"/>
        <v>203905.08100000003</v>
      </c>
      <c r="CZ19" s="3">
        <f>SUM(T19:W19)</f>
        <v>13500.589</v>
      </c>
      <c r="DA19" s="3">
        <f t="shared" si="5"/>
        <v>6.6210164718749687E-2</v>
      </c>
      <c r="DF19" s="3">
        <f>SUM(X19:AP19)</f>
        <v>47268.077999999994</v>
      </c>
      <c r="DG19" s="3">
        <f t="shared" si="2"/>
        <v>0.2318141253184367</v>
      </c>
      <c r="DH19">
        <f>SUM(AP19:BP19)</f>
        <v>57782.635000000002</v>
      </c>
      <c r="DI19" s="9">
        <f t="shared" si="3"/>
        <v>0.28338006447225311</v>
      </c>
      <c r="DJ19" s="7">
        <v>0.28338006447225311</v>
      </c>
      <c r="DK19" s="7">
        <v>0.2318141253184367</v>
      </c>
      <c r="DL19" s="7"/>
      <c r="DM19" s="7"/>
      <c r="DN19" s="7"/>
      <c r="DO19" s="10">
        <f>SUM(DJ19:DN19)</f>
        <v>0.51519418979068976</v>
      </c>
    </row>
    <row r="20" spans="1:119">
      <c r="A20" s="4">
        <v>1968</v>
      </c>
      <c r="B20" s="17">
        <v>3350.027</v>
      </c>
      <c r="C20" s="17">
        <v>3550.7539999999999</v>
      </c>
      <c r="D20" s="17">
        <v>3721.6219999999998</v>
      </c>
      <c r="E20" s="17">
        <v>3812.971</v>
      </c>
      <c r="F20" s="17">
        <v>3936.87</v>
      </c>
      <c r="G20" s="17">
        <v>4037.1680000000001</v>
      </c>
      <c r="H20" s="17">
        <v>4114.625</v>
      </c>
      <c r="I20" s="17">
        <v>4169.9949999999999</v>
      </c>
      <c r="J20" s="17">
        <v>4205.607</v>
      </c>
      <c r="K20" s="17">
        <v>4223.7889999999998</v>
      </c>
      <c r="L20" s="17">
        <v>4217.4449999999997</v>
      </c>
      <c r="M20" s="17">
        <v>4184.1909999999998</v>
      </c>
      <c r="N20" s="17">
        <v>4129.4939999999997</v>
      </c>
      <c r="O20" s="17">
        <v>4061.6889999999999</v>
      </c>
      <c r="P20" s="17">
        <v>3979.6849999999999</v>
      </c>
      <c r="Q20" s="17">
        <v>3893.482</v>
      </c>
      <c r="R20" s="17">
        <v>3809.107</v>
      </c>
      <c r="S20" s="17">
        <v>3723.3409999999999</v>
      </c>
      <c r="T20" s="17">
        <v>3629.5309999999999</v>
      </c>
      <c r="U20" s="17">
        <v>3532.1179999999999</v>
      </c>
      <c r="V20" s="17">
        <v>3422.8670000000002</v>
      </c>
      <c r="W20" s="17">
        <v>3298.029</v>
      </c>
      <c r="X20" s="17">
        <v>3164.4229999999998</v>
      </c>
      <c r="Y20" s="17">
        <v>3033.674</v>
      </c>
      <c r="Z20" s="17">
        <v>2904.7310000000002</v>
      </c>
      <c r="AA20" s="17">
        <v>2785.7260000000001</v>
      </c>
      <c r="AB20" s="17">
        <v>2682.3130000000001</v>
      </c>
      <c r="AC20" s="17">
        <v>2592.491</v>
      </c>
      <c r="AD20" s="17">
        <v>2507.9</v>
      </c>
      <c r="AE20" s="17">
        <v>2429.3620000000001</v>
      </c>
      <c r="AF20" s="17">
        <v>2368.3139999999999</v>
      </c>
      <c r="AG20" s="17">
        <v>2329.3539999999998</v>
      </c>
      <c r="AH20" s="17">
        <v>2308.2359999999999</v>
      </c>
      <c r="AI20" s="17">
        <v>2293.3589999999999</v>
      </c>
      <c r="AJ20" s="17">
        <v>2283.7339999999999</v>
      </c>
      <c r="AK20" s="17">
        <v>2290.6759999999999</v>
      </c>
      <c r="AL20" s="17">
        <v>2317.58</v>
      </c>
      <c r="AM20" s="17">
        <v>2357.585</v>
      </c>
      <c r="AN20" s="17">
        <v>2399.0070000000001</v>
      </c>
      <c r="AO20" s="17">
        <v>2442.4650000000001</v>
      </c>
      <c r="AP20" s="17">
        <v>2480.6129999999998</v>
      </c>
      <c r="AQ20" s="17">
        <v>2508.0369999999998</v>
      </c>
      <c r="AR20" s="17">
        <v>2525.962</v>
      </c>
      <c r="AS20" s="17">
        <v>2543.4479999999999</v>
      </c>
      <c r="AT20" s="17">
        <v>2561.587</v>
      </c>
      <c r="AU20" s="17">
        <v>2558.3629999999998</v>
      </c>
      <c r="AV20" s="17">
        <v>2524.6419999999998</v>
      </c>
      <c r="AW20" s="17">
        <v>2470.5479999999998</v>
      </c>
      <c r="AX20" s="17">
        <v>2414.9459999999999</v>
      </c>
      <c r="AY20" s="17">
        <v>2353.5920000000001</v>
      </c>
      <c r="AZ20" s="17">
        <v>2299.1210000000001</v>
      </c>
      <c r="BA20" s="17">
        <v>2259.5839999999998</v>
      </c>
      <c r="BB20" s="17">
        <v>2228.96</v>
      </c>
      <c r="BC20" s="17">
        <v>2192.8380000000002</v>
      </c>
      <c r="BD20" s="17">
        <v>2153.6889999999999</v>
      </c>
      <c r="BE20" s="17">
        <v>2113.6799999999998</v>
      </c>
      <c r="BF20" s="17">
        <v>2072.3180000000002</v>
      </c>
      <c r="BG20" s="17">
        <v>2029.36</v>
      </c>
      <c r="BH20" s="17">
        <v>1984.9380000000001</v>
      </c>
      <c r="BI20" s="17">
        <v>1938.8779999999999</v>
      </c>
      <c r="BJ20" s="17">
        <v>1889.6890000000001</v>
      </c>
      <c r="BK20" s="17">
        <v>1836.5920000000001</v>
      </c>
      <c r="BL20" s="17">
        <v>1779.902</v>
      </c>
      <c r="BM20" s="17">
        <v>1722.097</v>
      </c>
      <c r="BN20" s="17">
        <v>1664.3420000000001</v>
      </c>
      <c r="BO20" s="17">
        <v>1598.7629999999999</v>
      </c>
      <c r="BP20" s="17">
        <v>1522.2280000000001</v>
      </c>
      <c r="BQ20" s="17">
        <v>1439.1289999999999</v>
      </c>
      <c r="BR20" s="17">
        <v>1356.037</v>
      </c>
      <c r="BS20" s="17">
        <v>1270.4860000000001</v>
      </c>
      <c r="BT20" s="17">
        <v>1194.0640000000001</v>
      </c>
      <c r="BU20" s="17">
        <v>1132.8389999999999</v>
      </c>
      <c r="BV20" s="17">
        <v>1081.1669999999999</v>
      </c>
      <c r="BW20" s="17">
        <v>1027.895</v>
      </c>
      <c r="BX20" s="17">
        <v>975.92700000000002</v>
      </c>
      <c r="BY20" s="17">
        <v>919.04600000000005</v>
      </c>
      <c r="BZ20" s="17">
        <v>853.25099999999998</v>
      </c>
      <c r="CA20" s="17">
        <v>782.14599999999996</v>
      </c>
      <c r="CB20" s="17">
        <v>713.84199999999998</v>
      </c>
      <c r="CC20" s="17">
        <v>647.34</v>
      </c>
      <c r="CD20" s="17">
        <v>581.89200000000005</v>
      </c>
      <c r="CE20" s="17">
        <v>518.14200000000005</v>
      </c>
      <c r="CF20" s="17">
        <v>456.524</v>
      </c>
      <c r="CG20" s="17">
        <v>396.911</v>
      </c>
      <c r="CH20" s="17">
        <v>339.43099999999998</v>
      </c>
      <c r="CI20" s="17">
        <v>286.803</v>
      </c>
      <c r="CJ20" s="17">
        <v>240.404</v>
      </c>
      <c r="CK20" s="17">
        <v>199.46</v>
      </c>
      <c r="CL20" s="17">
        <v>158.68199999999999</v>
      </c>
      <c r="CM20" s="17">
        <v>123.919</v>
      </c>
      <c r="CN20" s="17">
        <v>99.451999999999998</v>
      </c>
      <c r="CO20" s="17">
        <v>77.688999999999993</v>
      </c>
      <c r="CP20" s="17">
        <v>57.774999999999999</v>
      </c>
      <c r="CQ20" s="17">
        <v>42.398000000000003</v>
      </c>
      <c r="CR20" s="17">
        <v>33.981000000000002</v>
      </c>
      <c r="CS20" s="17">
        <v>27.527999999999999</v>
      </c>
      <c r="CT20" s="17">
        <v>19.966999999999999</v>
      </c>
      <c r="CU20" s="17">
        <v>11.297000000000001</v>
      </c>
      <c r="CV20" s="17">
        <v>7.14</v>
      </c>
      <c r="CW20" s="17">
        <v>3.738</v>
      </c>
      <c r="CX20" s="17">
        <v>5.4</v>
      </c>
      <c r="CY20" s="3">
        <f t="shared" si="4"/>
        <v>205805.75600000002</v>
      </c>
      <c r="CZ20" s="3">
        <f>SUM(T20:X20)</f>
        <v>17046.968000000001</v>
      </c>
      <c r="DA20" s="3">
        <f t="shared" si="5"/>
        <v>8.2830375259280886E-2</v>
      </c>
      <c r="DF20" s="3">
        <f>SUM(Y20:AQ20)</f>
        <v>47315.156999999992</v>
      </c>
      <c r="DG20" s="3">
        <f t="shared" si="2"/>
        <v>0.22990201012648057</v>
      </c>
      <c r="DH20">
        <f>SUM(AQ20:BQ20)</f>
        <v>57187.232999999993</v>
      </c>
      <c r="DI20" s="9">
        <f t="shared" si="3"/>
        <v>0.27786993965319406</v>
      </c>
      <c r="DJ20" s="7">
        <v>0.27786993965319406</v>
      </c>
      <c r="DK20" s="7">
        <v>0.22990201012648057</v>
      </c>
      <c r="DL20" s="7"/>
      <c r="DM20" s="7"/>
      <c r="DN20" s="7"/>
      <c r="DO20" s="10">
        <f t="shared" ref="DO20:DO72" si="7">SUM(DJ20:DN20)</f>
        <v>0.50777194977967466</v>
      </c>
    </row>
    <row r="21" spans="1:119">
      <c r="A21" s="4">
        <v>1969</v>
      </c>
      <c r="B21" s="17">
        <v>3277.761</v>
      </c>
      <c r="C21" s="17">
        <v>3461.395</v>
      </c>
      <c r="D21" s="17">
        <v>3623.8069999999998</v>
      </c>
      <c r="E21" s="17">
        <v>3765.4650000000001</v>
      </c>
      <c r="F21" s="17">
        <v>3853.0149999999999</v>
      </c>
      <c r="G21" s="17">
        <v>3961.4490000000001</v>
      </c>
      <c r="H21" s="17">
        <v>4050.8939999999998</v>
      </c>
      <c r="I21" s="17">
        <v>4121.3969999999999</v>
      </c>
      <c r="J21" s="17">
        <v>4173.0050000000001</v>
      </c>
      <c r="K21" s="17">
        <v>4207.8559999999998</v>
      </c>
      <c r="L21" s="17">
        <v>4228.0929999999998</v>
      </c>
      <c r="M21" s="17">
        <v>4223.2920000000004</v>
      </c>
      <c r="N21" s="17">
        <v>4189.3149999999996</v>
      </c>
      <c r="O21" s="17">
        <v>4132.4870000000001</v>
      </c>
      <c r="P21" s="17">
        <v>4064.24</v>
      </c>
      <c r="Q21" s="17">
        <v>3983.4409999999998</v>
      </c>
      <c r="R21" s="17">
        <v>3896.027</v>
      </c>
      <c r="S21" s="17">
        <v>3806.491</v>
      </c>
      <c r="T21" s="17">
        <v>3713.442</v>
      </c>
      <c r="U21" s="17">
        <v>3613.0189999999998</v>
      </c>
      <c r="V21" s="17">
        <v>3508.4340000000002</v>
      </c>
      <c r="W21" s="17">
        <v>3396.4859999999999</v>
      </c>
      <c r="X21" s="17">
        <v>3276.002</v>
      </c>
      <c r="Y21" s="17">
        <v>3151.1480000000001</v>
      </c>
      <c r="Z21" s="17">
        <v>3028.4319999999998</v>
      </c>
      <c r="AA21" s="17">
        <v>2907.9560000000001</v>
      </c>
      <c r="AB21" s="17">
        <v>2794.9850000000001</v>
      </c>
      <c r="AC21" s="17">
        <v>2693.2719999999999</v>
      </c>
      <c r="AD21" s="17">
        <v>2602.2669999999998</v>
      </c>
      <c r="AE21" s="17">
        <v>2517.12</v>
      </c>
      <c r="AF21" s="17">
        <v>2438.152</v>
      </c>
      <c r="AG21" s="17">
        <v>2375.9479999999999</v>
      </c>
      <c r="AH21" s="17">
        <v>2335.096</v>
      </c>
      <c r="AI21" s="17">
        <v>2311.6329999999998</v>
      </c>
      <c r="AJ21" s="17">
        <v>2294.125</v>
      </c>
      <c r="AK21" s="17">
        <v>2281.3980000000001</v>
      </c>
      <c r="AL21" s="17">
        <v>2286.3330000000001</v>
      </c>
      <c r="AM21" s="17">
        <v>2313.0709999999999</v>
      </c>
      <c r="AN21" s="17">
        <v>2354.0450000000001</v>
      </c>
      <c r="AO21" s="17">
        <v>2396.16</v>
      </c>
      <c r="AP21" s="17">
        <v>2440.3690000000001</v>
      </c>
      <c r="AQ21" s="17">
        <v>2478.652</v>
      </c>
      <c r="AR21" s="17">
        <v>2505.13</v>
      </c>
      <c r="AS21" s="17">
        <v>2521.4090000000001</v>
      </c>
      <c r="AT21" s="17">
        <v>2537.3960000000002</v>
      </c>
      <c r="AU21" s="17">
        <v>2554.0129999999999</v>
      </c>
      <c r="AV21" s="17">
        <v>2549.337</v>
      </c>
      <c r="AW21" s="17">
        <v>2514.366</v>
      </c>
      <c r="AX21" s="17">
        <v>2459.1370000000002</v>
      </c>
      <c r="AY21" s="17">
        <v>2402.2249999999999</v>
      </c>
      <c r="AZ21" s="17">
        <v>2339.3510000000001</v>
      </c>
      <c r="BA21" s="17">
        <v>2283.5749999999998</v>
      </c>
      <c r="BB21" s="17">
        <v>2243.0970000000002</v>
      </c>
      <c r="BC21" s="17">
        <v>2211.67</v>
      </c>
      <c r="BD21" s="17">
        <v>2174.7420000000002</v>
      </c>
      <c r="BE21" s="17">
        <v>2135.09</v>
      </c>
      <c r="BF21" s="17">
        <v>2093.3449999999998</v>
      </c>
      <c r="BG21" s="17">
        <v>2048.3270000000002</v>
      </c>
      <c r="BH21" s="17">
        <v>2000.64</v>
      </c>
      <c r="BI21" s="17">
        <v>1951.682</v>
      </c>
      <c r="BJ21" s="17">
        <v>1900.7049999999999</v>
      </c>
      <c r="BK21" s="17">
        <v>1848.646</v>
      </c>
      <c r="BL21" s="17">
        <v>1795.96</v>
      </c>
      <c r="BM21" s="17">
        <v>1741.693</v>
      </c>
      <c r="BN21" s="17">
        <v>1685.9780000000001</v>
      </c>
      <c r="BO21" s="17">
        <v>1630.6379999999999</v>
      </c>
      <c r="BP21" s="17">
        <v>1565.903</v>
      </c>
      <c r="BQ21" s="17">
        <v>1487.519</v>
      </c>
      <c r="BR21" s="17">
        <v>1400.89</v>
      </c>
      <c r="BS21" s="17">
        <v>1314.7139999999999</v>
      </c>
      <c r="BT21" s="17">
        <v>1226.0999999999999</v>
      </c>
      <c r="BU21" s="17">
        <v>1147.1669999999999</v>
      </c>
      <c r="BV21" s="17">
        <v>1084.4590000000001</v>
      </c>
      <c r="BW21" s="17">
        <v>1032.0129999999999</v>
      </c>
      <c r="BX21" s="17">
        <v>977.91200000000003</v>
      </c>
      <c r="BY21" s="17">
        <v>925.25400000000002</v>
      </c>
      <c r="BZ21" s="17">
        <v>867.79700000000003</v>
      </c>
      <c r="CA21" s="17">
        <v>801.46699999999998</v>
      </c>
      <c r="CB21" s="17">
        <v>729.97199999999998</v>
      </c>
      <c r="CC21" s="17">
        <v>661.60199999999998</v>
      </c>
      <c r="CD21" s="17">
        <v>595.30499999999995</v>
      </c>
      <c r="CE21" s="17">
        <v>530.56799999999998</v>
      </c>
      <c r="CF21" s="17">
        <v>468.16800000000001</v>
      </c>
      <c r="CG21" s="17">
        <v>408.42899999999997</v>
      </c>
      <c r="CH21" s="17">
        <v>350.87900000000002</v>
      </c>
      <c r="CI21" s="17">
        <v>295.58100000000002</v>
      </c>
      <c r="CJ21" s="17">
        <v>245.785</v>
      </c>
      <c r="CK21" s="17">
        <v>203.06</v>
      </c>
      <c r="CL21" s="17">
        <v>166.316</v>
      </c>
      <c r="CM21" s="17">
        <v>128.87100000000001</v>
      </c>
      <c r="CN21" s="17">
        <v>98.62</v>
      </c>
      <c r="CO21" s="17">
        <v>79.665000000000006</v>
      </c>
      <c r="CP21" s="17">
        <v>61.182000000000002</v>
      </c>
      <c r="CQ21" s="17">
        <v>42.747</v>
      </c>
      <c r="CR21" s="17">
        <v>30.321000000000002</v>
      </c>
      <c r="CS21" s="17">
        <v>24.664999999999999</v>
      </c>
      <c r="CT21" s="17">
        <v>19.79</v>
      </c>
      <c r="CU21" s="17">
        <v>14.162000000000001</v>
      </c>
      <c r="CV21" s="17">
        <v>7.78</v>
      </c>
      <c r="CW21" s="17">
        <v>3.9980000000000002</v>
      </c>
      <c r="CX21" s="17">
        <v>5.4859999999999998</v>
      </c>
      <c r="CY21" s="3">
        <f t="shared" si="4"/>
        <v>207659.27400000012</v>
      </c>
      <c r="CZ21" s="3">
        <f>SUM(T21:Y21)</f>
        <v>20658.531000000003</v>
      </c>
      <c r="DA21" s="3">
        <f t="shared" si="5"/>
        <v>9.9482823964799141E-2</v>
      </c>
      <c r="DF21" s="3">
        <f>SUM(Z21:AR21)</f>
        <v>47354.144</v>
      </c>
      <c r="DG21" s="3">
        <f t="shared" si="2"/>
        <v>0.22803770372422652</v>
      </c>
      <c r="DH21">
        <f>SUM(AR21:BR21)</f>
        <v>56582.464</v>
      </c>
      <c r="DI21" s="9">
        <f t="shared" si="3"/>
        <v>0.27247742376292794</v>
      </c>
      <c r="DJ21" s="7">
        <v>0.27247742376292794</v>
      </c>
      <c r="DK21" s="7">
        <v>0.22803770372422652</v>
      </c>
      <c r="DL21" s="7"/>
      <c r="DM21" s="7"/>
      <c r="DN21" s="7"/>
      <c r="DO21" s="10">
        <f t="shared" si="7"/>
        <v>0.50051512748715443</v>
      </c>
    </row>
    <row r="22" spans="1:119">
      <c r="A22" s="4">
        <v>1970</v>
      </c>
      <c r="B22" s="17">
        <v>3235.8870000000002</v>
      </c>
      <c r="C22" s="17">
        <v>3390.84</v>
      </c>
      <c r="D22" s="17">
        <v>3534.7269999999999</v>
      </c>
      <c r="E22" s="17">
        <v>3666.8850000000002</v>
      </c>
      <c r="F22" s="17">
        <v>3786.6509999999998</v>
      </c>
      <c r="G22" s="17">
        <v>3893.3609999999999</v>
      </c>
      <c r="H22" s="17">
        <v>3986.3519999999999</v>
      </c>
      <c r="I22" s="17">
        <v>4064.96</v>
      </c>
      <c r="J22" s="17">
        <v>4128.5230000000001</v>
      </c>
      <c r="K22" s="17">
        <v>4176.375</v>
      </c>
      <c r="L22" s="17">
        <v>4210.4690000000001</v>
      </c>
      <c r="M22" s="17">
        <v>4232.759</v>
      </c>
      <c r="N22" s="17">
        <v>4229.5010000000002</v>
      </c>
      <c r="O22" s="17">
        <v>4194.7979999999998</v>
      </c>
      <c r="P22" s="17">
        <v>4135.8370000000004</v>
      </c>
      <c r="Q22" s="17">
        <v>4067.1410000000001</v>
      </c>
      <c r="R22" s="17">
        <v>3987.5410000000002</v>
      </c>
      <c r="S22" s="17">
        <v>3898.9079999999999</v>
      </c>
      <c r="T22" s="17">
        <v>3804.203</v>
      </c>
      <c r="U22" s="17">
        <v>3703.8629999999998</v>
      </c>
      <c r="V22" s="17">
        <v>3596.8209999999999</v>
      </c>
      <c r="W22" s="17">
        <v>3485.0540000000001</v>
      </c>
      <c r="X22" s="17">
        <v>3370.3989999999999</v>
      </c>
      <c r="Y22" s="17">
        <v>3254.2570000000001</v>
      </c>
      <c r="Z22" s="17">
        <v>3138.1410000000001</v>
      </c>
      <c r="AA22" s="17">
        <v>3023.4450000000002</v>
      </c>
      <c r="AB22" s="17">
        <v>2911.4209999999998</v>
      </c>
      <c r="AC22" s="17">
        <v>2804.4740000000002</v>
      </c>
      <c r="AD22" s="17">
        <v>2704.4540000000002</v>
      </c>
      <c r="AE22" s="17">
        <v>2612.2559999999999</v>
      </c>
      <c r="AF22" s="17">
        <v>2526.547</v>
      </c>
      <c r="AG22" s="17">
        <v>2447.1439999999998</v>
      </c>
      <c r="AH22" s="17">
        <v>2383.7779999999998</v>
      </c>
      <c r="AI22" s="17">
        <v>2341.0320000000002</v>
      </c>
      <c r="AJ22" s="17">
        <v>2315.2240000000002</v>
      </c>
      <c r="AK22" s="17">
        <v>2295.085</v>
      </c>
      <c r="AL22" s="17">
        <v>2279.2600000000002</v>
      </c>
      <c r="AM22" s="17">
        <v>2282.1889999999999</v>
      </c>
      <c r="AN22" s="17">
        <v>2308.7620000000002</v>
      </c>
      <c r="AO22" s="17">
        <v>2350.7060000000001</v>
      </c>
      <c r="AP22" s="17">
        <v>2393.5149999999999</v>
      </c>
      <c r="AQ22" s="17">
        <v>2438.48</v>
      </c>
      <c r="AR22" s="17">
        <v>2476.8980000000001</v>
      </c>
      <c r="AS22" s="17">
        <v>2502.4319999999998</v>
      </c>
      <c r="AT22" s="17">
        <v>2517.0680000000002</v>
      </c>
      <c r="AU22" s="17">
        <v>2531.5569999999998</v>
      </c>
      <c r="AV22" s="17">
        <v>2546.654</v>
      </c>
      <c r="AW22" s="17">
        <v>2540.5279999999998</v>
      </c>
      <c r="AX22" s="17">
        <v>2504.3049999999998</v>
      </c>
      <c r="AY22" s="17">
        <v>2447.9369999999999</v>
      </c>
      <c r="AZ22" s="17">
        <v>2389.7080000000001</v>
      </c>
      <c r="BA22" s="17">
        <v>2325.3110000000001</v>
      </c>
      <c r="BB22" s="17">
        <v>2268.2249999999999</v>
      </c>
      <c r="BC22" s="17">
        <v>2226.8029999999999</v>
      </c>
      <c r="BD22" s="17">
        <v>2194.5729999999999</v>
      </c>
      <c r="BE22" s="17">
        <v>2156.8339999999998</v>
      </c>
      <c r="BF22" s="17">
        <v>2116.674</v>
      </c>
      <c r="BG22" s="17">
        <v>2073.192</v>
      </c>
      <c r="BH22" s="17">
        <v>2024.5150000000001</v>
      </c>
      <c r="BI22" s="17">
        <v>1972.096</v>
      </c>
      <c r="BJ22" s="17">
        <v>1918.6010000000001</v>
      </c>
      <c r="BK22" s="17">
        <v>1862.704</v>
      </c>
      <c r="BL22" s="17">
        <v>1807.7729999999999</v>
      </c>
      <c r="BM22" s="17">
        <v>1755.491</v>
      </c>
      <c r="BN22" s="17">
        <v>1703.64</v>
      </c>
      <c r="BO22" s="17">
        <v>1650.008</v>
      </c>
      <c r="BP22" s="17">
        <v>1597.078</v>
      </c>
      <c r="BQ22" s="17">
        <v>1533.18</v>
      </c>
      <c r="BR22" s="17">
        <v>1452.94</v>
      </c>
      <c r="BS22" s="17">
        <v>1362.7750000000001</v>
      </c>
      <c r="BT22" s="17">
        <v>1273.511</v>
      </c>
      <c r="BU22" s="17">
        <v>1181.828</v>
      </c>
      <c r="BV22" s="17">
        <v>1100.3779999999999</v>
      </c>
      <c r="BW22" s="17">
        <v>1036.1849999999999</v>
      </c>
      <c r="BX22" s="17">
        <v>982.96</v>
      </c>
      <c r="BY22" s="17">
        <v>928.02599999999995</v>
      </c>
      <c r="BZ22" s="17">
        <v>874.67600000000004</v>
      </c>
      <c r="CA22" s="17">
        <v>816.64</v>
      </c>
      <c r="CB22" s="17">
        <v>749.77</v>
      </c>
      <c r="CC22" s="17">
        <v>677.88199999999995</v>
      </c>
      <c r="CD22" s="17">
        <v>609.44000000000005</v>
      </c>
      <c r="CE22" s="17">
        <v>543.34199999999998</v>
      </c>
      <c r="CF22" s="17">
        <v>479.31299999999999</v>
      </c>
      <c r="CG22" s="17">
        <v>418.25599999999997</v>
      </c>
      <c r="CH22" s="17">
        <v>360.39299999999997</v>
      </c>
      <c r="CI22" s="17">
        <v>304.90100000000001</v>
      </c>
      <c r="CJ22" s="17">
        <v>251.779</v>
      </c>
      <c r="CK22" s="17">
        <v>204.81100000000001</v>
      </c>
      <c r="CL22" s="17">
        <v>165.75200000000001</v>
      </c>
      <c r="CM22" s="17">
        <v>133.20599999999999</v>
      </c>
      <c r="CN22" s="17">
        <v>99.09</v>
      </c>
      <c r="CO22" s="17">
        <v>73.343999999999994</v>
      </c>
      <c r="CP22" s="17">
        <v>59.896000000000001</v>
      </c>
      <c r="CQ22" s="17">
        <v>44.692</v>
      </c>
      <c r="CR22" s="17">
        <v>27.731000000000002</v>
      </c>
      <c r="CS22" s="17">
        <v>18.254000000000001</v>
      </c>
      <c r="CT22" s="17">
        <v>15.356</v>
      </c>
      <c r="CU22" s="17">
        <v>12.058999999999999</v>
      </c>
      <c r="CV22" s="17">
        <v>8.3610000000000007</v>
      </c>
      <c r="CW22" s="17">
        <v>4.2649999999999997</v>
      </c>
      <c r="CX22" s="17">
        <v>5.718</v>
      </c>
      <c r="CY22" s="3">
        <f t="shared" si="4"/>
        <v>209513.34000000017</v>
      </c>
      <c r="CZ22" s="3">
        <f>SUM(T22:Z22)</f>
        <v>24352.738000000001</v>
      </c>
      <c r="DA22" s="3">
        <f t="shared" si="5"/>
        <v>0.11623478485904516</v>
      </c>
      <c r="DF22" s="3">
        <f>SUM(AA22:AS22)</f>
        <v>47397.101999999999</v>
      </c>
      <c r="DG22" s="3">
        <f t="shared" si="2"/>
        <v>0.22622474540284623</v>
      </c>
      <c r="DH22">
        <f>SUM(AS22:BS22)</f>
        <v>55982.602000000006</v>
      </c>
      <c r="DI22" s="9">
        <f t="shared" si="3"/>
        <v>0.26720304301387188</v>
      </c>
      <c r="DJ22" s="7">
        <v>0.26720304301387188</v>
      </c>
      <c r="DK22" s="7">
        <v>0.22622474540284623</v>
      </c>
      <c r="DL22" s="7"/>
      <c r="DM22" s="7"/>
      <c r="DN22" s="7"/>
      <c r="DO22" s="10">
        <f t="shared" si="7"/>
        <v>0.49342778841671808</v>
      </c>
    </row>
    <row r="23" spans="1:119">
      <c r="A23" s="4">
        <v>1971</v>
      </c>
      <c r="B23" s="17">
        <v>3231.8159999999998</v>
      </c>
      <c r="C23" s="17">
        <v>3261.7640000000001</v>
      </c>
      <c r="D23" s="17">
        <v>3402.4250000000002</v>
      </c>
      <c r="E23" s="17">
        <v>3537.5940000000001</v>
      </c>
      <c r="F23" s="17">
        <v>3665.6489999999999</v>
      </c>
      <c r="G23" s="17">
        <v>3784.9740000000002</v>
      </c>
      <c r="H23" s="17">
        <v>3894.9690000000001</v>
      </c>
      <c r="I23" s="17">
        <v>3995.0369999999998</v>
      </c>
      <c r="J23" s="17">
        <v>4078.4569999999999</v>
      </c>
      <c r="K23" s="17">
        <v>4141.5749999999998</v>
      </c>
      <c r="L23" s="17">
        <v>4185.83</v>
      </c>
      <c r="M23" s="17">
        <v>4218.3580000000002</v>
      </c>
      <c r="N23" s="17">
        <v>4240.1819999999998</v>
      </c>
      <c r="O23" s="17">
        <v>4236.4880000000003</v>
      </c>
      <c r="P23" s="17">
        <v>4201.402</v>
      </c>
      <c r="Q23" s="17">
        <v>4142.24</v>
      </c>
      <c r="R23" s="17">
        <v>4073.2849999999999</v>
      </c>
      <c r="S23" s="17">
        <v>3992.99</v>
      </c>
      <c r="T23" s="17">
        <v>3905.4960000000001</v>
      </c>
      <c r="U23" s="17">
        <v>3814.7359999999999</v>
      </c>
      <c r="V23" s="17">
        <v>3719.9079999999999</v>
      </c>
      <c r="W23" s="17">
        <v>3617.9569999999999</v>
      </c>
      <c r="X23" s="17">
        <v>3511.5169999999998</v>
      </c>
      <c r="Y23" s="17">
        <v>3399.6570000000002</v>
      </c>
      <c r="Z23" s="17">
        <v>3282.2820000000002</v>
      </c>
      <c r="AA23" s="17">
        <v>3162.2649999999999</v>
      </c>
      <c r="AB23" s="17">
        <v>3043.998</v>
      </c>
      <c r="AC23" s="17">
        <v>2928.31</v>
      </c>
      <c r="AD23" s="17">
        <v>2817.6010000000001</v>
      </c>
      <c r="AE23" s="17">
        <v>2714.0770000000002</v>
      </c>
      <c r="AF23" s="17">
        <v>2618.64</v>
      </c>
      <c r="AG23" s="17">
        <v>2529.4070000000002</v>
      </c>
      <c r="AH23" s="17">
        <v>2446.0610000000001</v>
      </c>
      <c r="AI23" s="17">
        <v>2380.2910000000002</v>
      </c>
      <c r="AJ23" s="17">
        <v>2337.5259999999998</v>
      </c>
      <c r="AK23" s="17">
        <v>2313.1860000000001</v>
      </c>
      <c r="AL23" s="17">
        <v>2294.3290000000002</v>
      </c>
      <c r="AM23" s="17">
        <v>2280.02</v>
      </c>
      <c r="AN23" s="17">
        <v>2283.4760000000001</v>
      </c>
      <c r="AO23" s="17">
        <v>2308.837</v>
      </c>
      <c r="AP23" s="17">
        <v>2348.4520000000002</v>
      </c>
      <c r="AQ23" s="17">
        <v>2389.2040000000002</v>
      </c>
      <c r="AR23" s="17">
        <v>2432.1329999999998</v>
      </c>
      <c r="AS23" s="17">
        <v>2468.5839999999998</v>
      </c>
      <c r="AT23" s="17">
        <v>2492.395</v>
      </c>
      <c r="AU23" s="17">
        <v>2505.4720000000002</v>
      </c>
      <c r="AV23" s="17">
        <v>2518.2539999999999</v>
      </c>
      <c r="AW23" s="17">
        <v>2531.4899999999998</v>
      </c>
      <c r="AX23" s="17">
        <v>2523.8249999999998</v>
      </c>
      <c r="AY23" s="17">
        <v>2486.5700000000002</v>
      </c>
      <c r="AZ23" s="17">
        <v>2429.4549999999999</v>
      </c>
      <c r="BA23" s="17">
        <v>2370.4899999999998</v>
      </c>
      <c r="BB23" s="17">
        <v>2305.5819999999999</v>
      </c>
      <c r="BC23" s="17">
        <v>2247.2759999999998</v>
      </c>
      <c r="BD23" s="17">
        <v>2203.482</v>
      </c>
      <c r="BE23" s="17">
        <v>2168.2449999999999</v>
      </c>
      <c r="BF23" s="17">
        <v>2127.5279999999998</v>
      </c>
      <c r="BG23" s="17">
        <v>2083.94</v>
      </c>
      <c r="BH23" s="17">
        <v>2038.626</v>
      </c>
      <c r="BI23" s="17">
        <v>1990.6869999999999</v>
      </c>
      <c r="BJ23" s="17">
        <v>1940.444</v>
      </c>
      <c r="BK23" s="17">
        <v>1888.8979999999999</v>
      </c>
      <c r="BL23" s="17">
        <v>1835.586</v>
      </c>
      <c r="BM23" s="17">
        <v>1780.3589999999999</v>
      </c>
      <c r="BN23" s="17">
        <v>1723.155</v>
      </c>
      <c r="BO23" s="17">
        <v>1663.6510000000001</v>
      </c>
      <c r="BP23" s="17">
        <v>1602.9849999999999</v>
      </c>
      <c r="BQ23" s="17">
        <v>1542.61</v>
      </c>
      <c r="BR23" s="17">
        <v>1474.2619999999999</v>
      </c>
      <c r="BS23" s="17">
        <v>1394.4870000000001</v>
      </c>
      <c r="BT23" s="17">
        <v>1307.92</v>
      </c>
      <c r="BU23" s="17">
        <v>1221.778</v>
      </c>
      <c r="BV23" s="17">
        <v>1133.56</v>
      </c>
      <c r="BW23" s="17">
        <v>1054.453</v>
      </c>
      <c r="BX23" s="17">
        <v>990.42</v>
      </c>
      <c r="BY23" s="17">
        <v>936.01700000000005</v>
      </c>
      <c r="BZ23" s="17">
        <v>880.56600000000003</v>
      </c>
      <c r="CA23" s="17">
        <v>827.077</v>
      </c>
      <c r="CB23" s="17">
        <v>768.904</v>
      </c>
      <c r="CC23" s="17">
        <v>701.94600000000003</v>
      </c>
      <c r="CD23" s="17">
        <v>630.15099999999995</v>
      </c>
      <c r="CE23" s="17">
        <v>561.91899999999998</v>
      </c>
      <c r="CF23" s="17">
        <v>495.99599999999998</v>
      </c>
      <c r="CG23" s="17">
        <v>433.36799999999999</v>
      </c>
      <c r="CH23" s="17">
        <v>375.51</v>
      </c>
      <c r="CI23" s="17">
        <v>322.029</v>
      </c>
      <c r="CJ23" s="17">
        <v>269.97300000000001</v>
      </c>
      <c r="CK23" s="17">
        <v>221.739</v>
      </c>
      <c r="CL23" s="17">
        <v>180.637</v>
      </c>
      <c r="CM23" s="17">
        <v>145.19399999999999</v>
      </c>
      <c r="CN23" s="17">
        <v>114.288</v>
      </c>
      <c r="CO23" s="17">
        <v>84.144000000000005</v>
      </c>
      <c r="CP23" s="17">
        <v>62.746000000000002</v>
      </c>
      <c r="CQ23" s="17">
        <v>51.107999999999997</v>
      </c>
      <c r="CR23" s="17">
        <v>37.982999999999997</v>
      </c>
      <c r="CS23" s="17">
        <v>23.373000000000001</v>
      </c>
      <c r="CT23" s="17">
        <v>16.259</v>
      </c>
      <c r="CU23" s="17">
        <v>12.769</v>
      </c>
      <c r="CV23" s="17">
        <v>8.86</v>
      </c>
      <c r="CW23" s="17">
        <v>4.532</v>
      </c>
      <c r="CX23" s="17">
        <v>6.1210000000000004</v>
      </c>
      <c r="CY23" s="3">
        <f t="shared" si="4"/>
        <v>211384.07899999994</v>
      </c>
      <c r="CZ23" s="3">
        <f>SUM(T23:AA23)</f>
        <v>28413.817999999999</v>
      </c>
      <c r="DA23" s="3">
        <f t="shared" si="5"/>
        <v>0.1344179662650942</v>
      </c>
      <c r="DF23" s="3">
        <f>SUM(AB23:AT23)</f>
        <v>47426.527000000002</v>
      </c>
      <c r="DG23" s="3">
        <f t="shared" si="2"/>
        <v>0.22436186880469847</v>
      </c>
      <c r="DH23">
        <f>SUM(AT23:BT23)</f>
        <v>55177.673999999999</v>
      </c>
      <c r="DI23" s="9">
        <f t="shared" si="3"/>
        <v>0.26103041563503943</v>
      </c>
      <c r="DJ23" s="7">
        <v>0.26103041563503943</v>
      </c>
      <c r="DK23" s="7">
        <v>0.22436186880469847</v>
      </c>
      <c r="DL23" s="7"/>
      <c r="DM23" s="7"/>
      <c r="DN23" s="7"/>
      <c r="DO23" s="10">
        <f t="shared" si="7"/>
        <v>0.48539228443973792</v>
      </c>
    </row>
    <row r="24" spans="1:119">
      <c r="A24" s="4">
        <v>1972</v>
      </c>
      <c r="B24" s="17">
        <v>3260.0070000000001</v>
      </c>
      <c r="C24" s="17">
        <v>3318.7649999999999</v>
      </c>
      <c r="D24" s="17">
        <v>3286.0590000000002</v>
      </c>
      <c r="E24" s="17">
        <v>3412.364</v>
      </c>
      <c r="F24" s="17">
        <v>3538.7489999999998</v>
      </c>
      <c r="G24" s="17">
        <v>3662.6419999999998</v>
      </c>
      <c r="H24" s="17">
        <v>3781.4690000000001</v>
      </c>
      <c r="I24" s="17">
        <v>3894.6950000000002</v>
      </c>
      <c r="J24" s="17">
        <v>4001.7890000000002</v>
      </c>
      <c r="K24" s="17">
        <v>4089.982</v>
      </c>
      <c r="L24" s="17">
        <v>4152.625</v>
      </c>
      <c r="M24" s="17">
        <v>4193.2610000000004</v>
      </c>
      <c r="N24" s="17">
        <v>4224.2089999999998</v>
      </c>
      <c r="O24" s="17">
        <v>4245.5540000000001</v>
      </c>
      <c r="P24" s="17">
        <v>4241.4260000000004</v>
      </c>
      <c r="Q24" s="17">
        <v>4205.9740000000002</v>
      </c>
      <c r="R24" s="17">
        <v>4146.6400000000003</v>
      </c>
      <c r="S24" s="17">
        <v>4077.4580000000001</v>
      </c>
      <c r="T24" s="17">
        <v>3996.5070000000001</v>
      </c>
      <c r="U24" s="17">
        <v>3910.194</v>
      </c>
      <c r="V24" s="17">
        <v>3823.4189999999999</v>
      </c>
      <c r="W24" s="17">
        <v>3734.145</v>
      </c>
      <c r="X24" s="17">
        <v>3637.3290000000002</v>
      </c>
      <c r="Y24" s="17">
        <v>3536.261</v>
      </c>
      <c r="Z24" s="17">
        <v>3427.248</v>
      </c>
      <c r="AA24" s="17">
        <v>3308.6990000000001</v>
      </c>
      <c r="AB24" s="17">
        <v>3184.8429999999998</v>
      </c>
      <c r="AC24" s="17">
        <v>3063.067</v>
      </c>
      <c r="AD24" s="17">
        <v>2943.7759999999998</v>
      </c>
      <c r="AE24" s="17">
        <v>2829.3620000000001</v>
      </c>
      <c r="AF24" s="17">
        <v>2722.386</v>
      </c>
      <c r="AG24" s="17">
        <v>2623.7559999999999</v>
      </c>
      <c r="AH24" s="17">
        <v>2531.0410000000002</v>
      </c>
      <c r="AI24" s="17">
        <v>2443.7910000000002</v>
      </c>
      <c r="AJ24" s="17">
        <v>2375.652</v>
      </c>
      <c r="AK24" s="17">
        <v>2332.89</v>
      </c>
      <c r="AL24" s="17">
        <v>2310.0279999999998</v>
      </c>
      <c r="AM24" s="17">
        <v>2292.4609999999998</v>
      </c>
      <c r="AN24" s="17">
        <v>2279.6750000000002</v>
      </c>
      <c r="AO24" s="17">
        <v>2283.6559999999999</v>
      </c>
      <c r="AP24" s="17">
        <v>2307.7930000000001</v>
      </c>
      <c r="AQ24" s="17">
        <v>2345.0569999999998</v>
      </c>
      <c r="AR24" s="17">
        <v>2383.7330000000002</v>
      </c>
      <c r="AS24" s="17">
        <v>2424.6039999999998</v>
      </c>
      <c r="AT24" s="17">
        <v>2459.0729999999999</v>
      </c>
      <c r="AU24" s="17">
        <v>2481.1469999999999</v>
      </c>
      <c r="AV24" s="17">
        <v>2492.6570000000002</v>
      </c>
      <c r="AW24" s="17">
        <v>2503.7269999999999</v>
      </c>
      <c r="AX24" s="17">
        <v>2515.096</v>
      </c>
      <c r="AY24" s="17">
        <v>2505.8960000000002</v>
      </c>
      <c r="AZ24" s="17">
        <v>2467.6260000000002</v>
      </c>
      <c r="BA24" s="17">
        <v>2409.7919999999999</v>
      </c>
      <c r="BB24" s="17">
        <v>2350.1210000000001</v>
      </c>
      <c r="BC24" s="17">
        <v>2284.732</v>
      </c>
      <c r="BD24" s="17">
        <v>2225.2339999999999</v>
      </c>
      <c r="BE24" s="17">
        <v>2179.0889999999999</v>
      </c>
      <c r="BF24" s="17">
        <v>2140.8609999999999</v>
      </c>
      <c r="BG24" s="17">
        <v>2097.1860000000001</v>
      </c>
      <c r="BH24" s="17">
        <v>2050.1909999999998</v>
      </c>
      <c r="BI24" s="17">
        <v>2003.0650000000001</v>
      </c>
      <c r="BJ24" s="17">
        <v>1955.886</v>
      </c>
      <c r="BK24" s="17">
        <v>1907.8440000000001</v>
      </c>
      <c r="BL24" s="17">
        <v>1858.271</v>
      </c>
      <c r="BM24" s="17">
        <v>1807.566</v>
      </c>
      <c r="BN24" s="17">
        <v>1752.069</v>
      </c>
      <c r="BO24" s="17">
        <v>1689.9690000000001</v>
      </c>
      <c r="BP24" s="17">
        <v>1622.845</v>
      </c>
      <c r="BQ24" s="17">
        <v>1555.175</v>
      </c>
      <c r="BR24" s="17">
        <v>1487.384</v>
      </c>
      <c r="BS24" s="17">
        <v>1414.62</v>
      </c>
      <c r="BT24" s="17">
        <v>1335.347</v>
      </c>
      <c r="BU24" s="17">
        <v>1252.421</v>
      </c>
      <c r="BV24" s="17">
        <v>1169.441</v>
      </c>
      <c r="BW24" s="17">
        <v>1084.7280000000001</v>
      </c>
      <c r="BX24" s="17">
        <v>1008.002</v>
      </c>
      <c r="BY24" s="17">
        <v>944.16099999999994</v>
      </c>
      <c r="BZ24" s="17">
        <v>888.60699999999997</v>
      </c>
      <c r="CA24" s="17">
        <v>832.66700000000003</v>
      </c>
      <c r="CB24" s="17">
        <v>779.06600000000003</v>
      </c>
      <c r="CC24" s="17">
        <v>720.78300000000002</v>
      </c>
      <c r="CD24" s="17">
        <v>653.77200000000005</v>
      </c>
      <c r="CE24" s="17">
        <v>582.10599999999999</v>
      </c>
      <c r="CF24" s="17">
        <v>514.11900000000003</v>
      </c>
      <c r="CG24" s="17">
        <v>448.404</v>
      </c>
      <c r="CH24" s="17">
        <v>387.20800000000003</v>
      </c>
      <c r="CI24" s="17">
        <v>332.57600000000002</v>
      </c>
      <c r="CJ24" s="17">
        <v>283.50400000000002</v>
      </c>
      <c r="CK24" s="17">
        <v>234.91</v>
      </c>
      <c r="CL24" s="17">
        <v>191.58600000000001</v>
      </c>
      <c r="CM24" s="17">
        <v>156.37200000000001</v>
      </c>
      <c r="CN24" s="17">
        <v>124.56</v>
      </c>
      <c r="CO24" s="17">
        <v>95.313000000000002</v>
      </c>
      <c r="CP24" s="17">
        <v>69.155000000000001</v>
      </c>
      <c r="CQ24" s="17">
        <v>52.116999999999997</v>
      </c>
      <c r="CR24" s="17">
        <v>42.295000000000002</v>
      </c>
      <c r="CS24" s="17">
        <v>31.257000000000001</v>
      </c>
      <c r="CT24" s="17">
        <v>19.003</v>
      </c>
      <c r="CU24" s="17">
        <v>13.381</v>
      </c>
      <c r="CV24" s="17">
        <v>9.298</v>
      </c>
      <c r="CW24" s="17">
        <v>4.8049999999999997</v>
      </c>
      <c r="CX24" s="17">
        <v>6.6779999999999999</v>
      </c>
      <c r="CY24" s="3">
        <f t="shared" si="4"/>
        <v>213269.80499999996</v>
      </c>
      <c r="CZ24" s="3">
        <f>SUM(T24:AB24)</f>
        <v>32558.645</v>
      </c>
      <c r="DA24" s="3">
        <f t="shared" si="5"/>
        <v>0.15266411013973594</v>
      </c>
      <c r="DF24" s="3">
        <f>SUM(AC24:AU24)</f>
        <v>47432.947999999989</v>
      </c>
      <c r="DG24" s="3">
        <f t="shared" si="2"/>
        <v>0.22240817447176828</v>
      </c>
      <c r="DH24">
        <f>SUM(AU24:BU24)</f>
        <v>54345.81700000001</v>
      </c>
      <c r="DI24" s="9">
        <f t="shared" si="3"/>
        <v>0.25482190036231345</v>
      </c>
      <c r="DJ24" s="7">
        <v>0.25482190036231345</v>
      </c>
      <c r="DK24" s="7">
        <v>0.22240817447176828</v>
      </c>
      <c r="DL24" s="7"/>
      <c r="DM24" s="7"/>
      <c r="DN24" s="7"/>
      <c r="DO24" s="10">
        <f t="shared" si="7"/>
        <v>0.47723007483408175</v>
      </c>
    </row>
    <row r="25" spans="1:119">
      <c r="A25" s="4">
        <v>1973</v>
      </c>
      <c r="B25" s="17">
        <v>3307.3890000000001</v>
      </c>
      <c r="C25" s="17">
        <v>3308.511</v>
      </c>
      <c r="D25" s="17">
        <v>3337.3820000000001</v>
      </c>
      <c r="E25" s="17">
        <v>3310.2240000000002</v>
      </c>
      <c r="F25" s="17">
        <v>3422.1770000000001</v>
      </c>
      <c r="G25" s="17">
        <v>3539.7820000000002</v>
      </c>
      <c r="H25" s="17">
        <v>3659.51</v>
      </c>
      <c r="I25" s="17">
        <v>3777.8339999999998</v>
      </c>
      <c r="J25" s="17">
        <v>3894.288</v>
      </c>
      <c r="K25" s="17">
        <v>4008.3989999999999</v>
      </c>
      <c r="L25" s="17">
        <v>4101.3580000000002</v>
      </c>
      <c r="M25" s="17">
        <v>4163.5240000000003</v>
      </c>
      <c r="N25" s="17">
        <v>4200.5429999999997</v>
      </c>
      <c r="O25" s="17">
        <v>4229.9089999999997</v>
      </c>
      <c r="P25" s="17">
        <v>4250.7759999999998</v>
      </c>
      <c r="Q25" s="17">
        <v>4246.2160000000003</v>
      </c>
      <c r="R25" s="17">
        <v>4210.3969999999999</v>
      </c>
      <c r="S25" s="17">
        <v>4150.8919999999998</v>
      </c>
      <c r="T25" s="17">
        <v>4081.4870000000001</v>
      </c>
      <c r="U25" s="17">
        <v>3999.8820000000001</v>
      </c>
      <c r="V25" s="17">
        <v>3914.752</v>
      </c>
      <c r="W25" s="17">
        <v>3831.962</v>
      </c>
      <c r="X25" s="17">
        <v>3748.239</v>
      </c>
      <c r="Y25" s="17">
        <v>3656.558</v>
      </c>
      <c r="Z25" s="17">
        <v>3560.8609999999999</v>
      </c>
      <c r="AA25" s="17">
        <v>3454.6950000000002</v>
      </c>
      <c r="AB25" s="17">
        <v>3334.9789999999998</v>
      </c>
      <c r="AC25" s="17">
        <v>3207.2910000000002</v>
      </c>
      <c r="AD25" s="17">
        <v>3082.0129999999999</v>
      </c>
      <c r="AE25" s="17">
        <v>2959.127</v>
      </c>
      <c r="AF25" s="17">
        <v>2841.0149999999999</v>
      </c>
      <c r="AG25" s="17">
        <v>2730.5940000000001</v>
      </c>
      <c r="AH25" s="17">
        <v>2628.777</v>
      </c>
      <c r="AI25" s="17">
        <v>2532.585</v>
      </c>
      <c r="AJ25" s="17">
        <v>2441.4380000000001</v>
      </c>
      <c r="AK25" s="17">
        <v>2370.9319999999998</v>
      </c>
      <c r="AL25" s="17">
        <v>2328.1729999999998</v>
      </c>
      <c r="AM25" s="17">
        <v>2306.79</v>
      </c>
      <c r="AN25" s="17">
        <v>2290.5129999999999</v>
      </c>
      <c r="AO25" s="17">
        <v>2279.25</v>
      </c>
      <c r="AP25" s="17">
        <v>2283.7570000000001</v>
      </c>
      <c r="AQ25" s="17">
        <v>2306.6689999999999</v>
      </c>
      <c r="AR25" s="17">
        <v>2341.5819999999999</v>
      </c>
      <c r="AS25" s="17">
        <v>2378.1790000000001</v>
      </c>
      <c r="AT25" s="17">
        <v>2416.9929999999999</v>
      </c>
      <c r="AU25" s="17">
        <v>2449.4769999999999</v>
      </c>
      <c r="AV25" s="17">
        <v>2469.8159999999998</v>
      </c>
      <c r="AW25" s="17">
        <v>2479.761</v>
      </c>
      <c r="AX25" s="17">
        <v>2489.1190000000001</v>
      </c>
      <c r="AY25" s="17">
        <v>2498.6210000000001</v>
      </c>
      <c r="AZ25" s="17">
        <v>2487.886</v>
      </c>
      <c r="BA25" s="17">
        <v>2448.6030000000001</v>
      </c>
      <c r="BB25" s="17">
        <v>2390.0520000000001</v>
      </c>
      <c r="BC25" s="17">
        <v>2329.6750000000002</v>
      </c>
      <c r="BD25" s="17">
        <v>2263.8090000000002</v>
      </c>
      <c r="BE25" s="17">
        <v>2203.1210000000001</v>
      </c>
      <c r="BF25" s="17">
        <v>2154.63</v>
      </c>
      <c r="BG25" s="17">
        <v>2113.413</v>
      </c>
      <c r="BH25" s="17">
        <v>2066.7829999999999</v>
      </c>
      <c r="BI25" s="17">
        <v>2016.384</v>
      </c>
      <c r="BJ25" s="17">
        <v>1967.45</v>
      </c>
      <c r="BK25" s="17">
        <v>1921.0309999999999</v>
      </c>
      <c r="BL25" s="17">
        <v>1875.1869999999999</v>
      </c>
      <c r="BM25" s="17">
        <v>1827.586</v>
      </c>
      <c r="BN25" s="17">
        <v>1779.4870000000001</v>
      </c>
      <c r="BO25" s="17">
        <v>1723.722</v>
      </c>
      <c r="BP25" s="17">
        <v>1656.7339999999999</v>
      </c>
      <c r="BQ25" s="17">
        <v>1581.9939999999999</v>
      </c>
      <c r="BR25" s="17">
        <v>1507.328</v>
      </c>
      <c r="BS25" s="17">
        <v>1432.13</v>
      </c>
      <c r="BT25" s="17">
        <v>1354.9559999999999</v>
      </c>
      <c r="BU25" s="17">
        <v>1276.1859999999999</v>
      </c>
      <c r="BV25" s="17">
        <v>1196.9010000000001</v>
      </c>
      <c r="BW25" s="17">
        <v>1117.0830000000001</v>
      </c>
      <c r="BX25" s="17">
        <v>1035.877</v>
      </c>
      <c r="BY25" s="17">
        <v>961.53300000000002</v>
      </c>
      <c r="BZ25" s="17">
        <v>897.88599999999997</v>
      </c>
      <c r="CA25" s="17">
        <v>841.18299999999999</v>
      </c>
      <c r="CB25" s="17">
        <v>784.75800000000004</v>
      </c>
      <c r="CC25" s="17">
        <v>731.04700000000003</v>
      </c>
      <c r="CD25" s="17">
        <v>672.65800000000002</v>
      </c>
      <c r="CE25" s="17">
        <v>605.596</v>
      </c>
      <c r="CF25" s="17">
        <v>534.06100000000004</v>
      </c>
      <c r="CG25" s="17">
        <v>466.32400000000001</v>
      </c>
      <c r="CH25" s="17">
        <v>400.81900000000002</v>
      </c>
      <c r="CI25" s="17">
        <v>341.05900000000003</v>
      </c>
      <c r="CJ25" s="17">
        <v>289.65300000000002</v>
      </c>
      <c r="CK25" s="17">
        <v>244.99</v>
      </c>
      <c r="CL25" s="17">
        <v>199.857</v>
      </c>
      <c r="CM25" s="17">
        <v>161.44499999999999</v>
      </c>
      <c r="CN25" s="17">
        <v>132.114</v>
      </c>
      <c r="CO25" s="17">
        <v>103.934</v>
      </c>
      <c r="CP25" s="17">
        <v>76.344999999999999</v>
      </c>
      <c r="CQ25" s="17">
        <v>54.173000000000002</v>
      </c>
      <c r="CR25" s="17">
        <v>41.491999999999997</v>
      </c>
      <c r="CS25" s="17">
        <v>33.484999999999999</v>
      </c>
      <c r="CT25" s="17">
        <v>24.530999999999999</v>
      </c>
      <c r="CU25" s="17">
        <v>14.635</v>
      </c>
      <c r="CV25" s="17">
        <v>9.7520000000000007</v>
      </c>
      <c r="CW25" s="17">
        <v>5.1070000000000002</v>
      </c>
      <c r="CX25" s="17">
        <v>7.3540000000000001</v>
      </c>
      <c r="CY25" s="3">
        <f t="shared" si="4"/>
        <v>215178.79699999999</v>
      </c>
      <c r="CZ25" s="3">
        <f>SUM(T25:AC25)</f>
        <v>36790.705999999998</v>
      </c>
      <c r="DA25" s="3">
        <f t="shared" si="5"/>
        <v>0.17097737561940177</v>
      </c>
      <c r="DF25" s="3">
        <f>SUM(AD25:AV25)</f>
        <v>47437.68</v>
      </c>
      <c r="DG25" s="3">
        <f t="shared" si="2"/>
        <v>0.22045703694495514</v>
      </c>
      <c r="DH25">
        <f>SUM(AV25:BV25)</f>
        <v>53512.364999999998</v>
      </c>
      <c r="DI25" s="9">
        <f t="shared" si="3"/>
        <v>0.24868790859538079</v>
      </c>
      <c r="DJ25" s="7">
        <v>0.24868790859538079</v>
      </c>
      <c r="DK25" s="7">
        <v>0.22045703694495514</v>
      </c>
      <c r="DL25" s="7"/>
      <c r="DM25" s="7"/>
      <c r="DN25" s="7"/>
      <c r="DO25" s="10">
        <f t="shared" si="7"/>
        <v>0.46914494554033592</v>
      </c>
    </row>
    <row r="26" spans="1:119">
      <c r="A26" s="4">
        <v>1974</v>
      </c>
      <c r="B26" s="17">
        <v>3354.7370000000001</v>
      </c>
      <c r="C26" s="17">
        <v>3306.221</v>
      </c>
      <c r="D26" s="17">
        <v>3295.8609999999999</v>
      </c>
      <c r="E26" s="17">
        <v>3318.5189999999998</v>
      </c>
      <c r="F26" s="17">
        <v>3335.5990000000002</v>
      </c>
      <c r="G26" s="17">
        <v>3433.248</v>
      </c>
      <c r="H26" s="17">
        <v>3542.1179999999999</v>
      </c>
      <c r="I26" s="17">
        <v>3657.7269999999999</v>
      </c>
      <c r="J26" s="17">
        <v>3775.5929999999998</v>
      </c>
      <c r="K26" s="17">
        <v>3895.3139999999999</v>
      </c>
      <c r="L26" s="17">
        <v>4016.4830000000002</v>
      </c>
      <c r="M26" s="17">
        <v>4114.24</v>
      </c>
      <c r="N26" s="17">
        <v>4175.9539999999997</v>
      </c>
      <c r="O26" s="17">
        <v>4209.37</v>
      </c>
      <c r="P26" s="17">
        <v>4237.165</v>
      </c>
      <c r="Q26" s="17">
        <v>4257.5619999999999</v>
      </c>
      <c r="R26" s="17">
        <v>4252.567</v>
      </c>
      <c r="S26" s="17">
        <v>4216.3689999999997</v>
      </c>
      <c r="T26" s="17">
        <v>4156.6729999999998</v>
      </c>
      <c r="U26" s="17">
        <v>4087.018</v>
      </c>
      <c r="V26" s="17">
        <v>4004.73</v>
      </c>
      <c r="W26" s="17">
        <v>3920.75</v>
      </c>
      <c r="X26" s="17">
        <v>3841.9140000000002</v>
      </c>
      <c r="Y26" s="17">
        <v>3763.712</v>
      </c>
      <c r="Z26" s="17">
        <v>3677.1309999999999</v>
      </c>
      <c r="AA26" s="17">
        <v>3586.7689999999998</v>
      </c>
      <c r="AB26" s="17">
        <v>3483.4119999999998</v>
      </c>
      <c r="AC26" s="17">
        <v>3362.482</v>
      </c>
      <c r="AD26" s="17">
        <v>3230.9169999999999</v>
      </c>
      <c r="AE26" s="17">
        <v>3102.0909999999999</v>
      </c>
      <c r="AF26" s="17">
        <v>2975.5639999999999</v>
      </c>
      <c r="AG26" s="17">
        <v>2853.712</v>
      </c>
      <c r="AH26" s="17">
        <v>2739.8040000000001</v>
      </c>
      <c r="AI26" s="17">
        <v>2634.7640000000001</v>
      </c>
      <c r="AJ26" s="17">
        <v>2535.0619999999999</v>
      </c>
      <c r="AK26" s="17">
        <v>2439.9850000000001</v>
      </c>
      <c r="AL26" s="17">
        <v>2367.087</v>
      </c>
      <c r="AM26" s="17">
        <v>2324.317</v>
      </c>
      <c r="AN26" s="17">
        <v>2304.404</v>
      </c>
      <c r="AO26" s="17">
        <v>2289.4119999999998</v>
      </c>
      <c r="AP26" s="17">
        <v>2279.665</v>
      </c>
      <c r="AQ26" s="17">
        <v>2284.6979999999999</v>
      </c>
      <c r="AR26" s="17">
        <v>2306.395</v>
      </c>
      <c r="AS26" s="17">
        <v>2338.9720000000002</v>
      </c>
      <c r="AT26" s="17">
        <v>2373.5059999999999</v>
      </c>
      <c r="AU26" s="17">
        <v>2410.2759999999998</v>
      </c>
      <c r="AV26" s="17">
        <v>2440.788</v>
      </c>
      <c r="AW26" s="17">
        <v>2459.3989999999999</v>
      </c>
      <c r="AX26" s="17">
        <v>2467.7820000000002</v>
      </c>
      <c r="AY26" s="17">
        <v>2475.433</v>
      </c>
      <c r="AZ26" s="17">
        <v>2483.0720000000001</v>
      </c>
      <c r="BA26" s="17">
        <v>2470.8000000000002</v>
      </c>
      <c r="BB26" s="17">
        <v>2430.4920000000002</v>
      </c>
      <c r="BC26" s="17">
        <v>2371.201</v>
      </c>
      <c r="BD26" s="17">
        <v>2310.0970000000002</v>
      </c>
      <c r="BE26" s="17">
        <v>2243.7289999999998</v>
      </c>
      <c r="BF26" s="17">
        <v>2181.8290000000002</v>
      </c>
      <c r="BG26" s="17">
        <v>2130.9740000000002</v>
      </c>
      <c r="BH26" s="17">
        <v>2086.7550000000001</v>
      </c>
      <c r="BI26" s="17">
        <v>2037.154</v>
      </c>
      <c r="BJ26" s="17">
        <v>1983.3340000000001</v>
      </c>
      <c r="BK26" s="17">
        <v>1932.5740000000001</v>
      </c>
      <c r="BL26" s="17">
        <v>1886.8979999999999</v>
      </c>
      <c r="BM26" s="17">
        <v>1843.2349999999999</v>
      </c>
      <c r="BN26" s="17">
        <v>1797.588</v>
      </c>
      <c r="BO26" s="17">
        <v>1752.078</v>
      </c>
      <c r="BP26" s="17">
        <v>1696.0229999999999</v>
      </c>
      <c r="BQ26" s="17">
        <v>1624.123</v>
      </c>
      <c r="BR26" s="17">
        <v>1541.7439999999999</v>
      </c>
      <c r="BS26" s="17">
        <v>1460.0550000000001</v>
      </c>
      <c r="BT26" s="17">
        <v>1377.4259999999999</v>
      </c>
      <c r="BU26" s="17">
        <v>1295.8150000000001</v>
      </c>
      <c r="BV26" s="17">
        <v>1217.519</v>
      </c>
      <c r="BW26" s="17">
        <v>1141.8440000000001</v>
      </c>
      <c r="BX26" s="17">
        <v>1065.1600000000001</v>
      </c>
      <c r="BY26" s="17">
        <v>987.43</v>
      </c>
      <c r="BZ26" s="17">
        <v>915.43799999999999</v>
      </c>
      <c r="CA26" s="17">
        <v>851.96199999999999</v>
      </c>
      <c r="CB26" s="17">
        <v>794.09</v>
      </c>
      <c r="CC26" s="17">
        <v>737.15700000000004</v>
      </c>
      <c r="CD26" s="17">
        <v>683.31799999999998</v>
      </c>
      <c r="CE26" s="17">
        <v>624.80200000000002</v>
      </c>
      <c r="CF26" s="17">
        <v>557.66499999999996</v>
      </c>
      <c r="CG26" s="17">
        <v>486.23399999999998</v>
      </c>
      <c r="CH26" s="17">
        <v>418.71899999999999</v>
      </c>
      <c r="CI26" s="17">
        <v>353.40199999999999</v>
      </c>
      <c r="CJ26" s="17">
        <v>295.05399999999997</v>
      </c>
      <c r="CK26" s="17">
        <v>246.85499999999999</v>
      </c>
      <c r="CL26" s="17">
        <v>206.58199999999999</v>
      </c>
      <c r="CM26" s="17">
        <v>164.893</v>
      </c>
      <c r="CN26" s="17">
        <v>131.374</v>
      </c>
      <c r="CO26" s="17">
        <v>107.91500000000001</v>
      </c>
      <c r="CP26" s="17">
        <v>83.353999999999999</v>
      </c>
      <c r="CQ26" s="17">
        <v>57.414000000000001</v>
      </c>
      <c r="CR26" s="17">
        <v>39.216999999999999</v>
      </c>
      <c r="CS26" s="17">
        <v>30.885999999999999</v>
      </c>
      <c r="CT26" s="17">
        <v>24.69</v>
      </c>
      <c r="CU26" s="17">
        <v>17.818999999999999</v>
      </c>
      <c r="CV26" s="17">
        <v>10.273</v>
      </c>
      <c r="CW26" s="17">
        <v>5.47</v>
      </c>
      <c r="CX26" s="17">
        <v>8.0950000000000006</v>
      </c>
      <c r="CY26" s="3">
        <f t="shared" si="4"/>
        <v>217114.89800000002</v>
      </c>
      <c r="CZ26" s="3">
        <f>SUM(T26:AD26)</f>
        <v>41115.508000000002</v>
      </c>
      <c r="DA26" s="3">
        <f t="shared" si="5"/>
        <v>0.18937211761488609</v>
      </c>
      <c r="DF26" s="3">
        <f>SUM(AE26:AW26)</f>
        <v>47459.900999999998</v>
      </c>
      <c r="DG26" s="3">
        <f t="shared" si="2"/>
        <v>0.21859347947647514</v>
      </c>
      <c r="DH26">
        <f>SUM(AW26:BW26)</f>
        <v>52698.973000000005</v>
      </c>
      <c r="DI26" s="9">
        <f t="shared" si="3"/>
        <v>0.24272389175246739</v>
      </c>
      <c r="DJ26" s="7">
        <v>0.24272389175246739</v>
      </c>
      <c r="DK26" s="7">
        <v>0.21859347947647514</v>
      </c>
      <c r="DL26" s="7"/>
      <c r="DM26" s="7"/>
      <c r="DN26" s="7"/>
      <c r="DO26" s="10">
        <f t="shared" si="7"/>
        <v>0.46131737122894256</v>
      </c>
    </row>
    <row r="27" spans="1:119">
      <c r="A27" s="4">
        <v>1975</v>
      </c>
      <c r="B27" s="17">
        <v>3387.8939999999998</v>
      </c>
      <c r="C27" s="17">
        <v>3305.7190000000001</v>
      </c>
      <c r="D27" s="17">
        <v>3267.5309999999999</v>
      </c>
      <c r="E27" s="17">
        <v>3267.8919999999998</v>
      </c>
      <c r="F27" s="17">
        <v>3301.3649999999998</v>
      </c>
      <c r="G27" s="17">
        <v>3362.511</v>
      </c>
      <c r="H27" s="17">
        <v>3445.8919999999998</v>
      </c>
      <c r="I27" s="17">
        <v>3546.0720000000001</v>
      </c>
      <c r="J27" s="17">
        <v>3657.6109999999999</v>
      </c>
      <c r="K27" s="17">
        <v>3775.0729999999999</v>
      </c>
      <c r="L27" s="17">
        <v>3898.1170000000002</v>
      </c>
      <c r="M27" s="17">
        <v>4026.402</v>
      </c>
      <c r="N27" s="17">
        <v>4129.0050000000001</v>
      </c>
      <c r="O27" s="17">
        <v>4190.2929999999997</v>
      </c>
      <c r="P27" s="17">
        <v>4220.12</v>
      </c>
      <c r="Q27" s="17">
        <v>4246.357</v>
      </c>
      <c r="R27" s="17">
        <v>4266.2939999999999</v>
      </c>
      <c r="S27" s="17">
        <v>4260.8609999999999</v>
      </c>
      <c r="T27" s="17">
        <v>4224.2690000000002</v>
      </c>
      <c r="U27" s="17">
        <v>4164.3530000000001</v>
      </c>
      <c r="V27" s="17">
        <v>4094.4169999999999</v>
      </c>
      <c r="W27" s="17">
        <v>4011.4090000000001</v>
      </c>
      <c r="X27" s="17">
        <v>3928.5439999999999</v>
      </c>
      <c r="Y27" s="17">
        <v>3853.6289999999999</v>
      </c>
      <c r="Z27" s="17">
        <v>3780.9160000000002</v>
      </c>
      <c r="AA27" s="17">
        <v>3699.4</v>
      </c>
      <c r="AB27" s="17">
        <v>3614.3380000000002</v>
      </c>
      <c r="AC27" s="17">
        <v>3513.7440000000001</v>
      </c>
      <c r="AD27" s="17">
        <v>3391.5439999999999</v>
      </c>
      <c r="AE27" s="17">
        <v>3256.0369999999998</v>
      </c>
      <c r="AF27" s="17">
        <v>3123.6019999999999</v>
      </c>
      <c r="AG27" s="17">
        <v>2993.3719999999998</v>
      </c>
      <c r="AH27" s="17">
        <v>2867.72</v>
      </c>
      <c r="AI27" s="17">
        <v>2750.2730000000001</v>
      </c>
      <c r="AJ27" s="17">
        <v>2641.9589999999998</v>
      </c>
      <c r="AK27" s="17">
        <v>2538.6999999999998</v>
      </c>
      <c r="AL27" s="17">
        <v>2439.6489999999999</v>
      </c>
      <c r="AM27" s="17">
        <v>2364.3229999999999</v>
      </c>
      <c r="AN27" s="17">
        <v>2321.5219999999999</v>
      </c>
      <c r="AO27" s="17">
        <v>2303.0709999999999</v>
      </c>
      <c r="AP27" s="17">
        <v>2289.355</v>
      </c>
      <c r="AQ27" s="17">
        <v>2281.123</v>
      </c>
      <c r="AR27" s="17">
        <v>2286.6860000000001</v>
      </c>
      <c r="AS27" s="17">
        <v>2307.1759999999999</v>
      </c>
      <c r="AT27" s="17">
        <v>2337.4319999999998</v>
      </c>
      <c r="AU27" s="17">
        <v>2369.9169999999999</v>
      </c>
      <c r="AV27" s="17">
        <v>2404.663</v>
      </c>
      <c r="AW27" s="17">
        <v>2433.2170000000001</v>
      </c>
      <c r="AX27" s="17">
        <v>2450.11</v>
      </c>
      <c r="AY27" s="17">
        <v>2456.9349999999999</v>
      </c>
      <c r="AZ27" s="17">
        <v>2462.8809999999999</v>
      </c>
      <c r="BA27" s="17">
        <v>2468.66</v>
      </c>
      <c r="BB27" s="17">
        <v>2454.8440000000001</v>
      </c>
      <c r="BC27" s="17">
        <v>2413.4899999999998</v>
      </c>
      <c r="BD27" s="17">
        <v>2353.4349999999999</v>
      </c>
      <c r="BE27" s="17">
        <v>2291.5770000000002</v>
      </c>
      <c r="BF27" s="17">
        <v>2224.6770000000001</v>
      </c>
      <c r="BG27" s="17">
        <v>2161.5369999999998</v>
      </c>
      <c r="BH27" s="17">
        <v>2108.2930000000001</v>
      </c>
      <c r="BI27" s="17">
        <v>2061.0509999999999</v>
      </c>
      <c r="BJ27" s="17">
        <v>2008.4549999999999</v>
      </c>
      <c r="BK27" s="17">
        <v>1951.1890000000001</v>
      </c>
      <c r="BL27" s="17">
        <v>1898.58</v>
      </c>
      <c r="BM27" s="17">
        <v>1853.6279999999999</v>
      </c>
      <c r="BN27" s="17">
        <v>1812.1289999999999</v>
      </c>
      <c r="BO27" s="17">
        <v>1768.42</v>
      </c>
      <c r="BP27" s="17">
        <v>1725.481</v>
      </c>
      <c r="BQ27" s="17">
        <v>1669.1120000000001</v>
      </c>
      <c r="BR27" s="17">
        <v>1592.2650000000001</v>
      </c>
      <c r="BS27" s="17">
        <v>1502.2049999999999</v>
      </c>
      <c r="BT27" s="17">
        <v>1413.454</v>
      </c>
      <c r="BU27" s="17">
        <v>1323.3489999999999</v>
      </c>
      <c r="BV27" s="17">
        <v>1237.26</v>
      </c>
      <c r="BW27" s="17">
        <v>1159.405</v>
      </c>
      <c r="BX27" s="17">
        <v>1087.308</v>
      </c>
      <c r="BY27" s="17">
        <v>1013.723</v>
      </c>
      <c r="BZ27" s="17">
        <v>939.43499999999995</v>
      </c>
      <c r="CA27" s="17">
        <v>869.76499999999999</v>
      </c>
      <c r="CB27" s="17">
        <v>806.43</v>
      </c>
      <c r="CC27" s="17">
        <v>747.36199999999997</v>
      </c>
      <c r="CD27" s="17">
        <v>689.89400000000001</v>
      </c>
      <c r="CE27" s="17">
        <v>635.899</v>
      </c>
      <c r="CF27" s="17">
        <v>577.22799999999995</v>
      </c>
      <c r="CG27" s="17">
        <v>509.98399999999998</v>
      </c>
      <c r="CH27" s="17">
        <v>438.62400000000002</v>
      </c>
      <c r="CI27" s="17">
        <v>371.29899999999998</v>
      </c>
      <c r="CJ27" s="17">
        <v>306.137</v>
      </c>
      <c r="CK27" s="17">
        <v>249.172</v>
      </c>
      <c r="CL27" s="17">
        <v>204.15899999999999</v>
      </c>
      <c r="CM27" s="17">
        <v>168.25800000000001</v>
      </c>
      <c r="CN27" s="17">
        <v>129.995</v>
      </c>
      <c r="CO27" s="17">
        <v>101.35599999999999</v>
      </c>
      <c r="CP27" s="17">
        <v>83.759</v>
      </c>
      <c r="CQ27" s="17">
        <v>62.807000000000002</v>
      </c>
      <c r="CR27" s="17">
        <v>38.502000000000002</v>
      </c>
      <c r="CS27" s="17">
        <v>24.273</v>
      </c>
      <c r="CT27" s="17">
        <v>20.291</v>
      </c>
      <c r="CU27" s="17">
        <v>15.904999999999999</v>
      </c>
      <c r="CV27" s="17">
        <v>11.112</v>
      </c>
      <c r="CW27" s="17">
        <v>5.9160000000000004</v>
      </c>
      <c r="CX27" s="17">
        <v>8.8659999999999997</v>
      </c>
      <c r="CY27" s="3">
        <f t="shared" si="4"/>
        <v>219081.24999999991</v>
      </c>
      <c r="CZ27" s="3">
        <f>SUM(T27:AE27)</f>
        <v>45532.6</v>
      </c>
      <c r="DA27" s="3">
        <f t="shared" si="5"/>
        <v>0.20783430804781339</v>
      </c>
      <c r="DF27" s="3">
        <f>SUM(AF27:AX27)</f>
        <v>47503.87</v>
      </c>
      <c r="DG27" s="3">
        <f t="shared" si="2"/>
        <v>0.21683220266453665</v>
      </c>
      <c r="DH27">
        <f>SUM(AX27:BX27)</f>
        <v>51909.729999999996</v>
      </c>
      <c r="DI27" s="9">
        <f t="shared" si="3"/>
        <v>0.23694282372407505</v>
      </c>
      <c r="DJ27" s="7">
        <v>0.23694282372407505</v>
      </c>
      <c r="DK27" s="7">
        <v>0.21683220266453665</v>
      </c>
      <c r="DL27" s="7"/>
      <c r="DM27" s="7"/>
      <c r="DN27" s="7"/>
      <c r="DO27" s="10">
        <f t="shared" si="7"/>
        <v>0.45377502638861167</v>
      </c>
    </row>
    <row r="28" spans="1:119">
      <c r="A28" s="4">
        <v>1976</v>
      </c>
      <c r="B28" s="17">
        <v>3395.1849999999999</v>
      </c>
      <c r="C28" s="17">
        <v>3365.826</v>
      </c>
      <c r="D28" s="17">
        <v>3305.5149999999999</v>
      </c>
      <c r="E28" s="17">
        <v>3283</v>
      </c>
      <c r="F28" s="17">
        <v>3293.7139999999999</v>
      </c>
      <c r="G28" s="17">
        <v>3333.087</v>
      </c>
      <c r="H28" s="17">
        <v>3395.8</v>
      </c>
      <c r="I28" s="17">
        <v>3476.5369999999998</v>
      </c>
      <c r="J28" s="17">
        <v>3574.4740000000002</v>
      </c>
      <c r="K28" s="17">
        <v>3686.5390000000002</v>
      </c>
      <c r="L28" s="17">
        <v>3805.9180000000001</v>
      </c>
      <c r="M28" s="17">
        <v>3928.663</v>
      </c>
      <c r="N28" s="17">
        <v>4055.3249999999998</v>
      </c>
      <c r="O28" s="17">
        <v>4155.7430000000004</v>
      </c>
      <c r="P28" s="17">
        <v>4214.3649999999998</v>
      </c>
      <c r="Q28" s="17">
        <v>4241.2240000000002</v>
      </c>
      <c r="R28" s="17">
        <v>4264.2889999999998</v>
      </c>
      <c r="S28" s="17">
        <v>4280.8180000000002</v>
      </c>
      <c r="T28" s="17">
        <v>4272.6099999999997</v>
      </c>
      <c r="U28" s="17">
        <v>4234.3100000000004</v>
      </c>
      <c r="V28" s="17">
        <v>4173.4480000000003</v>
      </c>
      <c r="W28" s="17">
        <v>4102.2870000000003</v>
      </c>
      <c r="X28" s="17">
        <v>4017.627</v>
      </c>
      <c r="Y28" s="17">
        <v>3934.2649999999999</v>
      </c>
      <c r="Z28" s="17">
        <v>3860.5770000000002</v>
      </c>
      <c r="AA28" s="17">
        <v>3789.9430000000002</v>
      </c>
      <c r="AB28" s="17">
        <v>3710.5070000000001</v>
      </c>
      <c r="AC28" s="17">
        <v>3628.415</v>
      </c>
      <c r="AD28" s="17">
        <v>3527.2089999999998</v>
      </c>
      <c r="AE28" s="17">
        <v>3398.7330000000002</v>
      </c>
      <c r="AF28" s="17">
        <v>3253.6640000000002</v>
      </c>
      <c r="AG28" s="17">
        <v>3112.2570000000001</v>
      </c>
      <c r="AH28" s="17">
        <v>2972.16</v>
      </c>
      <c r="AI28" s="17">
        <v>2841.3809999999999</v>
      </c>
      <c r="AJ28" s="17">
        <v>2726.5140000000001</v>
      </c>
      <c r="AK28" s="17">
        <v>2625.529</v>
      </c>
      <c r="AL28" s="17">
        <v>2528.748</v>
      </c>
      <c r="AM28" s="17">
        <v>2436.8519999999999</v>
      </c>
      <c r="AN28" s="17">
        <v>2365.3069999999998</v>
      </c>
      <c r="AO28" s="17">
        <v>2320.4650000000001</v>
      </c>
      <c r="AP28" s="17">
        <v>2296.3470000000002</v>
      </c>
      <c r="AQ28" s="17">
        <v>2277.85</v>
      </c>
      <c r="AR28" s="17">
        <v>2264.6640000000002</v>
      </c>
      <c r="AS28" s="17">
        <v>2266.8620000000001</v>
      </c>
      <c r="AT28" s="17">
        <v>2286.8629999999998</v>
      </c>
      <c r="AU28" s="17">
        <v>2318.4229999999998</v>
      </c>
      <c r="AV28" s="17">
        <v>2351.6909999999998</v>
      </c>
      <c r="AW28" s="17">
        <v>2387.201</v>
      </c>
      <c r="AX28" s="17">
        <v>2415.9960000000001</v>
      </c>
      <c r="AY28" s="17">
        <v>2432.13</v>
      </c>
      <c r="AZ28" s="17">
        <v>2437.5749999999998</v>
      </c>
      <c r="BA28" s="17">
        <v>2442.4079999999999</v>
      </c>
      <c r="BB28" s="17">
        <v>2447.212</v>
      </c>
      <c r="BC28" s="17">
        <v>2432.402</v>
      </c>
      <c r="BD28" s="17">
        <v>2390.0569999999998</v>
      </c>
      <c r="BE28" s="17">
        <v>2329.0680000000002</v>
      </c>
      <c r="BF28" s="17">
        <v>2266.0909999999999</v>
      </c>
      <c r="BG28" s="17">
        <v>2197.6109999999999</v>
      </c>
      <c r="BH28" s="17">
        <v>2134.0219999999999</v>
      </c>
      <c r="BI28" s="17">
        <v>2082.127</v>
      </c>
      <c r="BJ28" s="17">
        <v>2037.136</v>
      </c>
      <c r="BK28" s="17">
        <v>1986.6489999999999</v>
      </c>
      <c r="BL28" s="17">
        <v>1932.175</v>
      </c>
      <c r="BM28" s="17">
        <v>1879.173</v>
      </c>
      <c r="BN28" s="17">
        <v>1828.8119999999999</v>
      </c>
      <c r="BO28" s="17">
        <v>1778.961</v>
      </c>
      <c r="BP28" s="17">
        <v>1727.307</v>
      </c>
      <c r="BQ28" s="17">
        <v>1675.4939999999999</v>
      </c>
      <c r="BR28" s="17">
        <v>1614.3920000000001</v>
      </c>
      <c r="BS28" s="17">
        <v>1539.604</v>
      </c>
      <c r="BT28" s="17">
        <v>1455.702</v>
      </c>
      <c r="BU28" s="17">
        <v>1372.405</v>
      </c>
      <c r="BV28" s="17">
        <v>1288.665</v>
      </c>
      <c r="BW28" s="17">
        <v>1204.8589999999999</v>
      </c>
      <c r="BX28" s="17">
        <v>1122.443</v>
      </c>
      <c r="BY28" s="17">
        <v>1041.69</v>
      </c>
      <c r="BZ28" s="17">
        <v>960.63699999999994</v>
      </c>
      <c r="CA28" s="17">
        <v>878.74400000000003</v>
      </c>
      <c r="CB28" s="17">
        <v>804.60799999999995</v>
      </c>
      <c r="CC28" s="17">
        <v>742.01700000000005</v>
      </c>
      <c r="CD28" s="17">
        <v>687.154</v>
      </c>
      <c r="CE28" s="17">
        <v>633.45600000000002</v>
      </c>
      <c r="CF28" s="17">
        <v>583.50199999999995</v>
      </c>
      <c r="CG28" s="17">
        <v>528.89099999999996</v>
      </c>
      <c r="CH28" s="17">
        <v>465.19099999999997</v>
      </c>
      <c r="CI28" s="17">
        <v>397.11</v>
      </c>
      <c r="CJ28" s="17">
        <v>332.10300000000001</v>
      </c>
      <c r="CK28" s="17">
        <v>271.26900000000001</v>
      </c>
      <c r="CL28" s="17">
        <v>221.27699999999999</v>
      </c>
      <c r="CM28" s="17">
        <v>180.04300000000001</v>
      </c>
      <c r="CN28" s="17">
        <v>145.29599999999999</v>
      </c>
      <c r="CO28" s="17">
        <v>111.273</v>
      </c>
      <c r="CP28" s="17">
        <v>87.26</v>
      </c>
      <c r="CQ28" s="17">
        <v>71.902000000000001</v>
      </c>
      <c r="CR28" s="17">
        <v>53.69</v>
      </c>
      <c r="CS28" s="17">
        <v>32.625</v>
      </c>
      <c r="CT28" s="17">
        <v>22.021000000000001</v>
      </c>
      <c r="CU28" s="17">
        <v>17.292999999999999</v>
      </c>
      <c r="CV28" s="17">
        <v>12.099</v>
      </c>
      <c r="CW28" s="17">
        <v>6.44</v>
      </c>
      <c r="CX28" s="17">
        <v>9.6289999999999996</v>
      </c>
      <c r="CY28" s="3">
        <f t="shared" si="4"/>
        <v>221086.42700000003</v>
      </c>
      <c r="CZ28" s="3">
        <f>SUM(T28:AF28)</f>
        <v>49903.595000000001</v>
      </c>
      <c r="DA28" s="3">
        <f t="shared" si="5"/>
        <v>0.22571984936913381</v>
      </c>
      <c r="DF28" s="3">
        <f>SUM(AG28:AY28)</f>
        <v>47227.24</v>
      </c>
      <c r="DG28" s="3">
        <f t="shared" si="2"/>
        <v>0.21361437986421478</v>
      </c>
      <c r="DH28">
        <f>SUM(AY28:BY28)</f>
        <v>51076.17</v>
      </c>
      <c r="DI28" s="9">
        <f t="shared" si="3"/>
        <v>0.23102354447114021</v>
      </c>
      <c r="DJ28" s="7">
        <v>0.23102354447114021</v>
      </c>
      <c r="DK28" s="7">
        <v>0.21361437986421478</v>
      </c>
      <c r="DL28" s="7"/>
      <c r="DM28" s="7"/>
      <c r="DN28" s="7"/>
      <c r="DO28" s="10">
        <f t="shared" si="7"/>
        <v>0.44463792433535498</v>
      </c>
    </row>
    <row r="29" spans="1:119">
      <c r="A29" s="4">
        <v>1977</v>
      </c>
      <c r="B29" s="17">
        <v>3387.973</v>
      </c>
      <c r="C29" s="17">
        <v>3295.8150000000001</v>
      </c>
      <c r="D29" s="17">
        <v>3346.0540000000001</v>
      </c>
      <c r="E29" s="17">
        <v>3307.5509999999999</v>
      </c>
      <c r="F29" s="17">
        <v>3300.6840000000002</v>
      </c>
      <c r="G29" s="17">
        <v>3321.7489999999998</v>
      </c>
      <c r="H29" s="17">
        <v>3367.0459999999998</v>
      </c>
      <c r="I29" s="17">
        <v>3431.3690000000001</v>
      </c>
      <c r="J29" s="17">
        <v>3509.5160000000001</v>
      </c>
      <c r="K29" s="17">
        <v>3605.277</v>
      </c>
      <c r="L29" s="17">
        <v>3717.944</v>
      </c>
      <c r="M29" s="17">
        <v>3839.319</v>
      </c>
      <c r="N29" s="17">
        <v>3961.8490000000002</v>
      </c>
      <c r="O29" s="17">
        <v>4086.9740000000002</v>
      </c>
      <c r="P29" s="17">
        <v>4185.2780000000002</v>
      </c>
      <c r="Q29" s="17">
        <v>4241.2740000000003</v>
      </c>
      <c r="R29" s="17">
        <v>4265.1869999999999</v>
      </c>
      <c r="S29" s="17">
        <v>4285.1000000000004</v>
      </c>
      <c r="T29" s="17">
        <v>4298.2380000000003</v>
      </c>
      <c r="U29" s="17">
        <v>4287.2510000000002</v>
      </c>
      <c r="V29" s="17">
        <v>4247.2190000000001</v>
      </c>
      <c r="W29" s="17">
        <v>4185.3710000000001</v>
      </c>
      <c r="X29" s="17">
        <v>4112.9369999999999</v>
      </c>
      <c r="Y29" s="17">
        <v>4026.57</v>
      </c>
      <c r="Z29" s="17">
        <v>3942.6559999999999</v>
      </c>
      <c r="AA29" s="17">
        <v>3870.1469999999999</v>
      </c>
      <c r="AB29" s="17">
        <v>3801.5410000000002</v>
      </c>
      <c r="AC29" s="17">
        <v>3724.1320000000001</v>
      </c>
      <c r="AD29" s="17">
        <v>3644.9540000000002</v>
      </c>
      <c r="AE29" s="17">
        <v>3543.067</v>
      </c>
      <c r="AF29" s="17">
        <v>3408.2310000000002</v>
      </c>
      <c r="AG29" s="17">
        <v>3253.511</v>
      </c>
      <c r="AH29" s="17">
        <v>3103.04</v>
      </c>
      <c r="AI29" s="17">
        <v>2952.9870000000001</v>
      </c>
      <c r="AJ29" s="17">
        <v>2816.9949999999999</v>
      </c>
      <c r="AK29" s="17">
        <v>2704.63</v>
      </c>
      <c r="AL29" s="17">
        <v>2610.8969999999999</v>
      </c>
      <c r="AM29" s="17">
        <v>2520.5230000000001</v>
      </c>
      <c r="AN29" s="17">
        <v>2435.7139999999999</v>
      </c>
      <c r="AO29" s="17">
        <v>2367.8989999999999</v>
      </c>
      <c r="AP29" s="17">
        <v>2320.9870000000001</v>
      </c>
      <c r="AQ29" s="17">
        <v>2291.1889999999999</v>
      </c>
      <c r="AR29" s="17">
        <v>2267.904</v>
      </c>
      <c r="AS29" s="17">
        <v>2249.7570000000001</v>
      </c>
      <c r="AT29" s="17">
        <v>2248.5949999999998</v>
      </c>
      <c r="AU29" s="17">
        <v>2268.1190000000001</v>
      </c>
      <c r="AV29" s="17">
        <v>2301.0079999999998</v>
      </c>
      <c r="AW29" s="17">
        <v>2335.08</v>
      </c>
      <c r="AX29" s="17">
        <v>2371.3809999999999</v>
      </c>
      <c r="AY29" s="17">
        <v>2400.4349999999999</v>
      </c>
      <c r="AZ29" s="17">
        <v>2415.8240000000001</v>
      </c>
      <c r="BA29" s="17">
        <v>2419.8939999999998</v>
      </c>
      <c r="BB29" s="17">
        <v>2423.6179999999999</v>
      </c>
      <c r="BC29" s="17">
        <v>2427.4520000000002</v>
      </c>
      <c r="BD29" s="17">
        <v>2411.6370000000002</v>
      </c>
      <c r="BE29" s="17">
        <v>2368.2759999999998</v>
      </c>
      <c r="BF29" s="17">
        <v>2306.3139999999999</v>
      </c>
      <c r="BG29" s="17">
        <v>2242.1750000000002</v>
      </c>
      <c r="BH29" s="17">
        <v>2172.0700000000002</v>
      </c>
      <c r="BI29" s="17">
        <v>2107.991</v>
      </c>
      <c r="BJ29" s="17">
        <v>2057.4070000000002</v>
      </c>
      <c r="BK29" s="17">
        <v>2014.636</v>
      </c>
      <c r="BL29" s="17">
        <v>1966.2239999999999</v>
      </c>
      <c r="BM29" s="17">
        <v>1914.501</v>
      </c>
      <c r="BN29" s="17">
        <v>1861.0730000000001</v>
      </c>
      <c r="BO29" s="17">
        <v>1805.2729999999999</v>
      </c>
      <c r="BP29" s="17">
        <v>1747.0450000000001</v>
      </c>
      <c r="BQ29" s="17">
        <v>1687.42</v>
      </c>
      <c r="BR29" s="17">
        <v>1626.704</v>
      </c>
      <c r="BS29" s="17">
        <v>1560.835</v>
      </c>
      <c r="BT29" s="17">
        <v>1488.0530000000001</v>
      </c>
      <c r="BU29" s="17">
        <v>1410.2439999999999</v>
      </c>
      <c r="BV29" s="17">
        <v>1332.34</v>
      </c>
      <c r="BW29" s="17">
        <v>1254.904</v>
      </c>
      <c r="BX29" s="17">
        <v>1173.32</v>
      </c>
      <c r="BY29" s="17">
        <v>1086.2919999999999</v>
      </c>
      <c r="BZ29" s="17">
        <v>996.83500000000004</v>
      </c>
      <c r="CA29" s="17">
        <v>908.26400000000001</v>
      </c>
      <c r="CB29" s="17">
        <v>818.71799999999996</v>
      </c>
      <c r="CC29" s="17">
        <v>740.06700000000001</v>
      </c>
      <c r="CD29" s="17">
        <v>678.17700000000002</v>
      </c>
      <c r="CE29" s="17">
        <v>627.47500000000002</v>
      </c>
      <c r="CF29" s="17">
        <v>577.50800000000004</v>
      </c>
      <c r="CG29" s="17">
        <v>531.55600000000004</v>
      </c>
      <c r="CH29" s="17">
        <v>480.96499999999997</v>
      </c>
      <c r="CI29" s="17">
        <v>420.76100000000002</v>
      </c>
      <c r="CJ29" s="17">
        <v>355.90899999999999</v>
      </c>
      <c r="CK29" s="17">
        <v>293.17200000000003</v>
      </c>
      <c r="CL29" s="17">
        <v>236.61799999999999</v>
      </c>
      <c r="CM29" s="17">
        <v>193.559</v>
      </c>
      <c r="CN29" s="17">
        <v>156.072</v>
      </c>
      <c r="CO29" s="17">
        <v>122.456</v>
      </c>
      <c r="CP29" s="17">
        <v>92.644000000000005</v>
      </c>
      <c r="CQ29" s="17">
        <v>73.236999999999995</v>
      </c>
      <c r="CR29" s="17">
        <v>60.106000000000002</v>
      </c>
      <c r="CS29" s="17">
        <v>44.619</v>
      </c>
      <c r="CT29" s="17">
        <v>26.777000000000001</v>
      </c>
      <c r="CU29" s="17">
        <v>18.965</v>
      </c>
      <c r="CV29" s="17">
        <v>13.285</v>
      </c>
      <c r="CW29" s="17">
        <v>7.048</v>
      </c>
      <c r="CX29" s="17">
        <v>10.42</v>
      </c>
      <c r="CY29" s="3">
        <f t="shared" si="4"/>
        <v>223135.65900000001</v>
      </c>
      <c r="CZ29" s="3">
        <f>SUM(T29:AG29)</f>
        <v>54345.824999999997</v>
      </c>
      <c r="DA29" s="3">
        <f t="shared" si="5"/>
        <v>0.24355508771459963</v>
      </c>
      <c r="DF29" s="3">
        <f>SUM(AH29:AZ29)</f>
        <v>46982.964000000007</v>
      </c>
      <c r="DG29" s="3">
        <f t="shared" si="2"/>
        <v>0.21055784723319371</v>
      </c>
      <c r="DH29">
        <f>SUM(AZ29:BZ29)</f>
        <v>50278.356999999982</v>
      </c>
      <c r="DI29" s="9">
        <f t="shared" si="3"/>
        <v>0.22532641006518808</v>
      </c>
      <c r="DJ29" s="7">
        <v>0.22532641006518808</v>
      </c>
      <c r="DK29" s="7">
        <v>0.21055784723319371</v>
      </c>
      <c r="DL29" s="7"/>
      <c r="DM29" s="7"/>
      <c r="DN29" s="7"/>
      <c r="DO29" s="10">
        <f t="shared" si="7"/>
        <v>0.43588425729838176</v>
      </c>
    </row>
    <row r="30" spans="1:119">
      <c r="A30" s="4">
        <v>1978</v>
      </c>
      <c r="B30" s="17">
        <v>3375.855</v>
      </c>
      <c r="C30" s="17">
        <v>3297.8739999999998</v>
      </c>
      <c r="D30" s="17">
        <v>3251.998</v>
      </c>
      <c r="E30" s="17">
        <v>3327.5680000000002</v>
      </c>
      <c r="F30" s="17">
        <v>3310.864</v>
      </c>
      <c r="G30" s="17">
        <v>3319.6480000000001</v>
      </c>
      <c r="H30" s="17">
        <v>3351.078</v>
      </c>
      <c r="I30" s="17">
        <v>3402.3159999999998</v>
      </c>
      <c r="J30" s="17">
        <v>3468.2719999999999</v>
      </c>
      <c r="K30" s="17">
        <v>3543.86</v>
      </c>
      <c r="L30" s="17">
        <v>3637.482</v>
      </c>
      <c r="M30" s="17">
        <v>3750.7939999999999</v>
      </c>
      <c r="N30" s="17">
        <v>3874.2130000000002</v>
      </c>
      <c r="O30" s="17">
        <v>3996.576</v>
      </c>
      <c r="P30" s="17">
        <v>4120.2110000000002</v>
      </c>
      <c r="Q30" s="17">
        <v>4216.4380000000001</v>
      </c>
      <c r="R30" s="17">
        <v>4269.8310000000001</v>
      </c>
      <c r="S30" s="17">
        <v>4290.8069999999998</v>
      </c>
      <c r="T30" s="17">
        <v>4307.5739999999996</v>
      </c>
      <c r="U30" s="17">
        <v>4317.326</v>
      </c>
      <c r="V30" s="17">
        <v>4303.5550000000003</v>
      </c>
      <c r="W30" s="17">
        <v>4261.7759999999998</v>
      </c>
      <c r="X30" s="17">
        <v>4198.9170000000004</v>
      </c>
      <c r="Y30" s="17">
        <v>4125.1840000000002</v>
      </c>
      <c r="Z30" s="17">
        <v>4037.0749999999998</v>
      </c>
      <c r="AA30" s="17">
        <v>3952.5770000000002</v>
      </c>
      <c r="AB30" s="17">
        <v>3881.2170000000001</v>
      </c>
      <c r="AC30" s="17">
        <v>3814.616</v>
      </c>
      <c r="AD30" s="17">
        <v>3739.2049999999999</v>
      </c>
      <c r="AE30" s="17">
        <v>3662.91</v>
      </c>
      <c r="AF30" s="17">
        <v>3560.3029999999999</v>
      </c>
      <c r="AG30" s="17">
        <v>3419.0540000000001</v>
      </c>
      <c r="AH30" s="17">
        <v>3254.6179999999999</v>
      </c>
      <c r="AI30" s="17">
        <v>3095.0250000000001</v>
      </c>
      <c r="AJ30" s="17">
        <v>2934.9549999999999</v>
      </c>
      <c r="AK30" s="17">
        <v>2793.6959999999999</v>
      </c>
      <c r="AL30" s="17">
        <v>2683.79</v>
      </c>
      <c r="AM30" s="17">
        <v>2597.2739999999999</v>
      </c>
      <c r="AN30" s="17">
        <v>2513.2730000000001</v>
      </c>
      <c r="AO30" s="17">
        <v>2435.5189999999998</v>
      </c>
      <c r="AP30" s="17">
        <v>2371.4090000000001</v>
      </c>
      <c r="AQ30" s="17">
        <v>2322.4070000000002</v>
      </c>
      <c r="AR30" s="17">
        <v>2286.9180000000001</v>
      </c>
      <c r="AS30" s="17">
        <v>2258.8339999999998</v>
      </c>
      <c r="AT30" s="17">
        <v>2235.7170000000001</v>
      </c>
      <c r="AU30" s="17">
        <v>2231.1950000000002</v>
      </c>
      <c r="AV30" s="17">
        <v>2250.252</v>
      </c>
      <c r="AW30" s="17">
        <v>2284.4810000000002</v>
      </c>
      <c r="AX30" s="17">
        <v>2319.3719999999998</v>
      </c>
      <c r="AY30" s="17">
        <v>2356.4749999999999</v>
      </c>
      <c r="AZ30" s="17">
        <v>2385.8009999999999</v>
      </c>
      <c r="BA30" s="17">
        <v>2400.451</v>
      </c>
      <c r="BB30" s="17">
        <v>2403.1469999999999</v>
      </c>
      <c r="BC30" s="17">
        <v>2405.7640000000001</v>
      </c>
      <c r="BD30" s="17">
        <v>2408.6289999999999</v>
      </c>
      <c r="BE30" s="17">
        <v>2391.8040000000001</v>
      </c>
      <c r="BF30" s="17">
        <v>2347.4070000000002</v>
      </c>
      <c r="BG30" s="17">
        <v>2284.4470000000001</v>
      </c>
      <c r="BH30" s="17">
        <v>2219.1219999999998</v>
      </c>
      <c r="BI30" s="17">
        <v>2147.364</v>
      </c>
      <c r="BJ30" s="17">
        <v>2082.7689999999998</v>
      </c>
      <c r="BK30" s="17">
        <v>2033.4780000000001</v>
      </c>
      <c r="BL30" s="17">
        <v>1992.91</v>
      </c>
      <c r="BM30" s="17">
        <v>1946.5550000000001</v>
      </c>
      <c r="BN30" s="17">
        <v>1897.566</v>
      </c>
      <c r="BO30" s="17">
        <v>1843.6880000000001</v>
      </c>
      <c r="BP30" s="17">
        <v>1782.4280000000001</v>
      </c>
      <c r="BQ30" s="17">
        <v>1715.797</v>
      </c>
      <c r="BR30" s="17">
        <v>1648.175</v>
      </c>
      <c r="BS30" s="17">
        <v>1578.5319999999999</v>
      </c>
      <c r="BT30" s="17">
        <v>1507.867</v>
      </c>
      <c r="BU30" s="17">
        <v>1437.0640000000001</v>
      </c>
      <c r="BV30" s="17">
        <v>1365.3209999999999</v>
      </c>
      <c r="BW30" s="17">
        <v>1292.7809999999999</v>
      </c>
      <c r="BX30" s="17">
        <v>1221.6179999999999</v>
      </c>
      <c r="BY30" s="17">
        <v>1142.2270000000001</v>
      </c>
      <c r="BZ30" s="17">
        <v>1050.55</v>
      </c>
      <c r="CA30" s="17">
        <v>952.351</v>
      </c>
      <c r="CB30" s="17">
        <v>856.22500000000002</v>
      </c>
      <c r="CC30" s="17">
        <v>758.98800000000006</v>
      </c>
      <c r="CD30" s="17">
        <v>675.78899999999999</v>
      </c>
      <c r="CE30" s="17">
        <v>614.57799999999997</v>
      </c>
      <c r="CF30" s="17">
        <v>568.01800000000003</v>
      </c>
      <c r="CG30" s="17">
        <v>521.76300000000003</v>
      </c>
      <c r="CH30" s="17">
        <v>479.79700000000003</v>
      </c>
      <c r="CI30" s="17">
        <v>433.20699999999999</v>
      </c>
      <c r="CJ30" s="17">
        <v>376.476</v>
      </c>
      <c r="CK30" s="17">
        <v>314.82900000000001</v>
      </c>
      <c r="CL30" s="17">
        <v>254.339</v>
      </c>
      <c r="CM30" s="17">
        <v>202.047</v>
      </c>
      <c r="CN30" s="17">
        <v>165.90600000000001</v>
      </c>
      <c r="CO30" s="17">
        <v>132.15299999999999</v>
      </c>
      <c r="CP30" s="17">
        <v>99.653000000000006</v>
      </c>
      <c r="CQ30" s="17">
        <v>74.043999999999997</v>
      </c>
      <c r="CR30" s="17">
        <v>59.235999999999997</v>
      </c>
      <c r="CS30" s="17">
        <v>48.326999999999998</v>
      </c>
      <c r="CT30" s="17">
        <v>35.56</v>
      </c>
      <c r="CU30" s="17">
        <v>20.936</v>
      </c>
      <c r="CV30" s="17">
        <v>14.619</v>
      </c>
      <c r="CW30" s="17">
        <v>7.7290000000000001</v>
      </c>
      <c r="CX30" s="17">
        <v>11.291</v>
      </c>
      <c r="CY30" s="3">
        <f t="shared" si="4"/>
        <v>225223.307</v>
      </c>
      <c r="CZ30" s="3">
        <f>SUM(T30:AH30)</f>
        <v>58835.907000000007</v>
      </c>
      <c r="DA30" s="3">
        <f t="shared" si="5"/>
        <v>0.26123365198611531</v>
      </c>
      <c r="DF30" s="3">
        <f>SUM(AI30:BA30)</f>
        <v>46756.843999999997</v>
      </c>
      <c r="DG30" s="3">
        <f t="shared" si="2"/>
        <v>0.20760215549095012</v>
      </c>
      <c r="DH30">
        <f>SUM(BA30:CA30)</f>
        <v>49499.812000000013</v>
      </c>
      <c r="DI30" s="9">
        <f t="shared" si="3"/>
        <v>0.21978103713751088</v>
      </c>
      <c r="DJ30" s="7">
        <v>0.21978103713751088</v>
      </c>
      <c r="DK30" s="7">
        <v>0.20760215549095012</v>
      </c>
      <c r="DL30" s="7"/>
      <c r="DM30" s="7"/>
      <c r="DN30" s="7"/>
      <c r="DO30" s="10">
        <f t="shared" si="7"/>
        <v>0.42738319262846103</v>
      </c>
    </row>
    <row r="31" spans="1:119">
      <c r="A31" s="4">
        <v>1979</v>
      </c>
      <c r="B31" s="17">
        <v>3373.3270000000002</v>
      </c>
      <c r="C31" s="17">
        <v>3309.9760000000001</v>
      </c>
      <c r="D31" s="17">
        <v>3271.0770000000002</v>
      </c>
      <c r="E31" s="17">
        <v>3254.6610000000001</v>
      </c>
      <c r="F31" s="17">
        <v>3308.8510000000001</v>
      </c>
      <c r="G31" s="17">
        <v>3313.9630000000002</v>
      </c>
      <c r="H31" s="17">
        <v>3338.4070000000002</v>
      </c>
      <c r="I31" s="17">
        <v>3380.2049999999999</v>
      </c>
      <c r="J31" s="17">
        <v>3437.386</v>
      </c>
      <c r="K31" s="17">
        <v>3504.973</v>
      </c>
      <c r="L31" s="17">
        <v>3577.9949999999999</v>
      </c>
      <c r="M31" s="17">
        <v>3669.47</v>
      </c>
      <c r="N31" s="17">
        <v>3783.4209999999998</v>
      </c>
      <c r="O31" s="17">
        <v>3908.877</v>
      </c>
      <c r="P31" s="17">
        <v>4031.0650000000001</v>
      </c>
      <c r="Q31" s="17">
        <v>4153.2020000000002</v>
      </c>
      <c r="R31" s="17">
        <v>4247.3440000000001</v>
      </c>
      <c r="S31" s="17">
        <v>4298.1270000000004</v>
      </c>
      <c r="T31" s="17">
        <v>4316.1620000000003</v>
      </c>
      <c r="U31" s="17">
        <v>4329.7780000000002</v>
      </c>
      <c r="V31" s="17">
        <v>4336.1400000000003</v>
      </c>
      <c r="W31" s="17">
        <v>4319.5829999999996</v>
      </c>
      <c r="X31" s="17">
        <v>4276.0550000000003</v>
      </c>
      <c r="Y31" s="17">
        <v>4212.1899999999996</v>
      </c>
      <c r="Z31" s="17">
        <v>4137.1610000000001</v>
      </c>
      <c r="AA31" s="17">
        <v>4047.3139999999999</v>
      </c>
      <c r="AB31" s="17">
        <v>3962.2359999999999</v>
      </c>
      <c r="AC31" s="17">
        <v>3892.03</v>
      </c>
      <c r="AD31" s="17">
        <v>3827.4369999999999</v>
      </c>
      <c r="AE31" s="17">
        <v>3754.029</v>
      </c>
      <c r="AF31" s="17">
        <v>3680.6239999999998</v>
      </c>
      <c r="AG31" s="17">
        <v>3577.3029999999999</v>
      </c>
      <c r="AH31" s="17">
        <v>3429.6460000000002</v>
      </c>
      <c r="AI31" s="17">
        <v>3255.5</v>
      </c>
      <c r="AJ31" s="17">
        <v>3086.7869999999998</v>
      </c>
      <c r="AK31" s="17">
        <v>2916.7049999999999</v>
      </c>
      <c r="AL31" s="17">
        <v>2770.1849999999999</v>
      </c>
      <c r="AM31" s="17">
        <v>2662.7460000000001</v>
      </c>
      <c r="AN31" s="17">
        <v>2583.4589999999998</v>
      </c>
      <c r="AO31" s="17">
        <v>2505.8440000000001</v>
      </c>
      <c r="AP31" s="17">
        <v>2435.1559999999999</v>
      </c>
      <c r="AQ31" s="17">
        <v>2374.7579999999998</v>
      </c>
      <c r="AR31" s="17">
        <v>2323.6689999999999</v>
      </c>
      <c r="AS31" s="17">
        <v>2282.4870000000001</v>
      </c>
      <c r="AT31" s="17">
        <v>2249.6019999999999</v>
      </c>
      <c r="AU31" s="17">
        <v>2221.5140000000001</v>
      </c>
      <c r="AV31" s="17">
        <v>2213.6280000000002</v>
      </c>
      <c r="AW31" s="17">
        <v>2232.2130000000002</v>
      </c>
      <c r="AX31" s="17">
        <v>2267.7809999999999</v>
      </c>
      <c r="AY31" s="17">
        <v>2303.4870000000001</v>
      </c>
      <c r="AZ31" s="17">
        <v>2341.3919999999998</v>
      </c>
      <c r="BA31" s="17">
        <v>2370.9859999999999</v>
      </c>
      <c r="BB31" s="17">
        <v>2384.8939999999998</v>
      </c>
      <c r="BC31" s="17">
        <v>2386.2139999999999</v>
      </c>
      <c r="BD31" s="17">
        <v>2387.7220000000002</v>
      </c>
      <c r="BE31" s="17">
        <v>2389.6170000000002</v>
      </c>
      <c r="BF31" s="17">
        <v>2371.7800000000002</v>
      </c>
      <c r="BG31" s="17">
        <v>2326.35</v>
      </c>
      <c r="BH31" s="17">
        <v>2262.3960000000002</v>
      </c>
      <c r="BI31" s="17">
        <v>2195.8890000000001</v>
      </c>
      <c r="BJ31" s="17">
        <v>2122.48</v>
      </c>
      <c r="BK31" s="17">
        <v>2057.3719999999998</v>
      </c>
      <c r="BL31" s="17">
        <v>2009.3779999999999</v>
      </c>
      <c r="BM31" s="17">
        <v>1971.018</v>
      </c>
      <c r="BN31" s="17">
        <v>1926.7239999999999</v>
      </c>
      <c r="BO31" s="17">
        <v>1880.473</v>
      </c>
      <c r="BP31" s="17">
        <v>1826.1489999999999</v>
      </c>
      <c r="BQ31" s="17">
        <v>1759.425</v>
      </c>
      <c r="BR31" s="17">
        <v>1684.3879999999999</v>
      </c>
      <c r="BS31" s="17">
        <v>1608.7650000000001</v>
      </c>
      <c r="BT31" s="17">
        <v>1530.19</v>
      </c>
      <c r="BU31" s="17">
        <v>1454.7280000000001</v>
      </c>
      <c r="BV31" s="17">
        <v>1385.9110000000001</v>
      </c>
      <c r="BW31" s="17">
        <v>1320.2439999999999</v>
      </c>
      <c r="BX31" s="17">
        <v>1253.078</v>
      </c>
      <c r="BY31" s="17">
        <v>1188.201</v>
      </c>
      <c r="BZ31" s="17">
        <v>1111.009</v>
      </c>
      <c r="CA31" s="17">
        <v>1014.686</v>
      </c>
      <c r="CB31" s="17">
        <v>907.745</v>
      </c>
      <c r="CC31" s="17">
        <v>804.06500000000005</v>
      </c>
      <c r="CD31" s="17">
        <v>699.13699999999994</v>
      </c>
      <c r="CE31" s="17">
        <v>611.39499999999998</v>
      </c>
      <c r="CF31" s="17">
        <v>550.86500000000001</v>
      </c>
      <c r="CG31" s="17">
        <v>508.45600000000002</v>
      </c>
      <c r="CH31" s="17">
        <v>465.92099999999999</v>
      </c>
      <c r="CI31" s="17">
        <v>427.947</v>
      </c>
      <c r="CJ31" s="17">
        <v>385.36700000000002</v>
      </c>
      <c r="CK31" s="17">
        <v>332.11799999999999</v>
      </c>
      <c r="CL31" s="17">
        <v>273.685</v>
      </c>
      <c r="CM31" s="17">
        <v>215.44800000000001</v>
      </c>
      <c r="CN31" s="17">
        <v>167.42599999999999</v>
      </c>
      <c r="CO31" s="17">
        <v>138.21199999999999</v>
      </c>
      <c r="CP31" s="17">
        <v>108.199</v>
      </c>
      <c r="CQ31" s="17">
        <v>76.819999999999993</v>
      </c>
      <c r="CR31" s="17">
        <v>55.42</v>
      </c>
      <c r="CS31" s="17">
        <v>45.218000000000004</v>
      </c>
      <c r="CT31" s="17">
        <v>36.533999999999999</v>
      </c>
      <c r="CU31" s="17">
        <v>26.491</v>
      </c>
      <c r="CV31" s="17">
        <v>15.087</v>
      </c>
      <c r="CW31" s="17">
        <v>8.4619999999999997</v>
      </c>
      <c r="CX31" s="17">
        <v>12.308</v>
      </c>
      <c r="CY31" s="3">
        <f t="shared" si="4"/>
        <v>227339.32099999997</v>
      </c>
      <c r="CZ31" s="3">
        <f>SUM(T31:AI31)</f>
        <v>63353.188000000002</v>
      </c>
      <c r="DA31" s="3">
        <f t="shared" si="5"/>
        <v>0.27867237273925005</v>
      </c>
      <c r="DF31" s="3">
        <f>SUM(AJ31:BB31)</f>
        <v>46527.293000000005</v>
      </c>
      <c r="DG31" s="3">
        <f t="shared" si="2"/>
        <v>0.20466012124668928</v>
      </c>
      <c r="DH31">
        <f>SUM(BB31:CB31)</f>
        <v>48716.826000000008</v>
      </c>
      <c r="DI31" s="9">
        <f t="shared" si="3"/>
        <v>0.21429124440817704</v>
      </c>
      <c r="DJ31" s="7">
        <v>0.21429124440817704</v>
      </c>
      <c r="DK31" s="7">
        <v>0.20466012124668928</v>
      </c>
      <c r="DL31" s="7"/>
      <c r="DM31" s="7"/>
      <c r="DN31" s="7"/>
      <c r="DO31" s="10">
        <f t="shared" si="7"/>
        <v>0.41895136565486635</v>
      </c>
    </row>
    <row r="32" spans="1:119">
      <c r="A32" s="4">
        <v>1980</v>
      </c>
      <c r="B32" s="17">
        <v>3390.7179999999998</v>
      </c>
      <c r="C32" s="17">
        <v>3335.1779999999999</v>
      </c>
      <c r="D32" s="17">
        <v>3298.3510000000001</v>
      </c>
      <c r="E32" s="17">
        <v>3279.1289999999999</v>
      </c>
      <c r="F32" s="17">
        <v>3276.4009999999998</v>
      </c>
      <c r="G32" s="17">
        <v>3289.0590000000002</v>
      </c>
      <c r="H32" s="17">
        <v>3315.9929999999999</v>
      </c>
      <c r="I32" s="17">
        <v>3356.0949999999998</v>
      </c>
      <c r="J32" s="17">
        <v>3408.2550000000001</v>
      </c>
      <c r="K32" s="17">
        <v>3471.3629999999998</v>
      </c>
      <c r="L32" s="17">
        <v>3540.5630000000001</v>
      </c>
      <c r="M32" s="17">
        <v>3610.9949999999999</v>
      </c>
      <c r="N32" s="17">
        <v>3700.2939999999999</v>
      </c>
      <c r="O32" s="17">
        <v>3814.8490000000002</v>
      </c>
      <c r="P32" s="17">
        <v>3942.3020000000001</v>
      </c>
      <c r="Q32" s="17">
        <v>4064.2730000000001</v>
      </c>
      <c r="R32" s="17">
        <v>4184.8729999999996</v>
      </c>
      <c r="S32" s="17">
        <v>4276.8969999999999</v>
      </c>
      <c r="T32" s="17">
        <v>4325.05</v>
      </c>
      <c r="U32" s="17">
        <v>4340.1310000000003</v>
      </c>
      <c r="V32" s="17">
        <v>4350.5860000000002</v>
      </c>
      <c r="W32" s="17">
        <v>4353.5460000000003</v>
      </c>
      <c r="X32" s="17">
        <v>4334.2039999999997</v>
      </c>
      <c r="Y32" s="17">
        <v>4288.9399999999996</v>
      </c>
      <c r="Z32" s="17">
        <v>4224.0879999999997</v>
      </c>
      <c r="AA32" s="17">
        <v>4147.7839999999997</v>
      </c>
      <c r="AB32" s="17">
        <v>4056.2269999999999</v>
      </c>
      <c r="AC32" s="17">
        <v>3970.5949999999998</v>
      </c>
      <c r="AD32" s="17">
        <v>3901.5650000000001</v>
      </c>
      <c r="AE32" s="17">
        <v>3838.9989999999998</v>
      </c>
      <c r="AF32" s="17">
        <v>3767.6190000000001</v>
      </c>
      <c r="AG32" s="17">
        <v>3697.1260000000002</v>
      </c>
      <c r="AH32" s="17">
        <v>3593.1239999999998</v>
      </c>
      <c r="AI32" s="17">
        <v>3439.1</v>
      </c>
      <c r="AJ32" s="17">
        <v>3255.2950000000001</v>
      </c>
      <c r="AK32" s="17">
        <v>3077.5140000000001</v>
      </c>
      <c r="AL32" s="17">
        <v>2897.4690000000001</v>
      </c>
      <c r="AM32" s="17">
        <v>2745.7330000000002</v>
      </c>
      <c r="AN32" s="17">
        <v>2640.8020000000001</v>
      </c>
      <c r="AO32" s="17">
        <v>2568.7779999999998</v>
      </c>
      <c r="AP32" s="17">
        <v>2497.58</v>
      </c>
      <c r="AQ32" s="17">
        <v>2433.989</v>
      </c>
      <c r="AR32" s="17">
        <v>2377.326</v>
      </c>
      <c r="AS32" s="17">
        <v>2324.1660000000002</v>
      </c>
      <c r="AT32" s="17">
        <v>2277.2979999999998</v>
      </c>
      <c r="AU32" s="17">
        <v>2239.6179999999999</v>
      </c>
      <c r="AV32" s="17">
        <v>2206.5639999999999</v>
      </c>
      <c r="AW32" s="17">
        <v>2195.3139999999999</v>
      </c>
      <c r="AX32" s="17">
        <v>2213.42</v>
      </c>
      <c r="AY32" s="17">
        <v>2250.3139999999999</v>
      </c>
      <c r="AZ32" s="17">
        <v>2286.8220000000001</v>
      </c>
      <c r="BA32" s="17">
        <v>2325.5149999999999</v>
      </c>
      <c r="BB32" s="17">
        <v>2355.3649999999998</v>
      </c>
      <c r="BC32" s="17">
        <v>2368.5250000000001</v>
      </c>
      <c r="BD32" s="17">
        <v>2368.4679999999998</v>
      </c>
      <c r="BE32" s="17">
        <v>2368.864</v>
      </c>
      <c r="BF32" s="17">
        <v>2369.7849999999999</v>
      </c>
      <c r="BG32" s="17">
        <v>2350.942</v>
      </c>
      <c r="BH32" s="17">
        <v>2304.4929999999999</v>
      </c>
      <c r="BI32" s="17">
        <v>2239.5639999999999</v>
      </c>
      <c r="BJ32" s="17">
        <v>2171.895</v>
      </c>
      <c r="BK32" s="17">
        <v>2096.8589999999999</v>
      </c>
      <c r="BL32" s="17">
        <v>2031.26</v>
      </c>
      <c r="BM32" s="17">
        <v>1984.577</v>
      </c>
      <c r="BN32" s="17">
        <v>1948.4390000000001</v>
      </c>
      <c r="BO32" s="17">
        <v>1906.22</v>
      </c>
      <c r="BP32" s="17">
        <v>1862.7239999999999</v>
      </c>
      <c r="BQ32" s="17">
        <v>1807.97</v>
      </c>
      <c r="BR32" s="17">
        <v>1735.799</v>
      </c>
      <c r="BS32" s="17">
        <v>1652.3710000000001</v>
      </c>
      <c r="BT32" s="17">
        <v>1568.7650000000001</v>
      </c>
      <c r="BU32" s="17">
        <v>1481.2750000000001</v>
      </c>
      <c r="BV32" s="17">
        <v>1401.0360000000001</v>
      </c>
      <c r="BW32" s="17">
        <v>1334.229</v>
      </c>
      <c r="BX32" s="17">
        <v>1274.6659999999999</v>
      </c>
      <c r="BY32" s="17">
        <v>1212.902</v>
      </c>
      <c r="BZ32" s="17">
        <v>1154.338</v>
      </c>
      <c r="CA32" s="17">
        <v>1079.373</v>
      </c>
      <c r="CB32" s="17">
        <v>978.43600000000004</v>
      </c>
      <c r="CC32" s="17">
        <v>862.78200000000004</v>
      </c>
      <c r="CD32" s="17">
        <v>751.57799999999997</v>
      </c>
      <c r="CE32" s="17">
        <v>638.99199999999996</v>
      </c>
      <c r="CF32" s="17">
        <v>546.73400000000004</v>
      </c>
      <c r="CG32" s="17">
        <v>486.90800000000002</v>
      </c>
      <c r="CH32" s="17">
        <v>448.67</v>
      </c>
      <c r="CI32" s="17">
        <v>409.87200000000001</v>
      </c>
      <c r="CJ32" s="17">
        <v>375.90899999999999</v>
      </c>
      <c r="CK32" s="17">
        <v>337.35700000000003</v>
      </c>
      <c r="CL32" s="17">
        <v>287.61099999999999</v>
      </c>
      <c r="CM32" s="17">
        <v>232.416</v>
      </c>
      <c r="CN32" s="17">
        <v>176.458</v>
      </c>
      <c r="CO32" s="17">
        <v>132.726</v>
      </c>
      <c r="CP32" s="17">
        <v>110.453</v>
      </c>
      <c r="CQ32" s="17">
        <v>84.194000000000003</v>
      </c>
      <c r="CR32" s="17">
        <v>53.95</v>
      </c>
      <c r="CS32" s="17">
        <v>36.768999999999998</v>
      </c>
      <c r="CT32" s="17">
        <v>31.175999999999998</v>
      </c>
      <c r="CU32" s="17">
        <v>24.722000000000001</v>
      </c>
      <c r="CV32" s="17">
        <v>17.408000000000001</v>
      </c>
      <c r="CW32" s="17">
        <v>9.2309999999999999</v>
      </c>
      <c r="CX32" s="17">
        <v>13.515000000000001</v>
      </c>
      <c r="CY32" s="3">
        <f t="shared" si="4"/>
        <v>229476.36000000007</v>
      </c>
      <c r="CZ32" s="3">
        <f>SUM(T32:AJ32)</f>
        <v>67883.978999999992</v>
      </c>
      <c r="DA32" s="3">
        <f t="shared" si="5"/>
        <v>0.29582122969006469</v>
      </c>
      <c r="DF32" s="3">
        <f>SUM(AK32:BC32)</f>
        <v>46282.111999999994</v>
      </c>
      <c r="DG32" s="3">
        <f t="shared" si="2"/>
        <v>0.20168575098541733</v>
      </c>
      <c r="DH32">
        <f>SUM(BC32:CC32)</f>
        <v>47916.557000000001</v>
      </c>
      <c r="DI32" s="9">
        <f t="shared" si="3"/>
        <v>0.20880824935518405</v>
      </c>
      <c r="DJ32" s="7">
        <v>0.20880824935518405</v>
      </c>
      <c r="DK32" s="7">
        <v>0.20168575098541733</v>
      </c>
      <c r="DL32" s="7"/>
      <c r="DM32" s="7"/>
      <c r="DN32" s="7"/>
      <c r="DO32" s="10">
        <f t="shared" si="7"/>
        <v>0.41049400034060135</v>
      </c>
    </row>
    <row r="33" spans="1:119">
      <c r="A33" s="4">
        <v>1981</v>
      </c>
      <c r="B33" s="17">
        <v>3433.0459999999998</v>
      </c>
      <c r="C33" s="17">
        <v>3392.4560000000001</v>
      </c>
      <c r="D33" s="17">
        <v>3342.9810000000002</v>
      </c>
      <c r="E33" s="17">
        <v>3310.8589999999999</v>
      </c>
      <c r="F33" s="17">
        <v>3295.1439999999998</v>
      </c>
      <c r="G33" s="17">
        <v>3294.8939999999998</v>
      </c>
      <c r="H33" s="17">
        <v>3308.98</v>
      </c>
      <c r="I33" s="17">
        <v>3336.2730000000001</v>
      </c>
      <c r="J33" s="17">
        <v>3376.76</v>
      </c>
      <c r="K33" s="17">
        <v>3429.8679999999999</v>
      </c>
      <c r="L33" s="17">
        <v>3494.098</v>
      </c>
      <c r="M33" s="17">
        <v>3563.8789999999999</v>
      </c>
      <c r="N33" s="17">
        <v>3634.7539999999999</v>
      </c>
      <c r="O33" s="17">
        <v>3723.348</v>
      </c>
      <c r="P33" s="17">
        <v>3835.56</v>
      </c>
      <c r="Q33" s="17">
        <v>3959.72</v>
      </c>
      <c r="R33" s="17">
        <v>4078.4839999999999</v>
      </c>
      <c r="S33" s="17">
        <v>4195.5889999999999</v>
      </c>
      <c r="T33" s="17">
        <v>4285.5789999999997</v>
      </c>
      <c r="U33" s="17">
        <v>4334.0810000000001</v>
      </c>
      <c r="V33" s="17">
        <v>4351.049</v>
      </c>
      <c r="W33" s="17">
        <v>4362.9970000000003</v>
      </c>
      <c r="X33" s="17">
        <v>4367.2430000000004</v>
      </c>
      <c r="Y33" s="17">
        <v>4349.3339999999998</v>
      </c>
      <c r="Z33" s="17">
        <v>4305.57</v>
      </c>
      <c r="AA33" s="17">
        <v>4242.058</v>
      </c>
      <c r="AB33" s="17">
        <v>4167.1880000000001</v>
      </c>
      <c r="AC33" s="17">
        <v>4077.5729999999999</v>
      </c>
      <c r="AD33" s="17">
        <v>3991.4870000000001</v>
      </c>
      <c r="AE33" s="17">
        <v>3918.34</v>
      </c>
      <c r="AF33" s="17">
        <v>3849.4850000000001</v>
      </c>
      <c r="AG33" s="17">
        <v>3772.098</v>
      </c>
      <c r="AH33" s="17">
        <v>3695.018</v>
      </c>
      <c r="AI33" s="17">
        <v>3587.1610000000001</v>
      </c>
      <c r="AJ33" s="17">
        <v>3433.7919999999999</v>
      </c>
      <c r="AK33" s="17">
        <v>3253.45</v>
      </c>
      <c r="AL33" s="17">
        <v>3078.596</v>
      </c>
      <c r="AM33" s="17">
        <v>2901.7689999999998</v>
      </c>
      <c r="AN33" s="17">
        <v>2751.7330000000002</v>
      </c>
      <c r="AO33" s="17">
        <v>2645.7939999999999</v>
      </c>
      <c r="AP33" s="17">
        <v>2571.067</v>
      </c>
      <c r="AQ33" s="17">
        <v>2497.5839999999998</v>
      </c>
      <c r="AR33" s="17">
        <v>2431.6080000000002</v>
      </c>
      <c r="AS33" s="17">
        <v>2373.2060000000001</v>
      </c>
      <c r="AT33" s="17">
        <v>2319.5039999999999</v>
      </c>
      <c r="AU33" s="17">
        <v>2272.79</v>
      </c>
      <c r="AV33" s="17">
        <v>2234.951</v>
      </c>
      <c r="AW33" s="17">
        <v>2201.6729999999998</v>
      </c>
      <c r="AX33" s="17">
        <v>2189.6570000000002</v>
      </c>
      <c r="AY33" s="17">
        <v>2206.1280000000002</v>
      </c>
      <c r="AZ33" s="17">
        <v>2240.8049999999998</v>
      </c>
      <c r="BA33" s="17">
        <v>2275.2040000000002</v>
      </c>
      <c r="BB33" s="17">
        <v>2311.8420000000001</v>
      </c>
      <c r="BC33" s="17">
        <v>2339.4589999999998</v>
      </c>
      <c r="BD33" s="17">
        <v>2350.1790000000001</v>
      </c>
      <c r="BE33" s="17">
        <v>2347.6179999999999</v>
      </c>
      <c r="BF33" s="17">
        <v>2345.3789999999999</v>
      </c>
      <c r="BG33" s="17">
        <v>2343.2759999999998</v>
      </c>
      <c r="BH33" s="17">
        <v>2322.5630000000001</v>
      </c>
      <c r="BI33" s="17">
        <v>2276.0729999999999</v>
      </c>
      <c r="BJ33" s="17">
        <v>2212.105</v>
      </c>
      <c r="BK33" s="17">
        <v>2145.2330000000002</v>
      </c>
      <c r="BL33" s="17">
        <v>2071.4639999999999</v>
      </c>
      <c r="BM33" s="17">
        <v>2004.877</v>
      </c>
      <c r="BN33" s="17">
        <v>1953.607</v>
      </c>
      <c r="BO33" s="17">
        <v>1910.7360000000001</v>
      </c>
      <c r="BP33" s="17">
        <v>1862.19</v>
      </c>
      <c r="BQ33" s="17">
        <v>1811.9690000000001</v>
      </c>
      <c r="BR33" s="17">
        <v>1752.7619999999999</v>
      </c>
      <c r="BS33" s="17">
        <v>1679.9059999999999</v>
      </c>
      <c r="BT33" s="17">
        <v>1598.155</v>
      </c>
      <c r="BU33" s="17">
        <v>1515.9690000000001</v>
      </c>
      <c r="BV33" s="17">
        <v>1430.5039999999999</v>
      </c>
      <c r="BW33" s="17">
        <v>1350.598</v>
      </c>
      <c r="BX33" s="17">
        <v>1281.1310000000001</v>
      </c>
      <c r="BY33" s="17">
        <v>1217.248</v>
      </c>
      <c r="BZ33" s="17">
        <v>1151.884</v>
      </c>
      <c r="CA33" s="17">
        <v>1089.653</v>
      </c>
      <c r="CB33" s="17">
        <v>1013.395</v>
      </c>
      <c r="CC33" s="17">
        <v>914.88699999999994</v>
      </c>
      <c r="CD33" s="17">
        <v>804.05899999999997</v>
      </c>
      <c r="CE33" s="17">
        <v>697.52599999999995</v>
      </c>
      <c r="CF33" s="17">
        <v>590.12199999999996</v>
      </c>
      <c r="CG33" s="17">
        <v>501.90800000000002</v>
      </c>
      <c r="CH33" s="17">
        <v>443.96199999999999</v>
      </c>
      <c r="CI33" s="17">
        <v>406.34</v>
      </c>
      <c r="CJ33" s="17">
        <v>368.541</v>
      </c>
      <c r="CK33" s="17">
        <v>336.73899999999998</v>
      </c>
      <c r="CL33" s="17">
        <v>300.71600000000001</v>
      </c>
      <c r="CM33" s="17">
        <v>254.11099999999999</v>
      </c>
      <c r="CN33" s="17">
        <v>201.52099999999999</v>
      </c>
      <c r="CO33" s="17">
        <v>151.37799999999999</v>
      </c>
      <c r="CP33" s="17">
        <v>114.852</v>
      </c>
      <c r="CQ33" s="17">
        <v>95.278999999999996</v>
      </c>
      <c r="CR33" s="17">
        <v>72.292000000000002</v>
      </c>
      <c r="CS33" s="17">
        <v>45.890999999999998</v>
      </c>
      <c r="CT33" s="17">
        <v>33.527000000000001</v>
      </c>
      <c r="CU33" s="17">
        <v>26.609000000000002</v>
      </c>
      <c r="CV33" s="17">
        <v>18.777999999999999</v>
      </c>
      <c r="CW33" s="17">
        <v>10.034000000000001</v>
      </c>
      <c r="CX33" s="17">
        <v>14.952999999999999</v>
      </c>
      <c r="CY33" s="3">
        <f t="shared" si="4"/>
        <v>231636.065</v>
      </c>
      <c r="CZ33" s="3">
        <f>SUM(T33:AK33)</f>
        <v>72343.502999999997</v>
      </c>
      <c r="DA33" s="3">
        <f t="shared" si="5"/>
        <v>0.31231536850705865</v>
      </c>
      <c r="DF33" s="3">
        <f>SUM(AL33:BD33)</f>
        <v>46193.548999999999</v>
      </c>
      <c r="DG33" s="3">
        <f t="shared" si="2"/>
        <v>0.19942295686986394</v>
      </c>
      <c r="DH33">
        <f>SUM(BD33:CD33)</f>
        <v>46757.419999999991</v>
      </c>
      <c r="DI33" s="9">
        <f t="shared" si="3"/>
        <v>0.20185725396431678</v>
      </c>
      <c r="DJ33" s="7">
        <v>0.20185725396431678</v>
      </c>
      <c r="DK33" s="7">
        <v>0.19942295686986394</v>
      </c>
      <c r="DL33" s="7"/>
      <c r="DM33" s="7"/>
      <c r="DN33" s="7"/>
      <c r="DO33" s="10">
        <f t="shared" si="7"/>
        <v>0.40128021083418075</v>
      </c>
    </row>
    <row r="34" spans="1:119">
      <c r="A34" s="4">
        <v>1982</v>
      </c>
      <c r="B34" s="17">
        <v>3493.4859999999999</v>
      </c>
      <c r="C34" s="17">
        <v>3429.366</v>
      </c>
      <c r="D34" s="17">
        <v>3393.8020000000001</v>
      </c>
      <c r="E34" s="17">
        <v>3350.3989999999999</v>
      </c>
      <c r="F34" s="17">
        <v>3322.9830000000002</v>
      </c>
      <c r="G34" s="17">
        <v>3310.7779999999998</v>
      </c>
      <c r="H34" s="17">
        <v>3313.0059999999999</v>
      </c>
      <c r="I34" s="17">
        <v>3328.5189999999998</v>
      </c>
      <c r="J34" s="17">
        <v>3356.1709999999998</v>
      </c>
      <c r="K34" s="17">
        <v>3397.0410000000002</v>
      </c>
      <c r="L34" s="17">
        <v>3451.096</v>
      </c>
      <c r="M34" s="17">
        <v>3516.442</v>
      </c>
      <c r="N34" s="17">
        <v>3586.8</v>
      </c>
      <c r="O34" s="17">
        <v>3658.1129999999998</v>
      </c>
      <c r="P34" s="17">
        <v>3745.9929999999999</v>
      </c>
      <c r="Q34" s="17">
        <v>3855.8490000000002</v>
      </c>
      <c r="R34" s="17">
        <v>3976.6990000000001</v>
      </c>
      <c r="S34" s="17">
        <v>4092.2379999999998</v>
      </c>
      <c r="T34" s="17">
        <v>4205.8320000000003</v>
      </c>
      <c r="U34" s="17">
        <v>4293.7730000000001</v>
      </c>
      <c r="V34" s="17">
        <v>4342.6120000000001</v>
      </c>
      <c r="W34" s="17">
        <v>4361.4579999999996</v>
      </c>
      <c r="X34" s="17">
        <v>4374.8890000000001</v>
      </c>
      <c r="Y34" s="17">
        <v>4380.4129999999996</v>
      </c>
      <c r="Z34" s="17">
        <v>4363.9340000000002</v>
      </c>
      <c r="AA34" s="17">
        <v>4321.67</v>
      </c>
      <c r="AB34" s="17">
        <v>4259.5069999999996</v>
      </c>
      <c r="AC34" s="17">
        <v>4186.0789999999997</v>
      </c>
      <c r="AD34" s="17">
        <v>4098.415</v>
      </c>
      <c r="AE34" s="17">
        <v>4011.8850000000002</v>
      </c>
      <c r="AF34" s="17">
        <v>3934.625</v>
      </c>
      <c r="AG34" s="17">
        <v>3859.482</v>
      </c>
      <c r="AH34" s="17">
        <v>3776.09</v>
      </c>
      <c r="AI34" s="17">
        <v>3692.4259999999999</v>
      </c>
      <c r="AJ34" s="17">
        <v>3580.721</v>
      </c>
      <c r="AK34" s="17">
        <v>3428.0219999999999</v>
      </c>
      <c r="AL34" s="17">
        <v>3251.165</v>
      </c>
      <c r="AM34" s="17">
        <v>3079.259</v>
      </c>
      <c r="AN34" s="17">
        <v>2905.67</v>
      </c>
      <c r="AO34" s="17">
        <v>2757.3519999999999</v>
      </c>
      <c r="AP34" s="17">
        <v>2650.422</v>
      </c>
      <c r="AQ34" s="17">
        <v>2573.0059999999999</v>
      </c>
      <c r="AR34" s="17">
        <v>2497.2539999999999</v>
      </c>
      <c r="AS34" s="17">
        <v>2428.9079999999999</v>
      </c>
      <c r="AT34" s="17">
        <v>2368.777</v>
      </c>
      <c r="AU34" s="17">
        <v>2314.5390000000002</v>
      </c>
      <c r="AV34" s="17">
        <v>2267.9810000000002</v>
      </c>
      <c r="AW34" s="17">
        <v>2229.98</v>
      </c>
      <c r="AX34" s="17">
        <v>2196.4789999999998</v>
      </c>
      <c r="AY34" s="17">
        <v>2183.6930000000002</v>
      </c>
      <c r="AZ34" s="17">
        <v>2198.5239999999999</v>
      </c>
      <c r="BA34" s="17">
        <v>2230.9780000000001</v>
      </c>
      <c r="BB34" s="17">
        <v>2263.2579999999998</v>
      </c>
      <c r="BC34" s="17">
        <v>2297.8359999999998</v>
      </c>
      <c r="BD34" s="17">
        <v>2323.2089999999998</v>
      </c>
      <c r="BE34" s="17">
        <v>2331.4850000000001</v>
      </c>
      <c r="BF34" s="17">
        <v>2326.4169999999999</v>
      </c>
      <c r="BG34" s="17">
        <v>2321.538</v>
      </c>
      <c r="BH34" s="17">
        <v>2316.4079999999999</v>
      </c>
      <c r="BI34" s="17">
        <v>2293.8240000000001</v>
      </c>
      <c r="BJ34" s="17">
        <v>2247.297</v>
      </c>
      <c r="BK34" s="17">
        <v>2184.2979999999998</v>
      </c>
      <c r="BL34" s="17">
        <v>2118.2310000000002</v>
      </c>
      <c r="BM34" s="17">
        <v>2045.739</v>
      </c>
      <c r="BN34" s="17">
        <v>1978.171</v>
      </c>
      <c r="BO34" s="17">
        <v>1922.318</v>
      </c>
      <c r="BP34" s="17">
        <v>1872.7139999999999</v>
      </c>
      <c r="BQ34" s="17">
        <v>1817.8440000000001</v>
      </c>
      <c r="BR34" s="17">
        <v>1760.8989999999999</v>
      </c>
      <c r="BS34" s="17">
        <v>1697.2439999999999</v>
      </c>
      <c r="BT34" s="17">
        <v>1623.704</v>
      </c>
      <c r="BU34" s="17">
        <v>1543.6310000000001</v>
      </c>
      <c r="BV34" s="17">
        <v>1462.8689999999999</v>
      </c>
      <c r="BW34" s="17">
        <v>1379.432</v>
      </c>
      <c r="BX34" s="17">
        <v>1299.8630000000001</v>
      </c>
      <c r="BY34" s="17">
        <v>1227.7449999999999</v>
      </c>
      <c r="BZ34" s="17">
        <v>1159.556</v>
      </c>
      <c r="CA34" s="17">
        <v>1090.6020000000001</v>
      </c>
      <c r="CB34" s="17">
        <v>1024.7190000000001</v>
      </c>
      <c r="CC34" s="17">
        <v>947.17899999999997</v>
      </c>
      <c r="CD34" s="17">
        <v>851.11400000000003</v>
      </c>
      <c r="CE34" s="17">
        <v>745.12699999999995</v>
      </c>
      <c r="CF34" s="17">
        <v>643.279</v>
      </c>
      <c r="CG34" s="17">
        <v>541.072</v>
      </c>
      <c r="CH34" s="17">
        <v>456.916</v>
      </c>
      <c r="CI34" s="17">
        <v>400.863</v>
      </c>
      <c r="CJ34" s="17">
        <v>363.86900000000003</v>
      </c>
      <c r="CK34" s="17">
        <v>327.08199999999999</v>
      </c>
      <c r="CL34" s="17">
        <v>297.452</v>
      </c>
      <c r="CM34" s="17">
        <v>263.97000000000003</v>
      </c>
      <c r="CN34" s="17">
        <v>220.51900000000001</v>
      </c>
      <c r="CO34" s="17">
        <v>170.547</v>
      </c>
      <c r="CP34" s="17">
        <v>126.23699999999999</v>
      </c>
      <c r="CQ34" s="17">
        <v>96.933000000000007</v>
      </c>
      <c r="CR34" s="17">
        <v>80.064999999999998</v>
      </c>
      <c r="CS34" s="17">
        <v>60.357999999999997</v>
      </c>
      <c r="CT34" s="17">
        <v>37.811999999999998</v>
      </c>
      <c r="CU34" s="17">
        <v>28.445</v>
      </c>
      <c r="CV34" s="17">
        <v>20.120999999999999</v>
      </c>
      <c r="CW34" s="17">
        <v>10.861000000000001</v>
      </c>
      <c r="CX34" s="17">
        <v>16.577999999999999</v>
      </c>
      <c r="CY34" s="3">
        <f t="shared" si="4"/>
        <v>233821.85100000005</v>
      </c>
      <c r="CZ34" s="3">
        <f>SUM(T34:AL34)</f>
        <v>76722.997999999992</v>
      </c>
      <c r="DA34" s="3">
        <f t="shared" si="5"/>
        <v>0.32812586878375183</v>
      </c>
      <c r="DF34" s="3">
        <f>SUM(AM34:BE34)</f>
        <v>46098.610000000008</v>
      </c>
      <c r="DG34" s="3">
        <f t="shared" si="2"/>
        <v>0.19715270323473744</v>
      </c>
      <c r="DH34">
        <f>SUM(BE34:CE34)</f>
        <v>45589.967999999993</v>
      </c>
      <c r="DI34" s="9">
        <f t="shared" si="3"/>
        <v>0.19497736334317181</v>
      </c>
      <c r="DJ34" s="7">
        <v>0.19497736334317181</v>
      </c>
      <c r="DK34" s="7">
        <v>0.19715270323473744</v>
      </c>
      <c r="DL34" s="7">
        <v>0.32812586878375183</v>
      </c>
      <c r="DM34" s="7"/>
      <c r="DN34" s="7"/>
      <c r="DO34" s="10">
        <f t="shared" si="7"/>
        <v>0.7202559353616611</v>
      </c>
    </row>
    <row r="35" spans="1:119">
      <c r="A35" s="4">
        <v>1983</v>
      </c>
      <c r="B35" s="17">
        <v>3565.2730000000001</v>
      </c>
      <c r="C35" s="17">
        <v>3490.3739999999998</v>
      </c>
      <c r="D35" s="17">
        <v>3429.85</v>
      </c>
      <c r="E35" s="17">
        <v>3394.384</v>
      </c>
      <c r="F35" s="17">
        <v>3357.0619999999999</v>
      </c>
      <c r="G35" s="17">
        <v>3334.36</v>
      </c>
      <c r="H35" s="17">
        <v>3325.6680000000001</v>
      </c>
      <c r="I35" s="17">
        <v>3330.375</v>
      </c>
      <c r="J35" s="17">
        <v>3347.3130000000001</v>
      </c>
      <c r="K35" s="17">
        <v>3375.317</v>
      </c>
      <c r="L35" s="17">
        <v>3416.56</v>
      </c>
      <c r="M35" s="17">
        <v>3471.55</v>
      </c>
      <c r="N35" s="17">
        <v>3538.002</v>
      </c>
      <c r="O35" s="17">
        <v>3608.922</v>
      </c>
      <c r="P35" s="17">
        <v>3680.6579999999999</v>
      </c>
      <c r="Q35" s="17">
        <v>3767.806</v>
      </c>
      <c r="R35" s="17">
        <v>3875.28</v>
      </c>
      <c r="S35" s="17">
        <v>3992.7890000000002</v>
      </c>
      <c r="T35" s="17">
        <v>4105.0770000000002</v>
      </c>
      <c r="U35" s="17">
        <v>4215.1310000000003</v>
      </c>
      <c r="V35" s="17">
        <v>4301</v>
      </c>
      <c r="W35" s="17">
        <v>4350.1629999999996</v>
      </c>
      <c r="X35" s="17">
        <v>4370.88</v>
      </c>
      <c r="Y35" s="17">
        <v>4385.79</v>
      </c>
      <c r="Z35" s="17">
        <v>4392.5860000000002</v>
      </c>
      <c r="AA35" s="17">
        <v>4377.5379999999996</v>
      </c>
      <c r="AB35" s="17">
        <v>4336.7820000000002</v>
      </c>
      <c r="AC35" s="17">
        <v>4275.9809999999998</v>
      </c>
      <c r="AD35" s="17">
        <v>4204.0119999999997</v>
      </c>
      <c r="AE35" s="17">
        <v>4118.317</v>
      </c>
      <c r="AF35" s="17">
        <v>4031.36</v>
      </c>
      <c r="AG35" s="17">
        <v>3950.0030000000002</v>
      </c>
      <c r="AH35" s="17">
        <v>3868.585</v>
      </c>
      <c r="AI35" s="17">
        <v>3779.2049999999999</v>
      </c>
      <c r="AJ35" s="17">
        <v>3688.9740000000002</v>
      </c>
      <c r="AK35" s="17">
        <v>3573.4459999999999</v>
      </c>
      <c r="AL35" s="17">
        <v>3421.4490000000001</v>
      </c>
      <c r="AM35" s="17">
        <v>3248.1149999999998</v>
      </c>
      <c r="AN35" s="17">
        <v>3079.1959999999999</v>
      </c>
      <c r="AO35" s="17">
        <v>2908.8820000000001</v>
      </c>
      <c r="AP35" s="17">
        <v>2762.317</v>
      </c>
      <c r="AQ35" s="17">
        <v>2654.4250000000002</v>
      </c>
      <c r="AR35" s="17">
        <v>2574.3420000000001</v>
      </c>
      <c r="AS35" s="17">
        <v>2496.3409999999999</v>
      </c>
      <c r="AT35" s="17">
        <v>2425.645</v>
      </c>
      <c r="AU35" s="17">
        <v>2363.8009999999999</v>
      </c>
      <c r="AV35" s="17">
        <v>2309.0369999999998</v>
      </c>
      <c r="AW35" s="17">
        <v>2262.6419999999998</v>
      </c>
      <c r="AX35" s="17">
        <v>2224.4859999999999</v>
      </c>
      <c r="AY35" s="17">
        <v>2190.7660000000001</v>
      </c>
      <c r="AZ35" s="17">
        <v>2177.2109999999998</v>
      </c>
      <c r="BA35" s="17">
        <v>2190.3960000000002</v>
      </c>
      <c r="BB35" s="17">
        <v>2220.6170000000002</v>
      </c>
      <c r="BC35" s="17">
        <v>2250.77</v>
      </c>
      <c r="BD35" s="17">
        <v>2283.2759999999998</v>
      </c>
      <c r="BE35" s="17">
        <v>2306.4</v>
      </c>
      <c r="BF35" s="17">
        <v>2312.2280000000001</v>
      </c>
      <c r="BG35" s="17">
        <v>2304.652</v>
      </c>
      <c r="BH35" s="17">
        <v>2297.1329999999998</v>
      </c>
      <c r="BI35" s="17">
        <v>2288.9740000000002</v>
      </c>
      <c r="BJ35" s="17">
        <v>2264.5219999999999</v>
      </c>
      <c r="BK35" s="17">
        <v>2217.9679999999998</v>
      </c>
      <c r="BL35" s="17">
        <v>2155.9540000000002</v>
      </c>
      <c r="BM35" s="17">
        <v>2090.7060000000001</v>
      </c>
      <c r="BN35" s="17">
        <v>2019.5050000000001</v>
      </c>
      <c r="BO35" s="17">
        <v>1950.972</v>
      </c>
      <c r="BP35" s="17">
        <v>1890.546</v>
      </c>
      <c r="BQ35" s="17">
        <v>1834.22</v>
      </c>
      <c r="BR35" s="17">
        <v>1773.0350000000001</v>
      </c>
      <c r="BS35" s="17">
        <v>1709.3789999999999</v>
      </c>
      <c r="BT35" s="17">
        <v>1641.287</v>
      </c>
      <c r="BU35" s="17">
        <v>1567.077</v>
      </c>
      <c r="BV35" s="17">
        <v>1488.6990000000001</v>
      </c>
      <c r="BW35" s="17">
        <v>1409.374</v>
      </c>
      <c r="BX35" s="17">
        <v>1327.981</v>
      </c>
      <c r="BY35" s="17">
        <v>1248.7660000000001</v>
      </c>
      <c r="BZ35" s="17">
        <v>1174.0139999999999</v>
      </c>
      <c r="CA35" s="17">
        <v>1101.5360000000001</v>
      </c>
      <c r="CB35" s="17">
        <v>1029.011</v>
      </c>
      <c r="CC35" s="17">
        <v>959.49300000000005</v>
      </c>
      <c r="CD35" s="17">
        <v>880.69200000000001</v>
      </c>
      <c r="CE35" s="17">
        <v>787.09500000000003</v>
      </c>
      <c r="CF35" s="17">
        <v>685.97400000000005</v>
      </c>
      <c r="CG35" s="17">
        <v>588.83699999999999</v>
      </c>
      <c r="CH35" s="17">
        <v>491.85300000000001</v>
      </c>
      <c r="CI35" s="17">
        <v>411.77800000000002</v>
      </c>
      <c r="CJ35" s="17">
        <v>357.63299999999998</v>
      </c>
      <c r="CK35" s="17">
        <v>321.279</v>
      </c>
      <c r="CL35" s="17">
        <v>285.51499999999999</v>
      </c>
      <c r="CM35" s="17">
        <v>258.06799999999998</v>
      </c>
      <c r="CN35" s="17">
        <v>227.13800000000001</v>
      </c>
      <c r="CO35" s="17">
        <v>186.85400000000001</v>
      </c>
      <c r="CP35" s="17">
        <v>139.51599999999999</v>
      </c>
      <c r="CQ35" s="17">
        <v>101.054</v>
      </c>
      <c r="CR35" s="17">
        <v>78.978999999999999</v>
      </c>
      <c r="CS35" s="17">
        <v>64.823999999999998</v>
      </c>
      <c r="CT35" s="17">
        <v>48.405000000000001</v>
      </c>
      <c r="CU35" s="17">
        <v>29.719000000000001</v>
      </c>
      <c r="CV35" s="17">
        <v>21.478999999999999</v>
      </c>
      <c r="CW35" s="17">
        <v>11.712999999999999</v>
      </c>
      <c r="CX35" s="17">
        <v>18.312000000000001</v>
      </c>
      <c r="CY35" s="3">
        <f t="shared" si="4"/>
        <v>236030.23599999998</v>
      </c>
      <c r="CZ35" s="3">
        <f>SUM(U35:AM35)</f>
        <v>76889.316999999995</v>
      </c>
      <c r="DA35" s="3">
        <f t="shared" si="5"/>
        <v>0.3257604546902203</v>
      </c>
      <c r="DB35" s="3">
        <f>T35</f>
        <v>4105.0770000000002</v>
      </c>
      <c r="DC35" s="3">
        <f>DB35/CY35</f>
        <v>1.7392165807096006E-2</v>
      </c>
      <c r="DF35" s="3">
        <f>SUM(AN35:BF35)</f>
        <v>45992.777999999998</v>
      </c>
      <c r="DG35" s="3">
        <f t="shared" si="2"/>
        <v>0.19485968738344187</v>
      </c>
      <c r="DH35">
        <f>SUM(BF35:CF35)</f>
        <v>44410.79300000002</v>
      </c>
      <c r="DI35" s="9">
        <f t="shared" si="3"/>
        <v>0.18815721982331121</v>
      </c>
      <c r="DJ35" s="7">
        <v>0.18815721982331121</v>
      </c>
      <c r="DK35" s="7">
        <v>0.19485968738344187</v>
      </c>
      <c r="DL35" s="7">
        <v>0.3257604546902203</v>
      </c>
      <c r="DM35" s="7"/>
      <c r="DN35" s="7"/>
      <c r="DO35" s="10">
        <f t="shared" si="7"/>
        <v>0.70877736189697338</v>
      </c>
    </row>
    <row r="36" spans="1:119">
      <c r="A36" s="4">
        <v>1984</v>
      </c>
      <c r="B36" s="17">
        <v>3638.8760000000002</v>
      </c>
      <c r="C36" s="17">
        <v>3554.6489999999999</v>
      </c>
      <c r="D36" s="17">
        <v>3484.7269999999999</v>
      </c>
      <c r="E36" s="17">
        <v>3428.739</v>
      </c>
      <c r="F36" s="17">
        <v>3394.2539999999999</v>
      </c>
      <c r="G36" s="17">
        <v>3363.0219999999999</v>
      </c>
      <c r="H36" s="17">
        <v>3345.0390000000002</v>
      </c>
      <c r="I36" s="17">
        <v>3339.8609999999999</v>
      </c>
      <c r="J36" s="17">
        <v>3347.0450000000001</v>
      </c>
      <c r="K36" s="17">
        <v>3365.4050000000002</v>
      </c>
      <c r="L36" s="17">
        <v>3393.7530000000002</v>
      </c>
      <c r="M36" s="17">
        <v>3435.3609999999999</v>
      </c>
      <c r="N36" s="17">
        <v>3491.2739999999999</v>
      </c>
      <c r="O36" s="17">
        <v>3558.8159999999998</v>
      </c>
      <c r="P36" s="17">
        <v>3630.2829999999999</v>
      </c>
      <c r="Q36" s="17">
        <v>3702.4279999999999</v>
      </c>
      <c r="R36" s="17">
        <v>3788.8240000000001</v>
      </c>
      <c r="S36" s="17">
        <v>3893.8939999999998</v>
      </c>
      <c r="T36" s="17">
        <v>4008.0390000000002</v>
      </c>
      <c r="U36" s="17">
        <v>4117.05</v>
      </c>
      <c r="V36" s="17">
        <v>4223.5420000000004</v>
      </c>
      <c r="W36" s="17">
        <v>4307.3230000000003</v>
      </c>
      <c r="X36" s="17">
        <v>4356.8</v>
      </c>
      <c r="Y36" s="17">
        <v>4379.3860000000004</v>
      </c>
      <c r="Z36" s="17">
        <v>4395.7709999999997</v>
      </c>
      <c r="AA36" s="17">
        <v>4403.8419999999996</v>
      </c>
      <c r="AB36" s="17">
        <v>4390.2280000000001</v>
      </c>
      <c r="AC36" s="17">
        <v>4350.99</v>
      </c>
      <c r="AD36" s="17">
        <v>4291.5640000000003</v>
      </c>
      <c r="AE36" s="17">
        <v>4221.067</v>
      </c>
      <c r="AF36" s="17">
        <v>4137.3599999999997</v>
      </c>
      <c r="AG36" s="17">
        <v>4049.9960000000001</v>
      </c>
      <c r="AH36" s="17">
        <v>3964.5569999999998</v>
      </c>
      <c r="AI36" s="17">
        <v>3876.884</v>
      </c>
      <c r="AJ36" s="17">
        <v>3781.5360000000001</v>
      </c>
      <c r="AK36" s="17">
        <v>3684.7579999999998</v>
      </c>
      <c r="AL36" s="17">
        <v>3565.43</v>
      </c>
      <c r="AM36" s="17">
        <v>3414.17</v>
      </c>
      <c r="AN36" s="17">
        <v>3244.3969999999999</v>
      </c>
      <c r="AO36" s="17">
        <v>3078.498</v>
      </c>
      <c r="AP36" s="17">
        <v>2911.4969999999998</v>
      </c>
      <c r="AQ36" s="17">
        <v>2766.7139999999999</v>
      </c>
      <c r="AR36" s="17">
        <v>2657.8809999999999</v>
      </c>
      <c r="AS36" s="17">
        <v>2575.1460000000002</v>
      </c>
      <c r="AT36" s="17">
        <v>2494.9119999999998</v>
      </c>
      <c r="AU36" s="17">
        <v>2421.8780000000002</v>
      </c>
      <c r="AV36" s="17">
        <v>2358.335</v>
      </c>
      <c r="AW36" s="17">
        <v>2303.058</v>
      </c>
      <c r="AX36" s="17">
        <v>2256.8359999999998</v>
      </c>
      <c r="AY36" s="17">
        <v>2218.5329999999999</v>
      </c>
      <c r="AZ36" s="17">
        <v>2184.6019999999999</v>
      </c>
      <c r="BA36" s="17">
        <v>2170.2820000000002</v>
      </c>
      <c r="BB36" s="17">
        <v>2181.817</v>
      </c>
      <c r="BC36" s="17">
        <v>2209.8009999999999</v>
      </c>
      <c r="BD36" s="17">
        <v>2237.8200000000002</v>
      </c>
      <c r="BE36" s="17">
        <v>2268.25</v>
      </c>
      <c r="BF36" s="17">
        <v>2289.1190000000001</v>
      </c>
      <c r="BG36" s="17">
        <v>2292.5</v>
      </c>
      <c r="BH36" s="17">
        <v>2282.4180000000001</v>
      </c>
      <c r="BI36" s="17">
        <v>2272.2620000000002</v>
      </c>
      <c r="BJ36" s="17">
        <v>2261.0749999999998</v>
      </c>
      <c r="BK36" s="17">
        <v>2234.7629999999999</v>
      </c>
      <c r="BL36" s="17">
        <v>2188.192</v>
      </c>
      <c r="BM36" s="17">
        <v>2127.1729999999998</v>
      </c>
      <c r="BN36" s="17">
        <v>2062.7579999999998</v>
      </c>
      <c r="BO36" s="17">
        <v>1992.864</v>
      </c>
      <c r="BP36" s="17">
        <v>1923.3789999999999</v>
      </c>
      <c r="BQ36" s="17">
        <v>1858.394</v>
      </c>
      <c r="BR36" s="17">
        <v>1795.3579999999999</v>
      </c>
      <c r="BS36" s="17">
        <v>1727.873</v>
      </c>
      <c r="BT36" s="17">
        <v>1657.52</v>
      </c>
      <c r="BU36" s="17">
        <v>1585.0060000000001</v>
      </c>
      <c r="BV36" s="17">
        <v>1510.144</v>
      </c>
      <c r="BW36" s="17">
        <v>1433.4770000000001</v>
      </c>
      <c r="BX36" s="17">
        <v>1355.6089999999999</v>
      </c>
      <c r="BY36" s="17">
        <v>1276.278</v>
      </c>
      <c r="BZ36" s="17">
        <v>1197.433</v>
      </c>
      <c r="CA36" s="17">
        <v>1120.0640000000001</v>
      </c>
      <c r="CB36" s="17">
        <v>1043.3109999999999</v>
      </c>
      <c r="CC36" s="17">
        <v>967.23199999999997</v>
      </c>
      <c r="CD36" s="17">
        <v>894.09199999999998</v>
      </c>
      <c r="CE36" s="17">
        <v>814.04600000000005</v>
      </c>
      <c r="CF36" s="17">
        <v>722.93700000000001</v>
      </c>
      <c r="CG36" s="17">
        <v>626.70299999999997</v>
      </c>
      <c r="CH36" s="17">
        <v>534.29600000000005</v>
      </c>
      <c r="CI36" s="17">
        <v>442.55500000000001</v>
      </c>
      <c r="CJ36" s="17">
        <v>366.577</v>
      </c>
      <c r="CK36" s="17">
        <v>314.35000000000002</v>
      </c>
      <c r="CL36" s="17">
        <v>278.64299999999997</v>
      </c>
      <c r="CM36" s="17">
        <v>243.90899999999999</v>
      </c>
      <c r="CN36" s="17">
        <v>218.649</v>
      </c>
      <c r="CO36" s="17">
        <v>190.27500000000001</v>
      </c>
      <c r="CP36" s="17">
        <v>153.166</v>
      </c>
      <c r="CQ36" s="17">
        <v>108.47</v>
      </c>
      <c r="CR36" s="17">
        <v>75.861999999999995</v>
      </c>
      <c r="CS36" s="17">
        <v>61.018999999999998</v>
      </c>
      <c r="CT36" s="17">
        <v>49.576999999999998</v>
      </c>
      <c r="CU36" s="17">
        <v>36.445</v>
      </c>
      <c r="CV36" s="17">
        <v>21.623999999999999</v>
      </c>
      <c r="CW36" s="17">
        <v>12.602</v>
      </c>
      <c r="CX36" s="17">
        <v>20.05</v>
      </c>
      <c r="CY36" s="3">
        <f t="shared" si="4"/>
        <v>238256.84900000007</v>
      </c>
      <c r="CZ36" s="3">
        <f>SUM(V36:AN36)</f>
        <v>77039.600999999981</v>
      </c>
      <c r="DA36" s="3">
        <f t="shared" si="5"/>
        <v>0.32334684741843439</v>
      </c>
      <c r="DB36" s="3">
        <f>SUM(T36:U36)</f>
        <v>8125.0889999999999</v>
      </c>
      <c r="DC36" s="3">
        <f t="shared" ref="DC36:DC72" si="8">DB36/CY36</f>
        <v>3.4102226375032761E-2</v>
      </c>
      <c r="DF36" s="3">
        <f>SUM(AO36:BG36)</f>
        <v>45877.478999999992</v>
      </c>
      <c r="DG36" s="3">
        <f t="shared" si="2"/>
        <v>0.19255471224669801</v>
      </c>
      <c r="DH36">
        <f>SUM(BG36:CG36)</f>
        <v>43222.860999999997</v>
      </c>
      <c r="DI36" s="9">
        <f t="shared" si="3"/>
        <v>0.18141287934182318</v>
      </c>
      <c r="DJ36" s="7">
        <v>0.18141287934182318</v>
      </c>
      <c r="DK36" s="7">
        <v>0.19255471224669801</v>
      </c>
      <c r="DL36" s="7">
        <v>0.32334684741843439</v>
      </c>
      <c r="DM36" s="7"/>
      <c r="DN36" s="7"/>
      <c r="DO36" s="10">
        <f t="shared" si="7"/>
        <v>0.69731443900695567</v>
      </c>
    </row>
    <row r="37" spans="1:119">
      <c r="A37" s="4">
        <v>1985</v>
      </c>
      <c r="B37" s="17">
        <v>3706.9690000000001</v>
      </c>
      <c r="C37" s="17">
        <v>3618.2939999999999</v>
      </c>
      <c r="D37" s="17">
        <v>3542.88</v>
      </c>
      <c r="E37" s="17">
        <v>3480.4490000000001</v>
      </c>
      <c r="F37" s="17">
        <v>3430.7260000000001</v>
      </c>
      <c r="G37" s="17">
        <v>3393.433</v>
      </c>
      <c r="H37" s="17">
        <v>3368.2939999999999</v>
      </c>
      <c r="I37" s="17">
        <v>3355.0309999999999</v>
      </c>
      <c r="J37" s="17">
        <v>3353.366</v>
      </c>
      <c r="K37" s="17">
        <v>3363.0250000000001</v>
      </c>
      <c r="L37" s="17">
        <v>3382.8009999999999</v>
      </c>
      <c r="M37" s="17">
        <v>3411.489</v>
      </c>
      <c r="N37" s="17">
        <v>3453.453</v>
      </c>
      <c r="O37" s="17">
        <v>3510.2739999999999</v>
      </c>
      <c r="P37" s="17">
        <v>3578.8919999999998</v>
      </c>
      <c r="Q37" s="17">
        <v>3650.8890000000001</v>
      </c>
      <c r="R37" s="17">
        <v>3723.424</v>
      </c>
      <c r="S37" s="17">
        <v>3809.0509999999999</v>
      </c>
      <c r="T37" s="17">
        <v>3911.6979999999999</v>
      </c>
      <c r="U37" s="17">
        <v>4022.4589999999998</v>
      </c>
      <c r="V37" s="17">
        <v>4128.1760000000004</v>
      </c>
      <c r="W37" s="17">
        <v>4231.0889999999999</v>
      </c>
      <c r="X37" s="17">
        <v>4312.7669999999998</v>
      </c>
      <c r="Y37" s="17">
        <v>4362.5510000000004</v>
      </c>
      <c r="Z37" s="17">
        <v>4387.0029999999997</v>
      </c>
      <c r="AA37" s="17">
        <v>4404.8639999999996</v>
      </c>
      <c r="AB37" s="17">
        <v>4414.2089999999998</v>
      </c>
      <c r="AC37" s="17">
        <v>4402.0339999999997</v>
      </c>
      <c r="AD37" s="17">
        <v>4364.3230000000003</v>
      </c>
      <c r="AE37" s="17">
        <v>4306.2839999999997</v>
      </c>
      <c r="AF37" s="17">
        <v>4237.2740000000003</v>
      </c>
      <c r="AG37" s="17">
        <v>4155.5720000000001</v>
      </c>
      <c r="AH37" s="17">
        <v>4067.82</v>
      </c>
      <c r="AI37" s="17">
        <v>3978.3209999999999</v>
      </c>
      <c r="AJ37" s="17">
        <v>3884.4180000000001</v>
      </c>
      <c r="AK37" s="17">
        <v>3783.125</v>
      </c>
      <c r="AL37" s="17">
        <v>3679.8240000000001</v>
      </c>
      <c r="AM37" s="17">
        <v>3556.7269999999999</v>
      </c>
      <c r="AN37" s="17">
        <v>3406.232</v>
      </c>
      <c r="AO37" s="17">
        <v>3240.0520000000001</v>
      </c>
      <c r="AP37" s="17">
        <v>3077.2080000000001</v>
      </c>
      <c r="AQ37" s="17">
        <v>2913.5529999999999</v>
      </c>
      <c r="AR37" s="17">
        <v>2770.5790000000002</v>
      </c>
      <c r="AS37" s="17">
        <v>2660.8249999999998</v>
      </c>
      <c r="AT37" s="17">
        <v>2575.453</v>
      </c>
      <c r="AU37" s="17">
        <v>2492.998</v>
      </c>
      <c r="AV37" s="17">
        <v>2417.6410000000001</v>
      </c>
      <c r="AW37" s="17">
        <v>2352.4079999999999</v>
      </c>
      <c r="AX37" s="17">
        <v>2296.6280000000002</v>
      </c>
      <c r="AY37" s="17">
        <v>2250.5920000000001</v>
      </c>
      <c r="AZ37" s="17">
        <v>2212.154</v>
      </c>
      <c r="BA37" s="17">
        <v>2178.0230000000001</v>
      </c>
      <c r="BB37" s="17">
        <v>2162.942</v>
      </c>
      <c r="BC37" s="17">
        <v>2172.83</v>
      </c>
      <c r="BD37" s="17">
        <v>2198.5729999999999</v>
      </c>
      <c r="BE37" s="17">
        <v>2224.4549999999999</v>
      </c>
      <c r="BF37" s="17">
        <v>2252.8049999999998</v>
      </c>
      <c r="BG37" s="17">
        <v>2271.4189999999999</v>
      </c>
      <c r="BH37" s="17">
        <v>2272.3530000000001</v>
      </c>
      <c r="BI37" s="17">
        <v>2259.7710000000002</v>
      </c>
      <c r="BJ37" s="17">
        <v>2246.9830000000002</v>
      </c>
      <c r="BK37" s="17">
        <v>2232.7739999999999</v>
      </c>
      <c r="BL37" s="17">
        <v>2204.6080000000002</v>
      </c>
      <c r="BM37" s="17">
        <v>2158.0309999999999</v>
      </c>
      <c r="BN37" s="17">
        <v>2098.0189999999998</v>
      </c>
      <c r="BO37" s="17">
        <v>2034.452</v>
      </c>
      <c r="BP37" s="17">
        <v>1965.8779999999999</v>
      </c>
      <c r="BQ37" s="17">
        <v>1895.4559999999999</v>
      </c>
      <c r="BR37" s="17">
        <v>1825.93</v>
      </c>
      <c r="BS37" s="17">
        <v>1756.1990000000001</v>
      </c>
      <c r="BT37" s="17">
        <v>1682.433</v>
      </c>
      <c r="BU37" s="17">
        <v>1605.4010000000001</v>
      </c>
      <c r="BV37" s="17">
        <v>1528.4829999999999</v>
      </c>
      <c r="BW37" s="17">
        <v>1452.9880000000001</v>
      </c>
      <c r="BX37" s="17">
        <v>1378.049</v>
      </c>
      <c r="BY37" s="17">
        <v>1301.6569999999999</v>
      </c>
      <c r="BZ37" s="17">
        <v>1224.405</v>
      </c>
      <c r="CA37" s="17">
        <v>1145.9490000000001</v>
      </c>
      <c r="CB37" s="17">
        <v>1065.9780000000001</v>
      </c>
      <c r="CC37" s="17">
        <v>984.96699999999998</v>
      </c>
      <c r="CD37" s="17">
        <v>905.34299999999996</v>
      </c>
      <c r="CE37" s="17">
        <v>828.59500000000003</v>
      </c>
      <c r="CF37" s="17">
        <v>747.31799999999998</v>
      </c>
      <c r="CG37" s="17">
        <v>658.71100000000001</v>
      </c>
      <c r="CH37" s="17">
        <v>567.38</v>
      </c>
      <c r="CI37" s="17">
        <v>479.71899999999999</v>
      </c>
      <c r="CJ37" s="17">
        <v>393.23500000000001</v>
      </c>
      <c r="CK37" s="17">
        <v>321.36399999999998</v>
      </c>
      <c r="CL37" s="17">
        <v>271.06200000000001</v>
      </c>
      <c r="CM37" s="17">
        <v>236.00399999999999</v>
      </c>
      <c r="CN37" s="17">
        <v>202.30199999999999</v>
      </c>
      <c r="CO37" s="17">
        <v>179.23</v>
      </c>
      <c r="CP37" s="17">
        <v>153.41499999999999</v>
      </c>
      <c r="CQ37" s="17">
        <v>119.482</v>
      </c>
      <c r="CR37" s="17">
        <v>77.432000000000002</v>
      </c>
      <c r="CS37" s="17">
        <v>50.677</v>
      </c>
      <c r="CT37" s="17">
        <v>43.063000000000002</v>
      </c>
      <c r="CU37" s="17">
        <v>34.335000000000001</v>
      </c>
      <c r="CV37" s="17">
        <v>24.491</v>
      </c>
      <c r="CW37" s="17">
        <v>13.532</v>
      </c>
      <c r="CX37" s="17">
        <v>21.72</v>
      </c>
      <c r="CY37" s="3">
        <f t="shared" si="4"/>
        <v>240499.82200000004</v>
      </c>
      <c r="CZ37" s="3">
        <f>SUM(W37:AO37)</f>
        <v>77174.488999999987</v>
      </c>
      <c r="DA37" s="3">
        <f t="shared" si="5"/>
        <v>0.32089208365401606</v>
      </c>
      <c r="DB37" s="3">
        <f>SUM(T37:V37)</f>
        <v>12062.332999999999</v>
      </c>
      <c r="DC37" s="3">
        <f t="shared" si="8"/>
        <v>5.0155267890385366E-2</v>
      </c>
      <c r="DF37" s="3">
        <f>SUM(AP37:BH37)</f>
        <v>45753.439000000006</v>
      </c>
      <c r="DG37" s="3">
        <f t="shared" si="2"/>
        <v>0.19024313040863705</v>
      </c>
      <c r="DH37">
        <f>SUM(BH37:CH37)</f>
        <v>42028.111000000004</v>
      </c>
      <c r="DI37" s="9">
        <f t="shared" si="3"/>
        <v>0.17475318963021935</v>
      </c>
      <c r="DJ37" s="7">
        <v>0.17475318963021935</v>
      </c>
      <c r="DK37" s="7">
        <v>0.19024313040863705</v>
      </c>
      <c r="DL37" s="7">
        <v>0.32089208365401606</v>
      </c>
      <c r="DM37" s="7"/>
      <c r="DN37" s="7"/>
      <c r="DO37" s="10">
        <f t="shared" si="7"/>
        <v>0.68588840369287252</v>
      </c>
    </row>
    <row r="38" spans="1:119">
      <c r="A38" s="4">
        <v>1986</v>
      </c>
      <c r="B38" s="17">
        <v>3769.9769999999999</v>
      </c>
      <c r="C38" s="17">
        <v>3703.79</v>
      </c>
      <c r="D38" s="17">
        <v>3623.2730000000001</v>
      </c>
      <c r="E38" s="17">
        <v>3554.172</v>
      </c>
      <c r="F38" s="17">
        <v>3496.4409999999998</v>
      </c>
      <c r="G38" s="17">
        <v>3450.0360000000001</v>
      </c>
      <c r="H38" s="17">
        <v>3414.6669999999999</v>
      </c>
      <c r="I38" s="17">
        <v>3390.0439999999999</v>
      </c>
      <c r="J38" s="17">
        <v>3377.35</v>
      </c>
      <c r="K38" s="17">
        <v>3377.03</v>
      </c>
      <c r="L38" s="17">
        <v>3388.306</v>
      </c>
      <c r="M38" s="17">
        <v>3408.8270000000002</v>
      </c>
      <c r="N38" s="17">
        <v>3437.7190000000001</v>
      </c>
      <c r="O38" s="17">
        <v>3479.0909999999999</v>
      </c>
      <c r="P38" s="17">
        <v>3534.3159999999998</v>
      </c>
      <c r="Q38" s="17">
        <v>3600.61</v>
      </c>
      <c r="R38" s="17">
        <v>3670.261</v>
      </c>
      <c r="S38" s="17">
        <v>3740.54</v>
      </c>
      <c r="T38" s="17">
        <v>3823.3470000000002</v>
      </c>
      <c r="U38" s="17">
        <v>3922.4349999999999</v>
      </c>
      <c r="V38" s="17">
        <v>4029.37</v>
      </c>
      <c r="W38" s="17">
        <v>4131.2510000000002</v>
      </c>
      <c r="X38" s="17">
        <v>4229.8040000000001</v>
      </c>
      <c r="Y38" s="17">
        <v>4309.68</v>
      </c>
      <c r="Z38" s="17">
        <v>4361.6289999999999</v>
      </c>
      <c r="AA38" s="17">
        <v>4390.6289999999999</v>
      </c>
      <c r="AB38" s="17">
        <v>4412.7879999999996</v>
      </c>
      <c r="AC38" s="17">
        <v>4427.1350000000002</v>
      </c>
      <c r="AD38" s="17">
        <v>4417.1580000000004</v>
      </c>
      <c r="AE38" s="17">
        <v>4376.9620000000004</v>
      </c>
      <c r="AF38" s="17">
        <v>4313.6059999999998</v>
      </c>
      <c r="AG38" s="17">
        <v>4239.8220000000001</v>
      </c>
      <c r="AH38" s="17">
        <v>4152.7939999999999</v>
      </c>
      <c r="AI38" s="17">
        <v>4062.326</v>
      </c>
      <c r="AJ38" s="17">
        <v>3974.5</v>
      </c>
      <c r="AK38" s="17">
        <v>3884.886</v>
      </c>
      <c r="AL38" s="17">
        <v>3787.2620000000002</v>
      </c>
      <c r="AM38" s="17">
        <v>3688.02</v>
      </c>
      <c r="AN38" s="17">
        <v>3566.4580000000001</v>
      </c>
      <c r="AO38" s="17">
        <v>3413.3180000000002</v>
      </c>
      <c r="AP38" s="17">
        <v>3241.9229999999998</v>
      </c>
      <c r="AQ38" s="17">
        <v>3074.3780000000002</v>
      </c>
      <c r="AR38" s="17">
        <v>2905.6889999999999</v>
      </c>
      <c r="AS38" s="17">
        <v>2759.482</v>
      </c>
      <c r="AT38" s="17">
        <v>2649.587</v>
      </c>
      <c r="AU38" s="17">
        <v>2565.989</v>
      </c>
      <c r="AV38" s="17">
        <v>2484.8069999999998</v>
      </c>
      <c r="AW38" s="17">
        <v>2410.7869999999998</v>
      </c>
      <c r="AX38" s="17">
        <v>2345.9560000000001</v>
      </c>
      <c r="AY38" s="17">
        <v>2288.9290000000001</v>
      </c>
      <c r="AZ38" s="17">
        <v>2240.585</v>
      </c>
      <c r="BA38" s="17">
        <v>2200.0729999999999</v>
      </c>
      <c r="BB38" s="17">
        <v>2163.8229999999999</v>
      </c>
      <c r="BC38" s="17">
        <v>2146.8150000000001</v>
      </c>
      <c r="BD38" s="17">
        <v>2155.2060000000001</v>
      </c>
      <c r="BE38" s="17">
        <v>2179.6970000000001</v>
      </c>
      <c r="BF38" s="17">
        <v>2204.0920000000001</v>
      </c>
      <c r="BG38" s="17">
        <v>2230.7460000000001</v>
      </c>
      <c r="BH38" s="17">
        <v>2247.7260000000001</v>
      </c>
      <c r="BI38" s="17">
        <v>2247.1489999999999</v>
      </c>
      <c r="BJ38" s="17">
        <v>2233.0439999999999</v>
      </c>
      <c r="BK38" s="17">
        <v>2218.7109999999998</v>
      </c>
      <c r="BL38" s="17">
        <v>2203.1570000000002</v>
      </c>
      <c r="BM38" s="17">
        <v>2172.6370000000002</v>
      </c>
      <c r="BN38" s="17">
        <v>2122.1619999999998</v>
      </c>
      <c r="BO38" s="17">
        <v>2057.375</v>
      </c>
      <c r="BP38" s="17">
        <v>1989.183</v>
      </c>
      <c r="BQ38" s="17">
        <v>1915.739</v>
      </c>
      <c r="BR38" s="17">
        <v>1841.865</v>
      </c>
      <c r="BS38" s="17">
        <v>1771.1769999999999</v>
      </c>
      <c r="BT38" s="17">
        <v>1701.7270000000001</v>
      </c>
      <c r="BU38" s="17">
        <v>1628.134</v>
      </c>
      <c r="BV38" s="17">
        <v>1551.6880000000001</v>
      </c>
      <c r="BW38" s="17">
        <v>1474.2860000000001</v>
      </c>
      <c r="BX38" s="17">
        <v>1396.4079999999999</v>
      </c>
      <c r="BY38" s="17">
        <v>1318.029</v>
      </c>
      <c r="BZ38" s="17">
        <v>1238.81</v>
      </c>
      <c r="CA38" s="17">
        <v>1159.0170000000001</v>
      </c>
      <c r="CB38" s="17">
        <v>1078.98</v>
      </c>
      <c r="CC38" s="17">
        <v>998.89400000000001</v>
      </c>
      <c r="CD38" s="17">
        <v>918.90700000000004</v>
      </c>
      <c r="CE38" s="17">
        <v>840.43499999999995</v>
      </c>
      <c r="CF38" s="17">
        <v>764.95500000000004</v>
      </c>
      <c r="CG38" s="17">
        <v>686.14800000000002</v>
      </c>
      <c r="CH38" s="17">
        <v>601.58100000000002</v>
      </c>
      <c r="CI38" s="17">
        <v>515.31899999999996</v>
      </c>
      <c r="CJ38" s="17">
        <v>431.07100000000003</v>
      </c>
      <c r="CK38" s="17">
        <v>350.35500000000002</v>
      </c>
      <c r="CL38" s="17">
        <v>287.06900000000002</v>
      </c>
      <c r="CM38" s="17">
        <v>240.44900000000001</v>
      </c>
      <c r="CN38" s="17">
        <v>205.43299999999999</v>
      </c>
      <c r="CO38" s="17">
        <v>174.64500000000001</v>
      </c>
      <c r="CP38" s="17">
        <v>154.53200000000001</v>
      </c>
      <c r="CQ38" s="17">
        <v>131.80600000000001</v>
      </c>
      <c r="CR38" s="17">
        <v>102.169</v>
      </c>
      <c r="CS38" s="17">
        <v>65.622</v>
      </c>
      <c r="CT38" s="17">
        <v>45.813000000000002</v>
      </c>
      <c r="CU38" s="17">
        <v>36.686</v>
      </c>
      <c r="CV38" s="17">
        <v>26.256</v>
      </c>
      <c r="CW38" s="17">
        <v>14.523999999999999</v>
      </c>
      <c r="CX38" s="17">
        <v>23.27</v>
      </c>
      <c r="CY38" s="3">
        <f t="shared" si="4"/>
        <v>242763.13699999996</v>
      </c>
      <c r="CZ38" s="3">
        <f>SUM(X38:AP38)</f>
        <v>77250.7</v>
      </c>
      <c r="DA38" s="3">
        <f t="shared" si="5"/>
        <v>0.31821429297150666</v>
      </c>
      <c r="DB38" s="3">
        <f>SUM(T38:W38)</f>
        <v>15906.403</v>
      </c>
      <c r="DC38" s="3">
        <f t="shared" si="8"/>
        <v>6.5522316100240549E-2</v>
      </c>
      <c r="DF38" s="3">
        <f>SUM(AQ38:BI38)</f>
        <v>45501.515999999989</v>
      </c>
      <c r="DG38" s="3">
        <f t="shared" si="2"/>
        <v>0.18743173515672604</v>
      </c>
      <c r="DH38">
        <f>SUM(BI38:CI38)</f>
        <v>40645.517</v>
      </c>
      <c r="DI38" s="9">
        <f t="shared" si="3"/>
        <v>0.16742870232394472</v>
      </c>
      <c r="DJ38" s="7">
        <v>0.16742870232394472</v>
      </c>
      <c r="DK38" s="7">
        <v>0.18743173515672604</v>
      </c>
      <c r="DL38" s="7">
        <v>0.31821429297150666</v>
      </c>
      <c r="DM38" s="7"/>
      <c r="DN38" s="7"/>
      <c r="DO38" s="10">
        <f t="shared" si="7"/>
        <v>0.67307473045217736</v>
      </c>
    </row>
    <row r="39" spans="1:119">
      <c r="A39" s="4">
        <v>1987</v>
      </c>
      <c r="B39" s="17">
        <v>3826.7779999999998</v>
      </c>
      <c r="C39" s="17">
        <v>3744.7649999999999</v>
      </c>
      <c r="D39" s="17">
        <v>3700.4639999999999</v>
      </c>
      <c r="E39" s="17">
        <v>3628.1080000000002</v>
      </c>
      <c r="F39" s="17">
        <v>3565.3209999999999</v>
      </c>
      <c r="G39" s="17">
        <v>3512.2910000000002</v>
      </c>
      <c r="H39" s="17">
        <v>3469.2049999999999</v>
      </c>
      <c r="I39" s="17">
        <v>3435.761</v>
      </c>
      <c r="J39" s="17">
        <v>3411.6550000000002</v>
      </c>
      <c r="K39" s="17">
        <v>3399.5309999999999</v>
      </c>
      <c r="L39" s="17">
        <v>3400.556</v>
      </c>
      <c r="M39" s="17">
        <v>3413.4470000000001</v>
      </c>
      <c r="N39" s="17">
        <v>3434.7139999999999</v>
      </c>
      <c r="O39" s="17">
        <v>3463.808</v>
      </c>
      <c r="P39" s="17">
        <v>3504.5859999999998</v>
      </c>
      <c r="Q39" s="17">
        <v>3558.2089999999998</v>
      </c>
      <c r="R39" s="17">
        <v>3622.1759999999999</v>
      </c>
      <c r="S39" s="17">
        <v>3689.4740000000002</v>
      </c>
      <c r="T39" s="17">
        <v>3757.4929999999999</v>
      </c>
      <c r="U39" s="17">
        <v>3837.4760000000001</v>
      </c>
      <c r="V39" s="17">
        <v>3933</v>
      </c>
      <c r="W39" s="17">
        <v>4036.1060000000002</v>
      </c>
      <c r="X39" s="17">
        <v>4134.1490000000003</v>
      </c>
      <c r="Y39" s="17">
        <v>4228.3410000000003</v>
      </c>
      <c r="Z39" s="17">
        <v>4306.4129999999996</v>
      </c>
      <c r="AA39" s="17">
        <v>4360.5280000000002</v>
      </c>
      <c r="AB39" s="17">
        <v>4394.08</v>
      </c>
      <c r="AC39" s="17">
        <v>4420.5370000000003</v>
      </c>
      <c r="AD39" s="17">
        <v>4439.8919999999998</v>
      </c>
      <c r="AE39" s="17">
        <v>4432.116</v>
      </c>
      <c r="AF39" s="17">
        <v>4389.4380000000001</v>
      </c>
      <c r="AG39" s="17">
        <v>4320.768</v>
      </c>
      <c r="AH39" s="17">
        <v>4242.2139999999999</v>
      </c>
      <c r="AI39" s="17">
        <v>4149.866</v>
      </c>
      <c r="AJ39" s="17">
        <v>4056.6860000000001</v>
      </c>
      <c r="AK39" s="17">
        <v>3970.538</v>
      </c>
      <c r="AL39" s="17">
        <v>3885.2220000000002</v>
      </c>
      <c r="AM39" s="17">
        <v>3791.2719999999999</v>
      </c>
      <c r="AN39" s="17">
        <v>3696.0949999999998</v>
      </c>
      <c r="AO39" s="17">
        <v>3576.0749999999998</v>
      </c>
      <c r="AP39" s="17">
        <v>3420.2959999999998</v>
      </c>
      <c r="AQ39" s="17">
        <v>3243.6950000000002</v>
      </c>
      <c r="AR39" s="17">
        <v>3071.4569999999999</v>
      </c>
      <c r="AS39" s="17">
        <v>2897.7420000000002</v>
      </c>
      <c r="AT39" s="17">
        <v>2748.3040000000001</v>
      </c>
      <c r="AU39" s="17">
        <v>2638.2719999999999</v>
      </c>
      <c r="AV39" s="17">
        <v>2556.4450000000002</v>
      </c>
      <c r="AW39" s="17">
        <v>2476.5349999999999</v>
      </c>
      <c r="AX39" s="17">
        <v>2403.8519999999999</v>
      </c>
      <c r="AY39" s="17">
        <v>2339.4229999999998</v>
      </c>
      <c r="AZ39" s="17">
        <v>2281.15</v>
      </c>
      <c r="BA39" s="17">
        <v>2230.5039999999999</v>
      </c>
      <c r="BB39" s="17">
        <v>2187.922</v>
      </c>
      <c r="BC39" s="17">
        <v>2149.5590000000002</v>
      </c>
      <c r="BD39" s="17">
        <v>2130.6260000000002</v>
      </c>
      <c r="BE39" s="17">
        <v>2137.5219999999999</v>
      </c>
      <c r="BF39" s="17">
        <v>2160.7620000000002</v>
      </c>
      <c r="BG39" s="17">
        <v>2183.6689999999999</v>
      </c>
      <c r="BH39" s="17">
        <v>2208.63</v>
      </c>
      <c r="BI39" s="17">
        <v>2223.9760000000001</v>
      </c>
      <c r="BJ39" s="17">
        <v>2221.8890000000001</v>
      </c>
      <c r="BK39" s="17">
        <v>2206.2640000000001</v>
      </c>
      <c r="BL39" s="17">
        <v>2190.3870000000002</v>
      </c>
      <c r="BM39" s="17">
        <v>2173.4899999999998</v>
      </c>
      <c r="BN39" s="17">
        <v>2140.6170000000002</v>
      </c>
      <c r="BO39" s="17">
        <v>2086.2489999999998</v>
      </c>
      <c r="BP39" s="17">
        <v>2016.6890000000001</v>
      </c>
      <c r="BQ39" s="17">
        <v>1943.876</v>
      </c>
      <c r="BR39" s="17">
        <v>1865.5650000000001</v>
      </c>
      <c r="BS39" s="17">
        <v>1788.2429999999999</v>
      </c>
      <c r="BT39" s="17">
        <v>1716.395</v>
      </c>
      <c r="BU39" s="17">
        <v>1647.2280000000001</v>
      </c>
      <c r="BV39" s="17">
        <v>1573.8130000000001</v>
      </c>
      <c r="BW39" s="17">
        <v>1497.9549999999999</v>
      </c>
      <c r="BX39" s="17">
        <v>1420.0709999999999</v>
      </c>
      <c r="BY39" s="17">
        <v>1339.818</v>
      </c>
      <c r="BZ39" s="17">
        <v>1258.0070000000001</v>
      </c>
      <c r="CA39" s="17">
        <v>1175.9659999999999</v>
      </c>
      <c r="CB39" s="17">
        <v>1093.6379999999999</v>
      </c>
      <c r="CC39" s="17">
        <v>1012.023</v>
      </c>
      <c r="CD39" s="17">
        <v>931.82399999999996</v>
      </c>
      <c r="CE39" s="17">
        <v>852.86099999999999</v>
      </c>
      <c r="CF39" s="17">
        <v>775.53899999999999</v>
      </c>
      <c r="CG39" s="17">
        <v>701.32600000000002</v>
      </c>
      <c r="CH39" s="17">
        <v>624.98599999999999</v>
      </c>
      <c r="CI39" s="17">
        <v>544.46</v>
      </c>
      <c r="CJ39" s="17">
        <v>463.27100000000002</v>
      </c>
      <c r="CK39" s="17">
        <v>382.43599999999998</v>
      </c>
      <c r="CL39" s="17">
        <v>307.488</v>
      </c>
      <c r="CM39" s="17">
        <v>252.79</v>
      </c>
      <c r="CN39" s="17">
        <v>209.85</v>
      </c>
      <c r="CO39" s="17">
        <v>174.87299999999999</v>
      </c>
      <c r="CP39" s="17">
        <v>146.99700000000001</v>
      </c>
      <c r="CQ39" s="17">
        <v>129.84100000000001</v>
      </c>
      <c r="CR39" s="17">
        <v>110.20399999999999</v>
      </c>
      <c r="CS39" s="17">
        <v>84.861999999999995</v>
      </c>
      <c r="CT39" s="17">
        <v>53.814</v>
      </c>
      <c r="CU39" s="17">
        <v>39.223999999999997</v>
      </c>
      <c r="CV39" s="17">
        <v>28.175000000000001</v>
      </c>
      <c r="CW39" s="17">
        <v>15.564</v>
      </c>
      <c r="CX39" s="17">
        <v>24.716999999999999</v>
      </c>
      <c r="CY39" s="3">
        <f t="shared" si="4"/>
        <v>245052.77999999991</v>
      </c>
      <c r="CZ39" s="3">
        <f>SUM(Y39:AQ39)</f>
        <v>77324.072</v>
      </c>
      <c r="DA39" s="3">
        <f t="shared" si="5"/>
        <v>0.3155404807078705</v>
      </c>
      <c r="DB39" s="3">
        <f>SUM(T39:X39)</f>
        <v>19698.224000000002</v>
      </c>
      <c r="DC39" s="3">
        <f t="shared" si="8"/>
        <v>8.0383597362168296E-2</v>
      </c>
      <c r="DF39" s="3">
        <f>SUM(AR39:BJ39)</f>
        <v>45248.239000000009</v>
      </c>
      <c r="DG39" s="3">
        <f t="shared" si="2"/>
        <v>0.18464691157553906</v>
      </c>
      <c r="DH39">
        <f>SUM(BJ39:CJ39)</f>
        <v>39262.44999999999</v>
      </c>
      <c r="DI39" s="9">
        <f t="shared" si="3"/>
        <v>0.16022038191119481</v>
      </c>
      <c r="DJ39" s="7">
        <v>0.16022038191119481</v>
      </c>
      <c r="DK39" s="7">
        <v>0.18464691157553906</v>
      </c>
      <c r="DL39" s="7">
        <v>0.3155404807078705</v>
      </c>
      <c r="DM39" s="7"/>
      <c r="DN39" s="7"/>
      <c r="DO39" s="10">
        <f t="shared" si="7"/>
        <v>0.66040777419460439</v>
      </c>
    </row>
    <row r="40" spans="1:119">
      <c r="A40" s="4">
        <v>1988</v>
      </c>
      <c r="B40" s="17">
        <v>3876.8040000000001</v>
      </c>
      <c r="C40" s="17">
        <v>3803.3249999999998</v>
      </c>
      <c r="D40" s="17">
        <v>3734.6680000000001</v>
      </c>
      <c r="E40" s="17">
        <v>3696.8760000000002</v>
      </c>
      <c r="F40" s="17">
        <v>3632.6860000000001</v>
      </c>
      <c r="G40" s="17">
        <v>3576.2179999999998</v>
      </c>
      <c r="H40" s="17">
        <v>3527.893</v>
      </c>
      <c r="I40" s="17">
        <v>3488.13</v>
      </c>
      <c r="J40" s="17">
        <v>3456.6129999999998</v>
      </c>
      <c r="K40" s="17">
        <v>3433.027</v>
      </c>
      <c r="L40" s="17">
        <v>3421.4720000000002</v>
      </c>
      <c r="M40" s="17">
        <v>3423.8429999999998</v>
      </c>
      <c r="N40" s="17">
        <v>3438.3490000000002</v>
      </c>
      <c r="O40" s="17">
        <v>3460.357</v>
      </c>
      <c r="P40" s="17">
        <v>3489.654</v>
      </c>
      <c r="Q40" s="17">
        <v>3529.8339999999998</v>
      </c>
      <c r="R40" s="17">
        <v>3581.8510000000001</v>
      </c>
      <c r="S40" s="17">
        <v>3643.4830000000002</v>
      </c>
      <c r="T40" s="17">
        <v>3708.4229999999998</v>
      </c>
      <c r="U40" s="17">
        <v>3774.1770000000001</v>
      </c>
      <c r="V40" s="17">
        <v>3851.328</v>
      </c>
      <c r="W40" s="17">
        <v>3943.2829999999999</v>
      </c>
      <c r="X40" s="17">
        <v>4042.5529999999999</v>
      </c>
      <c r="Y40" s="17">
        <v>4136.7520000000004</v>
      </c>
      <c r="Z40" s="17">
        <v>4226.576</v>
      </c>
      <c r="AA40" s="17">
        <v>4302.8389999999999</v>
      </c>
      <c r="AB40" s="17">
        <v>4359.1180000000004</v>
      </c>
      <c r="AC40" s="17">
        <v>4397.2219999999998</v>
      </c>
      <c r="AD40" s="17">
        <v>4427.9790000000003</v>
      </c>
      <c r="AE40" s="17">
        <v>4452.3419999999996</v>
      </c>
      <c r="AF40" s="17">
        <v>4446.7690000000002</v>
      </c>
      <c r="AG40" s="17">
        <v>4401.6130000000003</v>
      </c>
      <c r="AH40" s="17">
        <v>4327.6329999999998</v>
      </c>
      <c r="AI40" s="17">
        <v>4244.3149999999996</v>
      </c>
      <c r="AJ40" s="17">
        <v>4146.652</v>
      </c>
      <c r="AK40" s="17">
        <v>4050.768</v>
      </c>
      <c r="AL40" s="17">
        <v>3966.3049999999998</v>
      </c>
      <c r="AM40" s="17">
        <v>3885.2939999999999</v>
      </c>
      <c r="AN40" s="17">
        <v>3795.0259999999998</v>
      </c>
      <c r="AO40" s="17">
        <v>3703.9209999999998</v>
      </c>
      <c r="AP40" s="17">
        <v>3585.453</v>
      </c>
      <c r="AQ40" s="17">
        <v>3427.047</v>
      </c>
      <c r="AR40" s="17">
        <v>3245.252</v>
      </c>
      <c r="AS40" s="17">
        <v>3068.3319999999999</v>
      </c>
      <c r="AT40" s="17">
        <v>2889.6030000000001</v>
      </c>
      <c r="AU40" s="17">
        <v>2736.9459999999999</v>
      </c>
      <c r="AV40" s="17">
        <v>2626.7820000000002</v>
      </c>
      <c r="AW40" s="17">
        <v>2546.7310000000002</v>
      </c>
      <c r="AX40" s="17">
        <v>2468.0949999999998</v>
      </c>
      <c r="AY40" s="17">
        <v>2396.752</v>
      </c>
      <c r="AZ40" s="17">
        <v>2332.7289999999998</v>
      </c>
      <c r="BA40" s="17">
        <v>2273.2150000000001</v>
      </c>
      <c r="BB40" s="17">
        <v>2220.2719999999999</v>
      </c>
      <c r="BC40" s="17">
        <v>2175.625</v>
      </c>
      <c r="BD40" s="17">
        <v>2135.1509999999998</v>
      </c>
      <c r="BE40" s="17">
        <v>2114.2979999999998</v>
      </c>
      <c r="BF40" s="17">
        <v>2119.6999999999998</v>
      </c>
      <c r="BG40" s="17">
        <v>2141.6869999999999</v>
      </c>
      <c r="BH40" s="17">
        <v>2163.1060000000002</v>
      </c>
      <c r="BI40" s="17">
        <v>2186.3719999999998</v>
      </c>
      <c r="BJ40" s="17">
        <v>2200.0839999999998</v>
      </c>
      <c r="BK40" s="17">
        <v>2196.489</v>
      </c>
      <c r="BL40" s="17">
        <v>2179.348</v>
      </c>
      <c r="BM40" s="17">
        <v>2161.9290000000001</v>
      </c>
      <c r="BN40" s="17">
        <v>2143.69</v>
      </c>
      <c r="BO40" s="17">
        <v>2108.4670000000001</v>
      </c>
      <c r="BP40" s="17">
        <v>2050.21</v>
      </c>
      <c r="BQ40" s="17">
        <v>1975.8820000000001</v>
      </c>
      <c r="BR40" s="17">
        <v>1898.453</v>
      </c>
      <c r="BS40" s="17">
        <v>1815.279</v>
      </c>
      <c r="BT40" s="17">
        <v>1734.5139999999999</v>
      </c>
      <c r="BU40" s="17">
        <v>1661.5129999999999</v>
      </c>
      <c r="BV40" s="17">
        <v>1592.634</v>
      </c>
      <c r="BW40" s="17">
        <v>1519.402</v>
      </c>
      <c r="BX40" s="17">
        <v>1444.1379999999999</v>
      </c>
      <c r="BY40" s="17">
        <v>1365.778</v>
      </c>
      <c r="BZ40" s="17">
        <v>1283.155</v>
      </c>
      <c r="CA40" s="17">
        <v>1197.9169999999999</v>
      </c>
      <c r="CB40" s="17">
        <v>1113.0619999999999</v>
      </c>
      <c r="CC40" s="17">
        <v>1028.2049999999999</v>
      </c>
      <c r="CD40" s="17">
        <v>945.01800000000003</v>
      </c>
      <c r="CE40" s="17">
        <v>864.71100000000001</v>
      </c>
      <c r="CF40" s="17">
        <v>786.774</v>
      </c>
      <c r="CG40" s="17">
        <v>710.60500000000002</v>
      </c>
      <c r="CH40" s="17">
        <v>637.66</v>
      </c>
      <c r="CI40" s="17">
        <v>563.79300000000001</v>
      </c>
      <c r="CJ40" s="17">
        <v>487.31200000000001</v>
      </c>
      <c r="CK40" s="17">
        <v>411.19900000000001</v>
      </c>
      <c r="CL40" s="17">
        <v>333.78300000000002</v>
      </c>
      <c r="CM40" s="17">
        <v>264.608</v>
      </c>
      <c r="CN40" s="17">
        <v>218.499</v>
      </c>
      <c r="CO40" s="17">
        <v>179.24199999999999</v>
      </c>
      <c r="CP40" s="17">
        <v>144.30500000000001</v>
      </c>
      <c r="CQ40" s="17">
        <v>119.342</v>
      </c>
      <c r="CR40" s="17">
        <v>105.143</v>
      </c>
      <c r="CS40" s="17">
        <v>88.594999999999999</v>
      </c>
      <c r="CT40" s="17">
        <v>67.549000000000007</v>
      </c>
      <c r="CU40" s="17">
        <v>42.003999999999998</v>
      </c>
      <c r="CV40" s="17">
        <v>30.082000000000001</v>
      </c>
      <c r="CW40" s="17">
        <v>16.603000000000002</v>
      </c>
      <c r="CX40" s="17">
        <v>26.163</v>
      </c>
      <c r="CY40" s="3">
        <f t="shared" si="4"/>
        <v>247372.25800000015</v>
      </c>
      <c r="CZ40" s="3">
        <f>SUM(Z40:AR40)</f>
        <v>77392.123999999996</v>
      </c>
      <c r="DA40" s="3">
        <f t="shared" si="5"/>
        <v>0.31285692512860497</v>
      </c>
      <c r="DB40" s="3">
        <f>SUM(T40:Y40)</f>
        <v>23456.516</v>
      </c>
      <c r="DC40" s="3">
        <f t="shared" si="8"/>
        <v>9.4822742815404898E-2</v>
      </c>
      <c r="DF40" s="3">
        <f>SUM(AS40:BK40)</f>
        <v>44991.969000000005</v>
      </c>
      <c r="DG40" s="3">
        <f t="shared" si="2"/>
        <v>0.18187960672615108</v>
      </c>
      <c r="DH40">
        <f>SUM(BK40:CK40)</f>
        <v>37877.137000000002</v>
      </c>
      <c r="DI40" s="9">
        <f t="shared" si="3"/>
        <v>0.15311796604128494</v>
      </c>
      <c r="DJ40" s="7">
        <v>0.15311796604128494</v>
      </c>
      <c r="DK40" s="7">
        <v>0.18187960672615108</v>
      </c>
      <c r="DL40" s="7">
        <v>0.31285692512860497</v>
      </c>
      <c r="DM40" s="7"/>
      <c r="DN40" s="7"/>
      <c r="DO40" s="10">
        <f t="shared" si="7"/>
        <v>0.64785449789604099</v>
      </c>
    </row>
    <row r="41" spans="1:119">
      <c r="A41" s="4">
        <v>1989</v>
      </c>
      <c r="B41" s="17">
        <v>3920.3539999999998</v>
      </c>
      <c r="C41" s="17">
        <v>3856.4459999999999</v>
      </c>
      <c r="D41" s="17">
        <v>3794.3809999999999</v>
      </c>
      <c r="E41" s="17">
        <v>3734.915</v>
      </c>
      <c r="F41" s="17">
        <v>3692.9679999999998</v>
      </c>
      <c r="G41" s="17">
        <v>3636.951</v>
      </c>
      <c r="H41" s="17">
        <v>3586.8090000000002</v>
      </c>
      <c r="I41" s="17">
        <v>3543.1930000000002</v>
      </c>
      <c r="J41" s="17">
        <v>3506.7570000000001</v>
      </c>
      <c r="K41" s="17">
        <v>3477.17</v>
      </c>
      <c r="L41" s="17">
        <v>3454.105</v>
      </c>
      <c r="M41" s="17">
        <v>3443.1210000000001</v>
      </c>
      <c r="N41" s="17">
        <v>3446.8359999999998</v>
      </c>
      <c r="O41" s="17">
        <v>3462.9560000000001</v>
      </c>
      <c r="P41" s="17">
        <v>3485.7060000000001</v>
      </c>
      <c r="Q41" s="17">
        <v>3515.201</v>
      </c>
      <c r="R41" s="17">
        <v>3554.78</v>
      </c>
      <c r="S41" s="17">
        <v>3605.1869999999999</v>
      </c>
      <c r="T41" s="17">
        <v>3664.4810000000002</v>
      </c>
      <c r="U41" s="17">
        <v>3727.0610000000001</v>
      </c>
      <c r="V41" s="17">
        <v>3790.5439999999999</v>
      </c>
      <c r="W41" s="17">
        <v>3864.8580000000002</v>
      </c>
      <c r="X41" s="17">
        <v>3953.2359999999999</v>
      </c>
      <c r="Y41" s="17">
        <v>4048.66</v>
      </c>
      <c r="Z41" s="17">
        <v>4139.0050000000001</v>
      </c>
      <c r="AA41" s="17">
        <v>4224.4520000000002</v>
      </c>
      <c r="AB41" s="17">
        <v>4298.8999999999996</v>
      </c>
      <c r="AC41" s="17">
        <v>4357.3360000000002</v>
      </c>
      <c r="AD41" s="17">
        <v>4399.9849999999997</v>
      </c>
      <c r="AE41" s="17">
        <v>4435.0379999999996</v>
      </c>
      <c r="AF41" s="17">
        <v>4464.4059999999999</v>
      </c>
      <c r="AG41" s="17">
        <v>4461.0339999999997</v>
      </c>
      <c r="AH41" s="17">
        <v>4413.402</v>
      </c>
      <c r="AI41" s="17">
        <v>4334.12</v>
      </c>
      <c r="AJ41" s="17">
        <v>4246.0439999999999</v>
      </c>
      <c r="AK41" s="17">
        <v>4143.0730000000003</v>
      </c>
      <c r="AL41" s="17">
        <v>4044.4929999999999</v>
      </c>
      <c r="AM41" s="17">
        <v>3961.721</v>
      </c>
      <c r="AN41" s="17">
        <v>3885.0210000000002</v>
      </c>
      <c r="AO41" s="17">
        <v>3798.4409999999998</v>
      </c>
      <c r="AP41" s="17">
        <v>3711.4160000000002</v>
      </c>
      <c r="AQ41" s="17">
        <v>3594.51</v>
      </c>
      <c r="AR41" s="17">
        <v>3433.489</v>
      </c>
      <c r="AS41" s="17">
        <v>3246.5149999999999</v>
      </c>
      <c r="AT41" s="17">
        <v>3064.9290000000001</v>
      </c>
      <c r="AU41" s="17">
        <v>2881.2</v>
      </c>
      <c r="AV41" s="17">
        <v>2725.3359999999998</v>
      </c>
      <c r="AW41" s="17">
        <v>2615.0529999999999</v>
      </c>
      <c r="AX41" s="17">
        <v>2536.7860000000001</v>
      </c>
      <c r="AY41" s="17">
        <v>2459.4360000000001</v>
      </c>
      <c r="AZ41" s="17">
        <v>2389.4409999999998</v>
      </c>
      <c r="BA41" s="17">
        <v>2325.83</v>
      </c>
      <c r="BB41" s="17">
        <v>2265.0790000000002</v>
      </c>
      <c r="BC41" s="17">
        <v>2209.8420000000001</v>
      </c>
      <c r="BD41" s="17">
        <v>2163.1320000000001</v>
      </c>
      <c r="BE41" s="17">
        <v>2120.5509999999999</v>
      </c>
      <c r="BF41" s="17">
        <v>2097.7759999999998</v>
      </c>
      <c r="BG41" s="17">
        <v>2101.6819999999998</v>
      </c>
      <c r="BH41" s="17">
        <v>2122.415</v>
      </c>
      <c r="BI41" s="17">
        <v>2142.3420000000001</v>
      </c>
      <c r="BJ41" s="17">
        <v>2163.91</v>
      </c>
      <c r="BK41" s="17">
        <v>2175.9870000000001</v>
      </c>
      <c r="BL41" s="17">
        <v>2170.8829999999998</v>
      </c>
      <c r="BM41" s="17">
        <v>2152.2240000000002</v>
      </c>
      <c r="BN41" s="17">
        <v>2133.2649999999999</v>
      </c>
      <c r="BO41" s="17">
        <v>2113.6860000000001</v>
      </c>
      <c r="BP41" s="17">
        <v>2076.116</v>
      </c>
      <c r="BQ41" s="17">
        <v>2013.9749999999999</v>
      </c>
      <c r="BR41" s="17">
        <v>1934.883</v>
      </c>
      <c r="BS41" s="17">
        <v>1852.845</v>
      </c>
      <c r="BT41" s="17">
        <v>1764.816</v>
      </c>
      <c r="BU41" s="17">
        <v>1680.614</v>
      </c>
      <c r="BV41" s="17">
        <v>1606.4649999999999</v>
      </c>
      <c r="BW41" s="17">
        <v>1537.88</v>
      </c>
      <c r="BX41" s="17">
        <v>1464.837</v>
      </c>
      <c r="BY41" s="17">
        <v>1390.172</v>
      </c>
      <c r="BZ41" s="17">
        <v>1311.345</v>
      </c>
      <c r="CA41" s="17">
        <v>1226.3579999999999</v>
      </c>
      <c r="CB41" s="17">
        <v>1137.6980000000001</v>
      </c>
      <c r="CC41" s="17">
        <v>1050.0340000000001</v>
      </c>
      <c r="CD41" s="17">
        <v>962.65300000000002</v>
      </c>
      <c r="CE41" s="17">
        <v>877.90200000000004</v>
      </c>
      <c r="CF41" s="17">
        <v>797.49300000000005</v>
      </c>
      <c r="CG41" s="17">
        <v>720.59199999999998</v>
      </c>
      <c r="CH41" s="17">
        <v>645.58500000000004</v>
      </c>
      <c r="CI41" s="17">
        <v>573.91899999999998</v>
      </c>
      <c r="CJ41" s="17">
        <v>502.53</v>
      </c>
      <c r="CK41" s="17">
        <v>430.10300000000001</v>
      </c>
      <c r="CL41" s="17">
        <v>359.07400000000001</v>
      </c>
      <c r="CM41" s="17">
        <v>285.084</v>
      </c>
      <c r="CN41" s="17">
        <v>221.69</v>
      </c>
      <c r="CO41" s="17">
        <v>184.17500000000001</v>
      </c>
      <c r="CP41" s="17">
        <v>148.60400000000001</v>
      </c>
      <c r="CQ41" s="17">
        <v>113.71299999999999</v>
      </c>
      <c r="CR41" s="17">
        <v>91.667000000000002</v>
      </c>
      <c r="CS41" s="17">
        <v>80.429000000000002</v>
      </c>
      <c r="CT41" s="17">
        <v>66.972999999999999</v>
      </c>
      <c r="CU41" s="17">
        <v>50.225000000000001</v>
      </c>
      <c r="CV41" s="17">
        <v>30.186</v>
      </c>
      <c r="CW41" s="17">
        <v>17.558</v>
      </c>
      <c r="CX41" s="17">
        <v>27.754000000000001</v>
      </c>
      <c r="CY41" s="3">
        <f t="shared" si="4"/>
        <v>249725.80899999995</v>
      </c>
      <c r="CZ41" s="3">
        <f>SUM(AA41:AS41)</f>
        <v>77453.396000000008</v>
      </c>
      <c r="DA41" s="3">
        <f t="shared" si="5"/>
        <v>0.3101537494668804</v>
      </c>
      <c r="DB41" s="3">
        <f>SUM(T41:Z41)</f>
        <v>27187.845000000001</v>
      </c>
      <c r="DC41" s="3">
        <f t="shared" si="8"/>
        <v>0.10887078555825204</v>
      </c>
      <c r="DF41" s="3">
        <f>SUM(AT41:BL41)</f>
        <v>44731.610000000008</v>
      </c>
      <c r="DG41" s="3">
        <f t="shared" si="2"/>
        <v>0.17912289554340785</v>
      </c>
      <c r="DH41">
        <f>SUM(BL41:CL41)</f>
        <v>36487.947</v>
      </c>
      <c r="DI41" s="9">
        <f t="shared" si="3"/>
        <v>0.14611203842370976</v>
      </c>
      <c r="DJ41" s="7">
        <v>0.14611203842370976</v>
      </c>
      <c r="DK41" s="7">
        <v>0.17912289554340785</v>
      </c>
      <c r="DL41" s="7">
        <v>0.3101537494668804</v>
      </c>
      <c r="DM41" s="7"/>
      <c r="DN41" s="7"/>
      <c r="DO41" s="10">
        <f t="shared" si="7"/>
        <v>0.63538868343399801</v>
      </c>
    </row>
    <row r="42" spans="1:119">
      <c r="A42" s="4">
        <v>1990</v>
      </c>
      <c r="B42" s="17">
        <v>3957.5160000000001</v>
      </c>
      <c r="C42" s="17">
        <v>3902.8130000000001</v>
      </c>
      <c r="D42" s="17">
        <v>3847.712</v>
      </c>
      <c r="E42" s="17">
        <v>3793.098</v>
      </c>
      <c r="F42" s="17">
        <v>3739.857</v>
      </c>
      <c r="G42" s="17">
        <v>3688.873</v>
      </c>
      <c r="H42" s="17">
        <v>3641.03</v>
      </c>
      <c r="I42" s="17">
        <v>3597.2150000000001</v>
      </c>
      <c r="J42" s="17">
        <v>3558.3110000000001</v>
      </c>
      <c r="K42" s="17">
        <v>3525.2020000000002</v>
      </c>
      <c r="L42" s="17">
        <v>3497.5479999999998</v>
      </c>
      <c r="M42" s="17">
        <v>3475.0039999999999</v>
      </c>
      <c r="N42" s="17">
        <v>3464.5920000000001</v>
      </c>
      <c r="O42" s="17">
        <v>3469.652</v>
      </c>
      <c r="P42" s="17">
        <v>3487.386</v>
      </c>
      <c r="Q42" s="17">
        <v>3510.8760000000002</v>
      </c>
      <c r="R42" s="17">
        <v>3540.569</v>
      </c>
      <c r="S42" s="17">
        <v>3579.5450000000001</v>
      </c>
      <c r="T42" s="17">
        <v>3628.3409999999999</v>
      </c>
      <c r="U42" s="17">
        <v>3685.2979999999998</v>
      </c>
      <c r="V42" s="17">
        <v>3745.5140000000001</v>
      </c>
      <c r="W42" s="17">
        <v>3806.7260000000001</v>
      </c>
      <c r="X42" s="17">
        <v>3878.1990000000001</v>
      </c>
      <c r="Y42" s="17">
        <v>3962.9949999999999</v>
      </c>
      <c r="Z42" s="17">
        <v>4054.5680000000002</v>
      </c>
      <c r="AA42" s="17">
        <v>4141.0540000000001</v>
      </c>
      <c r="AB42" s="17">
        <v>4222.1180000000004</v>
      </c>
      <c r="AC42" s="17">
        <v>4294.7430000000004</v>
      </c>
      <c r="AD42" s="17">
        <v>4355.33</v>
      </c>
      <c r="AE42" s="17">
        <v>4402.518</v>
      </c>
      <c r="AF42" s="17">
        <v>4441.8590000000004</v>
      </c>
      <c r="AG42" s="17">
        <v>4476.2219999999998</v>
      </c>
      <c r="AH42" s="17">
        <v>4475.049</v>
      </c>
      <c r="AI42" s="17">
        <v>4424.9440000000004</v>
      </c>
      <c r="AJ42" s="17">
        <v>4340.3620000000001</v>
      </c>
      <c r="AK42" s="17">
        <v>4247.5330000000004</v>
      </c>
      <c r="AL42" s="17">
        <v>4139.2610000000004</v>
      </c>
      <c r="AM42" s="17">
        <v>4037.989</v>
      </c>
      <c r="AN42" s="17">
        <v>3956.9090000000001</v>
      </c>
      <c r="AO42" s="17">
        <v>3884.52</v>
      </c>
      <c r="AP42" s="17">
        <v>3801.63</v>
      </c>
      <c r="AQ42" s="17">
        <v>3718.6869999999999</v>
      </c>
      <c r="AR42" s="17">
        <v>3603.3449999999998</v>
      </c>
      <c r="AS42" s="17">
        <v>3439.7159999999999</v>
      </c>
      <c r="AT42" s="17">
        <v>3247.5729999999999</v>
      </c>
      <c r="AU42" s="17">
        <v>3061.33</v>
      </c>
      <c r="AV42" s="17">
        <v>2872.6109999999999</v>
      </c>
      <c r="AW42" s="17">
        <v>2713.55</v>
      </c>
      <c r="AX42" s="17">
        <v>2603.1570000000002</v>
      </c>
      <c r="AY42" s="17">
        <v>2526.683</v>
      </c>
      <c r="AZ42" s="17">
        <v>2450.625</v>
      </c>
      <c r="BA42" s="17">
        <v>2381.9879999999998</v>
      </c>
      <c r="BB42" s="17">
        <v>2318.7950000000001</v>
      </c>
      <c r="BC42" s="17">
        <v>2256.81</v>
      </c>
      <c r="BD42" s="17">
        <v>2199.279</v>
      </c>
      <c r="BE42" s="17">
        <v>2150.5039999999999</v>
      </c>
      <c r="BF42" s="17">
        <v>2105.8130000000001</v>
      </c>
      <c r="BG42" s="17">
        <v>2081.114</v>
      </c>
      <c r="BH42" s="17">
        <v>2083.5219999999999</v>
      </c>
      <c r="BI42" s="17">
        <v>2102.9969999999998</v>
      </c>
      <c r="BJ42" s="17">
        <v>2121.4290000000001</v>
      </c>
      <c r="BK42" s="17">
        <v>2141.297</v>
      </c>
      <c r="BL42" s="17">
        <v>2151.7339999999999</v>
      </c>
      <c r="BM42" s="17">
        <v>2145.1179999999999</v>
      </c>
      <c r="BN42" s="17">
        <v>2124.94</v>
      </c>
      <c r="BO42" s="17">
        <v>2104.44</v>
      </c>
      <c r="BP42" s="17">
        <v>2083.5169999999998</v>
      </c>
      <c r="BQ42" s="17">
        <v>2043.6</v>
      </c>
      <c r="BR42" s="17">
        <v>1977.577</v>
      </c>
      <c r="BS42" s="17">
        <v>1893.7270000000001</v>
      </c>
      <c r="BT42" s="17">
        <v>1807.0840000000001</v>
      </c>
      <c r="BU42" s="17">
        <v>1714.2059999999999</v>
      </c>
      <c r="BV42" s="17">
        <v>1626.5709999999999</v>
      </c>
      <c r="BW42" s="17">
        <v>1551.278</v>
      </c>
      <c r="BX42" s="17">
        <v>1482.991</v>
      </c>
      <c r="BY42" s="17">
        <v>1410.1389999999999</v>
      </c>
      <c r="BZ42" s="17">
        <v>1336.08</v>
      </c>
      <c r="CA42" s="17">
        <v>1256.7860000000001</v>
      </c>
      <c r="CB42" s="17">
        <v>1169.4369999999999</v>
      </c>
      <c r="CC42" s="17">
        <v>1077.3599999999999</v>
      </c>
      <c r="CD42" s="17">
        <v>986.89</v>
      </c>
      <c r="CE42" s="17">
        <v>896.98900000000003</v>
      </c>
      <c r="CF42" s="17">
        <v>810.678</v>
      </c>
      <c r="CG42" s="17">
        <v>730.17499999999995</v>
      </c>
      <c r="CH42" s="17">
        <v>654.32000000000005</v>
      </c>
      <c r="CI42" s="17">
        <v>580.48500000000001</v>
      </c>
      <c r="CJ42" s="17">
        <v>510.10599999999999</v>
      </c>
      <c r="CK42" s="17">
        <v>441.20699999999999</v>
      </c>
      <c r="CL42" s="17">
        <v>372.84100000000001</v>
      </c>
      <c r="CM42" s="17">
        <v>306.904</v>
      </c>
      <c r="CN42" s="17">
        <v>236.34700000000001</v>
      </c>
      <c r="CO42" s="17">
        <v>178.739</v>
      </c>
      <c r="CP42" s="17">
        <v>149.82300000000001</v>
      </c>
      <c r="CQ42" s="17">
        <v>117.94499999999999</v>
      </c>
      <c r="CR42" s="17">
        <v>83.105000000000004</v>
      </c>
      <c r="CS42" s="17">
        <v>63.981000000000002</v>
      </c>
      <c r="CT42" s="17">
        <v>55.703000000000003</v>
      </c>
      <c r="CU42" s="17">
        <v>45.343000000000004</v>
      </c>
      <c r="CV42" s="17">
        <v>32.896000000000001</v>
      </c>
      <c r="CW42" s="17">
        <v>18.364999999999998</v>
      </c>
      <c r="CX42" s="17">
        <v>29.576000000000001</v>
      </c>
      <c r="CY42" s="3">
        <f t="shared" si="4"/>
        <v>252120.30899999995</v>
      </c>
      <c r="CZ42" s="3">
        <f>SUM(AB42:AT42)</f>
        <v>77510.308000000005</v>
      </c>
      <c r="DA42" s="3">
        <f t="shared" si="5"/>
        <v>0.30743381327523289</v>
      </c>
      <c r="DB42" s="3">
        <f>SUM(T42:AA42)</f>
        <v>30902.694999999996</v>
      </c>
      <c r="DC42" s="3">
        <f t="shared" si="8"/>
        <v>0.12257122451805341</v>
      </c>
      <c r="DF42" s="3">
        <f>SUM(AU42:BM42)</f>
        <v>44468.356000000007</v>
      </c>
      <c r="DG42" s="3">
        <f t="shared" si="2"/>
        <v>0.17637752458886607</v>
      </c>
      <c r="DH42">
        <f>SUM(BM42:CM42)</f>
        <v>35095.446000000004</v>
      </c>
      <c r="DI42" s="9">
        <f t="shared" si="3"/>
        <v>0.13920118589097877</v>
      </c>
      <c r="DJ42" s="7">
        <v>0.13920118589097877</v>
      </c>
      <c r="DK42" s="7">
        <v>0.17637752458886607</v>
      </c>
      <c r="DL42" s="7">
        <v>0.30743381327523289</v>
      </c>
      <c r="DM42" s="7"/>
      <c r="DN42" s="7"/>
      <c r="DO42" s="10">
        <f t="shared" si="7"/>
        <v>0.62301252375507776</v>
      </c>
    </row>
    <row r="43" spans="1:119">
      <c r="A43" s="4">
        <v>1991</v>
      </c>
      <c r="B43" s="17">
        <v>3988.7919999999999</v>
      </c>
      <c r="C43" s="17">
        <v>3954.0259999999998</v>
      </c>
      <c r="D43" s="17">
        <v>3906.1280000000002</v>
      </c>
      <c r="E43" s="17">
        <v>3857.442</v>
      </c>
      <c r="F43" s="17">
        <v>3808.7640000000001</v>
      </c>
      <c r="G43" s="17">
        <v>3760.8939999999998</v>
      </c>
      <c r="H43" s="17">
        <v>3714.72</v>
      </c>
      <c r="I43" s="17">
        <v>3671.1260000000002</v>
      </c>
      <c r="J43" s="17">
        <v>3630.47</v>
      </c>
      <c r="K43" s="17">
        <v>3593.3710000000001</v>
      </c>
      <c r="L43" s="17">
        <v>3560.895</v>
      </c>
      <c r="M43" s="17">
        <v>3533.4949999999999</v>
      </c>
      <c r="N43" s="17">
        <v>3511.0949999999998</v>
      </c>
      <c r="O43" s="17">
        <v>3498.8719999999998</v>
      </c>
      <c r="P43" s="17">
        <v>3499.4609999999998</v>
      </c>
      <c r="Q43" s="17">
        <v>3511.125</v>
      </c>
      <c r="R43" s="17">
        <v>3528.6950000000002</v>
      </c>
      <c r="S43" s="17">
        <v>3552.2539999999999</v>
      </c>
      <c r="T43" s="17">
        <v>3586.7049999999999</v>
      </c>
      <c r="U43" s="17">
        <v>3633.6619999999998</v>
      </c>
      <c r="V43" s="17">
        <v>3690.73</v>
      </c>
      <c r="W43" s="17">
        <v>3750.6759999999999</v>
      </c>
      <c r="X43" s="17">
        <v>3811.0810000000001</v>
      </c>
      <c r="Y43" s="17">
        <v>3884.1039999999998</v>
      </c>
      <c r="Z43" s="17">
        <v>3973.808</v>
      </c>
      <c r="AA43" s="17">
        <v>4072.1190000000001</v>
      </c>
      <c r="AB43" s="17">
        <v>4165.1059999999998</v>
      </c>
      <c r="AC43" s="17">
        <v>4253.4170000000004</v>
      </c>
      <c r="AD43" s="17">
        <v>4329.076</v>
      </c>
      <c r="AE43" s="17">
        <v>4385.99</v>
      </c>
      <c r="AF43" s="17">
        <v>4425.25</v>
      </c>
      <c r="AG43" s="17">
        <v>4457.1819999999998</v>
      </c>
      <c r="AH43" s="17">
        <v>4483.4949999999999</v>
      </c>
      <c r="AI43" s="17">
        <v>4476.3310000000001</v>
      </c>
      <c r="AJ43" s="17">
        <v>4424.05</v>
      </c>
      <c r="AK43" s="17">
        <v>4339.6530000000002</v>
      </c>
      <c r="AL43" s="17">
        <v>4246.4139999999998</v>
      </c>
      <c r="AM43" s="17">
        <v>4138.04</v>
      </c>
      <c r="AN43" s="17">
        <v>4035.2939999999999</v>
      </c>
      <c r="AO43" s="17">
        <v>3950.3389999999999</v>
      </c>
      <c r="AP43" s="17">
        <v>3872.7910000000002</v>
      </c>
      <c r="AQ43" s="17">
        <v>3785.2559999999999</v>
      </c>
      <c r="AR43" s="17">
        <v>3697.39</v>
      </c>
      <c r="AS43" s="17">
        <v>3579.7669999999998</v>
      </c>
      <c r="AT43" s="17">
        <v>3417.9960000000001</v>
      </c>
      <c r="AU43" s="17">
        <v>3230.252</v>
      </c>
      <c r="AV43" s="17">
        <v>3048.04</v>
      </c>
      <c r="AW43" s="17">
        <v>2863.7779999999998</v>
      </c>
      <c r="AX43" s="17">
        <v>2707.1869999999999</v>
      </c>
      <c r="AY43" s="17">
        <v>2595.8539999999998</v>
      </c>
      <c r="AZ43" s="17">
        <v>2516.2719999999999</v>
      </c>
      <c r="BA43" s="17">
        <v>2437.5189999999998</v>
      </c>
      <c r="BB43" s="17">
        <v>2365.971</v>
      </c>
      <c r="BC43" s="17">
        <v>2300.636</v>
      </c>
      <c r="BD43" s="17">
        <v>2237.9879999999998</v>
      </c>
      <c r="BE43" s="17">
        <v>2180.6460000000002</v>
      </c>
      <c r="BF43" s="17">
        <v>2131.5700000000002</v>
      </c>
      <c r="BG43" s="17">
        <v>2086.3510000000001</v>
      </c>
      <c r="BH43" s="17">
        <v>2060.6320000000001</v>
      </c>
      <c r="BI43" s="17">
        <v>2061.259</v>
      </c>
      <c r="BJ43" s="17">
        <v>2078.3649999999998</v>
      </c>
      <c r="BK43" s="17">
        <v>2094.473</v>
      </c>
      <c r="BL43" s="17">
        <v>2112.1640000000002</v>
      </c>
      <c r="BM43" s="17">
        <v>2119.5120000000002</v>
      </c>
      <c r="BN43" s="17">
        <v>2108.5</v>
      </c>
      <c r="BO43" s="17">
        <v>2083.1999999999998</v>
      </c>
      <c r="BP43" s="17">
        <v>2057.607</v>
      </c>
      <c r="BQ43" s="17">
        <v>2031.212</v>
      </c>
      <c r="BR43" s="17">
        <v>1987.462</v>
      </c>
      <c r="BS43" s="17">
        <v>1920.2439999999999</v>
      </c>
      <c r="BT43" s="17">
        <v>1836.8150000000001</v>
      </c>
      <c r="BU43" s="17">
        <v>1750.5060000000001</v>
      </c>
      <c r="BV43" s="17">
        <v>1658.595</v>
      </c>
      <c r="BW43" s="17">
        <v>1570.0930000000001</v>
      </c>
      <c r="BX43" s="17">
        <v>1490.82</v>
      </c>
      <c r="BY43" s="17">
        <v>1416.82</v>
      </c>
      <c r="BZ43" s="17">
        <v>1338.989</v>
      </c>
      <c r="CA43" s="17">
        <v>1259.9490000000001</v>
      </c>
      <c r="CB43" s="17">
        <v>1178.047</v>
      </c>
      <c r="CC43" s="17">
        <v>1091.8140000000001</v>
      </c>
      <c r="CD43" s="17">
        <v>1003.343</v>
      </c>
      <c r="CE43" s="17">
        <v>916.44399999999996</v>
      </c>
      <c r="CF43" s="17">
        <v>830.65499999999997</v>
      </c>
      <c r="CG43" s="17">
        <v>748.02599999999995</v>
      </c>
      <c r="CH43" s="17">
        <v>670.06500000000005</v>
      </c>
      <c r="CI43" s="17">
        <v>596.17999999999995</v>
      </c>
      <c r="CJ43" s="17">
        <v>523.495</v>
      </c>
      <c r="CK43" s="17">
        <v>456.92599999999999</v>
      </c>
      <c r="CL43" s="17">
        <v>394.51100000000002</v>
      </c>
      <c r="CM43" s="17">
        <v>330.524</v>
      </c>
      <c r="CN43" s="17">
        <v>266.48</v>
      </c>
      <c r="CO43" s="17">
        <v>203.08799999999999</v>
      </c>
      <c r="CP43" s="17">
        <v>154.84899999999999</v>
      </c>
      <c r="CQ43" s="17">
        <v>129.346</v>
      </c>
      <c r="CR43" s="17">
        <v>101.274</v>
      </c>
      <c r="CS43" s="17">
        <v>70.631</v>
      </c>
      <c r="CT43" s="17">
        <v>56.752000000000002</v>
      </c>
      <c r="CU43" s="17">
        <v>46.094999999999999</v>
      </c>
      <c r="CV43" s="17">
        <v>33.506999999999998</v>
      </c>
      <c r="CW43" s="17">
        <v>18.989000000000001</v>
      </c>
      <c r="CX43" s="17">
        <v>31.702000000000002</v>
      </c>
      <c r="CY43" s="3">
        <f t="shared" si="4"/>
        <v>254539.37099999998</v>
      </c>
      <c r="CZ43" s="3">
        <f>SUM(AC43:AU43)</f>
        <v>77527.983000000007</v>
      </c>
      <c r="DA43" s="3">
        <f t="shared" si="5"/>
        <v>0.30458149831760217</v>
      </c>
      <c r="DB43" s="3">
        <f>SUM(T43:AB43)</f>
        <v>34567.990999999995</v>
      </c>
      <c r="DC43" s="3">
        <f t="shared" si="8"/>
        <v>0.1358060675022254</v>
      </c>
      <c r="DF43" s="3">
        <f>SUM(AV43:BN43)</f>
        <v>44106.716999999997</v>
      </c>
      <c r="DG43" s="3">
        <f t="shared" si="2"/>
        <v>0.17328052955705622</v>
      </c>
      <c r="DH43">
        <f>SUM(BN43:CN43)</f>
        <v>33517.322</v>
      </c>
      <c r="DI43" s="9">
        <f t="shared" si="3"/>
        <v>0.13167834063674183</v>
      </c>
      <c r="DJ43" s="7">
        <v>0.13167834063674183</v>
      </c>
      <c r="DK43" s="7">
        <v>0.17328052955705622</v>
      </c>
      <c r="DL43" s="7">
        <v>0.30458149831760217</v>
      </c>
      <c r="DM43" s="7"/>
      <c r="DN43" s="7"/>
      <c r="DO43" s="10">
        <f t="shared" si="7"/>
        <v>0.60954036851140025</v>
      </c>
    </row>
    <row r="44" spans="1:119">
      <c r="A44" s="4">
        <v>1992</v>
      </c>
      <c r="B44" s="17">
        <v>4015.7049999999999</v>
      </c>
      <c r="C44" s="17">
        <v>3973.8130000000001</v>
      </c>
      <c r="D44" s="17">
        <v>3950.7849999999999</v>
      </c>
      <c r="E44" s="17">
        <v>3909.681</v>
      </c>
      <c r="F44" s="17">
        <v>3867.3969999999999</v>
      </c>
      <c r="G44" s="17">
        <v>3824.6439999999998</v>
      </c>
      <c r="H44" s="17">
        <v>3782.136</v>
      </c>
      <c r="I44" s="17">
        <v>3740.761</v>
      </c>
      <c r="J44" s="17">
        <v>3701.4079999999999</v>
      </c>
      <c r="K44" s="17">
        <v>3663.904</v>
      </c>
      <c r="L44" s="17">
        <v>3628.607</v>
      </c>
      <c r="M44" s="17">
        <v>3596.76</v>
      </c>
      <c r="N44" s="17">
        <v>3569.614</v>
      </c>
      <c r="O44" s="17">
        <v>3547.3560000000002</v>
      </c>
      <c r="P44" s="17">
        <v>3533.3220000000001</v>
      </c>
      <c r="Q44" s="17">
        <v>3529.4490000000001</v>
      </c>
      <c r="R44" s="17">
        <v>3535.0520000000001</v>
      </c>
      <c r="S44" s="17">
        <v>3546.712</v>
      </c>
      <c r="T44" s="17">
        <v>3564.1489999999999</v>
      </c>
      <c r="U44" s="17">
        <v>3594.0810000000001</v>
      </c>
      <c r="V44" s="17">
        <v>3639.2069999999999</v>
      </c>
      <c r="W44" s="17">
        <v>3696.3910000000001</v>
      </c>
      <c r="X44" s="17">
        <v>3756.0709999999999</v>
      </c>
      <c r="Y44" s="17">
        <v>3815.6759999999999</v>
      </c>
      <c r="Z44" s="17">
        <v>3890.25</v>
      </c>
      <c r="AA44" s="17">
        <v>3984.8620000000001</v>
      </c>
      <c r="AB44" s="17">
        <v>4089.9050000000002</v>
      </c>
      <c r="AC44" s="17">
        <v>4189.3890000000001</v>
      </c>
      <c r="AD44" s="17">
        <v>4284.9409999999998</v>
      </c>
      <c r="AE44" s="17">
        <v>4363.6310000000003</v>
      </c>
      <c r="AF44" s="17">
        <v>4416.8770000000004</v>
      </c>
      <c r="AG44" s="17">
        <v>4448.2160000000003</v>
      </c>
      <c r="AH44" s="17">
        <v>4472.7479999999996</v>
      </c>
      <c r="AI44" s="17">
        <v>4491.0190000000002</v>
      </c>
      <c r="AJ44" s="17">
        <v>4477.8680000000004</v>
      </c>
      <c r="AK44" s="17">
        <v>4423.4110000000001</v>
      </c>
      <c r="AL44" s="17">
        <v>4339.1930000000002</v>
      </c>
      <c r="AM44" s="17">
        <v>4245.5389999999998</v>
      </c>
      <c r="AN44" s="17">
        <v>4137.0559999999996</v>
      </c>
      <c r="AO44" s="17">
        <v>4032.8319999999999</v>
      </c>
      <c r="AP44" s="17">
        <v>3943.998</v>
      </c>
      <c r="AQ44" s="17">
        <v>3861.2919999999999</v>
      </c>
      <c r="AR44" s="17">
        <v>3769.1089999999999</v>
      </c>
      <c r="AS44" s="17">
        <v>3676.32</v>
      </c>
      <c r="AT44" s="17">
        <v>3556.4110000000001</v>
      </c>
      <c r="AU44" s="17">
        <v>3396.482</v>
      </c>
      <c r="AV44" s="17">
        <v>3213.12</v>
      </c>
      <c r="AW44" s="17">
        <v>3034.922</v>
      </c>
      <c r="AX44" s="17">
        <v>2855.0990000000002</v>
      </c>
      <c r="AY44" s="17">
        <v>2700.9670000000001</v>
      </c>
      <c r="AZ44" s="17">
        <v>2588.69</v>
      </c>
      <c r="BA44" s="17">
        <v>2506.0050000000001</v>
      </c>
      <c r="BB44" s="17">
        <v>2424.558</v>
      </c>
      <c r="BC44" s="17">
        <v>2350.1039999999998</v>
      </c>
      <c r="BD44" s="17">
        <v>2282.627</v>
      </c>
      <c r="BE44" s="17">
        <v>2219.3119999999999</v>
      </c>
      <c r="BF44" s="17">
        <v>2162.152</v>
      </c>
      <c r="BG44" s="17">
        <v>2112.7689999999998</v>
      </c>
      <c r="BH44" s="17">
        <v>2067.0160000000001</v>
      </c>
      <c r="BI44" s="17">
        <v>2040.2739999999999</v>
      </c>
      <c r="BJ44" s="17">
        <v>2039.1179999999999</v>
      </c>
      <c r="BK44" s="17">
        <v>2053.8580000000002</v>
      </c>
      <c r="BL44" s="17">
        <v>2067.6460000000002</v>
      </c>
      <c r="BM44" s="17">
        <v>2083.1610000000001</v>
      </c>
      <c r="BN44" s="17">
        <v>2087.42</v>
      </c>
      <c r="BO44" s="17">
        <v>2072.0160000000001</v>
      </c>
      <c r="BP44" s="17">
        <v>2041.596</v>
      </c>
      <c r="BQ44" s="17">
        <v>2010.912</v>
      </c>
      <c r="BR44" s="17">
        <v>1979.048</v>
      </c>
      <c r="BS44" s="17">
        <v>1931.4639999999999</v>
      </c>
      <c r="BT44" s="17">
        <v>1863.047</v>
      </c>
      <c r="BU44" s="17">
        <v>1780.0340000000001</v>
      </c>
      <c r="BV44" s="17">
        <v>1694.0509999999999</v>
      </c>
      <c r="BW44" s="17">
        <v>1603.1020000000001</v>
      </c>
      <c r="BX44" s="17">
        <v>1513.729</v>
      </c>
      <c r="BY44" s="17">
        <v>1430.4739999999999</v>
      </c>
      <c r="BZ44" s="17">
        <v>1350.7650000000001</v>
      </c>
      <c r="CA44" s="17">
        <v>1267.9549999999999</v>
      </c>
      <c r="CB44" s="17">
        <v>1183.9359999999999</v>
      </c>
      <c r="CC44" s="17">
        <v>1099.423</v>
      </c>
      <c r="CD44" s="17">
        <v>1014.297</v>
      </c>
      <c r="CE44" s="17">
        <v>929.42100000000005</v>
      </c>
      <c r="CF44" s="17">
        <v>846.08199999999999</v>
      </c>
      <c r="CG44" s="17">
        <v>764.39200000000005</v>
      </c>
      <c r="CH44" s="17">
        <v>685.43600000000004</v>
      </c>
      <c r="CI44" s="17">
        <v>610.01</v>
      </c>
      <c r="CJ44" s="17">
        <v>538.096</v>
      </c>
      <c r="CK44" s="17">
        <v>466.56099999999998</v>
      </c>
      <c r="CL44" s="17">
        <v>403.79599999999999</v>
      </c>
      <c r="CM44" s="17">
        <v>347.858</v>
      </c>
      <c r="CN44" s="17">
        <v>288.24599999999998</v>
      </c>
      <c r="CO44" s="17">
        <v>226.09100000000001</v>
      </c>
      <c r="CP44" s="17">
        <v>169.85599999999999</v>
      </c>
      <c r="CQ44" s="17">
        <v>130.97399999999999</v>
      </c>
      <c r="CR44" s="17">
        <v>108.883</v>
      </c>
      <c r="CS44" s="17">
        <v>84.613</v>
      </c>
      <c r="CT44" s="17">
        <v>58.164000000000001</v>
      </c>
      <c r="CU44" s="17">
        <v>46.244999999999997</v>
      </c>
      <c r="CV44" s="17">
        <v>33.670999999999999</v>
      </c>
      <c r="CW44" s="17">
        <v>19.463999999999999</v>
      </c>
      <c r="CX44" s="17">
        <v>34.052</v>
      </c>
      <c r="CY44" s="3">
        <f t="shared" si="4"/>
        <v>256990.60799999995</v>
      </c>
      <c r="CZ44" s="3">
        <f>SUM(AD44:AV44)</f>
        <v>77550.063000000009</v>
      </c>
      <c r="DA44" s="3">
        <f t="shared" si="5"/>
        <v>0.30176224572378157</v>
      </c>
      <c r="DB44" s="3">
        <f>SUM(T44:AC44)</f>
        <v>38219.981</v>
      </c>
      <c r="DC44" s="3">
        <f t="shared" si="8"/>
        <v>0.14872131436025088</v>
      </c>
      <c r="DF44" s="3">
        <f>SUM(AW44:BO44)</f>
        <v>43747.714000000007</v>
      </c>
      <c r="DG44" s="3">
        <f t="shared" si="2"/>
        <v>0.17023078913451972</v>
      </c>
      <c r="DH44">
        <f>SUM(BO44:CO44)</f>
        <v>31941.837999999996</v>
      </c>
      <c r="DI44" s="9">
        <f t="shared" si="3"/>
        <v>0.12429184960720434</v>
      </c>
      <c r="DJ44" s="7">
        <v>0.12429184960720434</v>
      </c>
      <c r="DK44" s="7">
        <v>0.17023078913451972</v>
      </c>
      <c r="DL44" s="7">
        <v>0.30176224572378157</v>
      </c>
      <c r="DM44" s="7"/>
      <c r="DN44" s="7"/>
      <c r="DO44" s="10">
        <f t="shared" si="7"/>
        <v>0.59628488446550565</v>
      </c>
    </row>
    <row r="45" spans="1:119">
      <c r="A45" s="4">
        <v>1993</v>
      </c>
      <c r="B45" s="17">
        <v>4032.2860000000001</v>
      </c>
      <c r="C45" s="17">
        <v>3997.3339999999998</v>
      </c>
      <c r="D45" s="17">
        <v>3960.8180000000002</v>
      </c>
      <c r="E45" s="17">
        <v>3948.8240000000001</v>
      </c>
      <c r="F45" s="17">
        <v>3914.4940000000001</v>
      </c>
      <c r="G45" s="17">
        <v>3878.5929999999998</v>
      </c>
      <c r="H45" s="17">
        <v>3841.7469999999998</v>
      </c>
      <c r="I45" s="17">
        <v>3804.5810000000001</v>
      </c>
      <c r="J45" s="17">
        <v>3767.9879999999998</v>
      </c>
      <c r="K45" s="17">
        <v>3732.8589999999999</v>
      </c>
      <c r="L45" s="17">
        <v>3698.4929999999999</v>
      </c>
      <c r="M45" s="17">
        <v>3664.9830000000002</v>
      </c>
      <c r="N45" s="17">
        <v>3633.7550000000001</v>
      </c>
      <c r="O45" s="17">
        <v>3606.8530000000001</v>
      </c>
      <c r="P45" s="17">
        <v>3584.7310000000002</v>
      </c>
      <c r="Q45" s="17">
        <v>3568.8829999999998</v>
      </c>
      <c r="R45" s="17">
        <v>3560.55</v>
      </c>
      <c r="S45" s="17">
        <v>3560.1019999999999</v>
      </c>
      <c r="T45" s="17">
        <v>3565.8580000000002</v>
      </c>
      <c r="U45" s="17">
        <v>3577.1840000000002</v>
      </c>
      <c r="V45" s="17">
        <v>3602.614</v>
      </c>
      <c r="W45" s="17">
        <v>3645.922</v>
      </c>
      <c r="X45" s="17">
        <v>3703.2429999999999</v>
      </c>
      <c r="Y45" s="17">
        <v>3762.6790000000001</v>
      </c>
      <c r="Z45" s="17">
        <v>3821.5039999999999</v>
      </c>
      <c r="AA45" s="17">
        <v>3897.652</v>
      </c>
      <c r="AB45" s="17">
        <v>3997.1970000000001</v>
      </c>
      <c r="AC45" s="17">
        <v>4109</v>
      </c>
      <c r="AD45" s="17">
        <v>4215.0069999999996</v>
      </c>
      <c r="AE45" s="17">
        <v>4317.8209999999999</v>
      </c>
      <c r="AF45" s="17">
        <v>4399.5659999999998</v>
      </c>
      <c r="AG45" s="17">
        <v>4449.1620000000003</v>
      </c>
      <c r="AH45" s="17">
        <v>4472.5940000000001</v>
      </c>
      <c r="AI45" s="17">
        <v>4489.7359999999999</v>
      </c>
      <c r="AJ45" s="17">
        <v>4499.9759999999997</v>
      </c>
      <c r="AK45" s="17">
        <v>4480.8370000000004</v>
      </c>
      <c r="AL45" s="17">
        <v>4424.1869999999999</v>
      </c>
      <c r="AM45" s="17">
        <v>4340.1210000000001</v>
      </c>
      <c r="AN45" s="17">
        <v>4246.0200000000004</v>
      </c>
      <c r="AO45" s="17">
        <v>4137.393</v>
      </c>
      <c r="AP45" s="17">
        <v>4031.6559999999999</v>
      </c>
      <c r="AQ45" s="17">
        <v>3938.92</v>
      </c>
      <c r="AR45" s="17">
        <v>3851.0309999999999</v>
      </c>
      <c r="AS45" s="17">
        <v>3754.1729999999998</v>
      </c>
      <c r="AT45" s="17">
        <v>3656.4340000000002</v>
      </c>
      <c r="AU45" s="17">
        <v>3534.201</v>
      </c>
      <c r="AV45" s="17">
        <v>3376.06</v>
      </c>
      <c r="AW45" s="17">
        <v>3197.0169999999998</v>
      </c>
      <c r="AX45" s="17">
        <v>3022.7710000000002</v>
      </c>
      <c r="AY45" s="17">
        <v>2847.3220000000001</v>
      </c>
      <c r="AZ45" s="17">
        <v>2695.598</v>
      </c>
      <c r="BA45" s="17">
        <v>2582.3440000000001</v>
      </c>
      <c r="BB45" s="17">
        <v>2496.5349999999999</v>
      </c>
      <c r="BC45" s="17">
        <v>2412.3739999999998</v>
      </c>
      <c r="BD45" s="17">
        <v>2334.9949999999999</v>
      </c>
      <c r="BE45" s="17">
        <v>2265.3589999999999</v>
      </c>
      <c r="BF45" s="17">
        <v>2201.3560000000002</v>
      </c>
      <c r="BG45" s="17">
        <v>2144.357</v>
      </c>
      <c r="BH45" s="17">
        <v>2094.6480000000001</v>
      </c>
      <c r="BI45" s="17">
        <v>2048.3449999999998</v>
      </c>
      <c r="BJ45" s="17">
        <v>2020.568</v>
      </c>
      <c r="BK45" s="17">
        <v>2017.6310000000001</v>
      </c>
      <c r="BL45" s="17">
        <v>2030.009</v>
      </c>
      <c r="BM45" s="17">
        <v>2041.4780000000001</v>
      </c>
      <c r="BN45" s="17">
        <v>2054.8240000000001</v>
      </c>
      <c r="BO45" s="17">
        <v>2055.9969999999998</v>
      </c>
      <c r="BP45" s="17">
        <v>2036.1969999999999</v>
      </c>
      <c r="BQ45" s="17">
        <v>2000.65</v>
      </c>
      <c r="BR45" s="17">
        <v>1964.867</v>
      </c>
      <c r="BS45" s="17">
        <v>1927.5260000000001</v>
      </c>
      <c r="BT45" s="17">
        <v>1876.097</v>
      </c>
      <c r="BU45" s="17">
        <v>1806.4590000000001</v>
      </c>
      <c r="BV45" s="17">
        <v>1723.8340000000001</v>
      </c>
      <c r="BW45" s="17">
        <v>1638.15</v>
      </c>
      <c r="BX45" s="17">
        <v>1548.1320000000001</v>
      </c>
      <c r="BY45" s="17">
        <v>1457.8589999999999</v>
      </c>
      <c r="BZ45" s="17">
        <v>1370.6010000000001</v>
      </c>
      <c r="CA45" s="17">
        <v>1285.1610000000001</v>
      </c>
      <c r="CB45" s="17">
        <v>1197.3499999999999</v>
      </c>
      <c r="CC45" s="17">
        <v>1108.329</v>
      </c>
      <c r="CD45" s="17">
        <v>1021.181</v>
      </c>
      <c r="CE45" s="17">
        <v>937.13400000000001</v>
      </c>
      <c r="CF45" s="17">
        <v>855.82100000000003</v>
      </c>
      <c r="CG45" s="17">
        <v>776.01199999999994</v>
      </c>
      <c r="CH45" s="17">
        <v>698.39</v>
      </c>
      <c r="CI45" s="17">
        <v>623.07899999999995</v>
      </c>
      <c r="CJ45" s="17">
        <v>550.16499999999996</v>
      </c>
      <c r="CK45" s="17">
        <v>480.19900000000001</v>
      </c>
      <c r="CL45" s="17">
        <v>409.79399999999998</v>
      </c>
      <c r="CM45" s="17">
        <v>350.81599999999997</v>
      </c>
      <c r="CN45" s="17">
        <v>301.33499999999998</v>
      </c>
      <c r="CO45" s="17">
        <v>246.07599999999999</v>
      </c>
      <c r="CP45" s="17">
        <v>185.79499999999999</v>
      </c>
      <c r="CQ45" s="17">
        <v>136.69399999999999</v>
      </c>
      <c r="CR45" s="17">
        <v>107.15</v>
      </c>
      <c r="CS45" s="17">
        <v>88.46</v>
      </c>
      <c r="CT45" s="17">
        <v>67.983999999999995</v>
      </c>
      <c r="CU45" s="17">
        <v>45.720999999999997</v>
      </c>
      <c r="CV45" s="17">
        <v>33.703000000000003</v>
      </c>
      <c r="CW45" s="17">
        <v>19.873000000000001</v>
      </c>
      <c r="CX45" s="17">
        <v>36.386000000000003</v>
      </c>
      <c r="CY45" s="3">
        <f t="shared" si="4"/>
        <v>259532.12999999995</v>
      </c>
      <c r="CZ45" s="3">
        <f>SUM(AE45:AW45)</f>
        <v>77596.904999999999</v>
      </c>
      <c r="DA45" s="3">
        <f t="shared" si="5"/>
        <v>0.29898766291479983</v>
      </c>
      <c r="DB45" s="3">
        <f>SUM(T45:AD45)</f>
        <v>41897.86</v>
      </c>
      <c r="DC45" s="3">
        <f t="shared" si="8"/>
        <v>0.16143611968198315</v>
      </c>
      <c r="DF45" s="3">
        <f>SUM(AX45:BP45)</f>
        <v>43402.708000000006</v>
      </c>
      <c r="DG45" s="3">
        <f t="shared" si="2"/>
        <v>0.16723443066567525</v>
      </c>
      <c r="DH45">
        <f>SUM(BP45:CP45)</f>
        <v>30377.009000000002</v>
      </c>
      <c r="DI45" s="9">
        <f t="shared" si="3"/>
        <v>0.11704527296870722</v>
      </c>
      <c r="DJ45" s="7">
        <v>0.11704527296870722</v>
      </c>
      <c r="DK45" s="7">
        <v>0.16723443066567525</v>
      </c>
      <c r="DL45" s="7">
        <v>0.29898766291479983</v>
      </c>
      <c r="DM45" s="7"/>
      <c r="DN45" s="7"/>
      <c r="DO45" s="10">
        <f t="shared" si="7"/>
        <v>0.58326736654918232</v>
      </c>
    </row>
    <row r="46" spans="1:119">
      <c r="A46" s="4">
        <v>1994</v>
      </c>
      <c r="B46" s="17">
        <v>4030.6190000000001</v>
      </c>
      <c r="C46" s="17">
        <v>4008.134</v>
      </c>
      <c r="D46" s="17">
        <v>3983.299</v>
      </c>
      <c r="E46" s="17">
        <v>3956.5160000000001</v>
      </c>
      <c r="F46" s="17">
        <v>3949.56</v>
      </c>
      <c r="G46" s="17">
        <v>3921.982</v>
      </c>
      <c r="H46" s="17">
        <v>3892.44</v>
      </c>
      <c r="I46" s="17">
        <v>3861.4749999999999</v>
      </c>
      <c r="J46" s="17">
        <v>3829.6260000000002</v>
      </c>
      <c r="K46" s="17">
        <v>3797.7910000000002</v>
      </c>
      <c r="L46" s="17">
        <v>3766.8620000000001</v>
      </c>
      <c r="M46" s="17">
        <v>3735.61</v>
      </c>
      <c r="N46" s="17">
        <v>3703.8670000000002</v>
      </c>
      <c r="O46" s="17">
        <v>3673.2359999999999</v>
      </c>
      <c r="P46" s="17">
        <v>3646.56</v>
      </c>
      <c r="Q46" s="17">
        <v>3624.5590000000002</v>
      </c>
      <c r="R46" s="17">
        <v>3606.8879999999999</v>
      </c>
      <c r="S46" s="17">
        <v>3594.087</v>
      </c>
      <c r="T46" s="17">
        <v>3587.585</v>
      </c>
      <c r="U46" s="17">
        <v>3587.442</v>
      </c>
      <c r="V46" s="17">
        <v>3592.6619999999998</v>
      </c>
      <c r="W46" s="17">
        <v>3613.605</v>
      </c>
      <c r="X46" s="17">
        <v>3655.1280000000002</v>
      </c>
      <c r="Y46" s="17">
        <v>3712.6239999999998</v>
      </c>
      <c r="Z46" s="17">
        <v>3771.855</v>
      </c>
      <c r="AA46" s="17">
        <v>3829.942</v>
      </c>
      <c r="AB46" s="17">
        <v>3907.7159999999999</v>
      </c>
      <c r="AC46" s="17">
        <v>4012.2620000000002</v>
      </c>
      <c r="AD46" s="17">
        <v>4130.902</v>
      </c>
      <c r="AE46" s="17">
        <v>4243.5050000000001</v>
      </c>
      <c r="AF46" s="17">
        <v>4353.6530000000002</v>
      </c>
      <c r="AG46" s="17">
        <v>4438.5069999999996</v>
      </c>
      <c r="AH46" s="17">
        <v>4484.4859999999999</v>
      </c>
      <c r="AI46" s="17">
        <v>4500.027</v>
      </c>
      <c r="AJ46" s="17">
        <v>4509.7879999999996</v>
      </c>
      <c r="AK46" s="17">
        <v>4512.0029999999997</v>
      </c>
      <c r="AL46" s="17">
        <v>4486.8609999999999</v>
      </c>
      <c r="AM46" s="17">
        <v>4427.9759999999997</v>
      </c>
      <c r="AN46" s="17">
        <v>4344.0039999999999</v>
      </c>
      <c r="AO46" s="17">
        <v>4249.393</v>
      </c>
      <c r="AP46" s="17">
        <v>4140.5479999999998</v>
      </c>
      <c r="AQ46" s="17">
        <v>4033.2280000000001</v>
      </c>
      <c r="AR46" s="17">
        <v>3936.5210000000002</v>
      </c>
      <c r="AS46" s="17">
        <v>3843.39</v>
      </c>
      <c r="AT46" s="17">
        <v>3741.79</v>
      </c>
      <c r="AU46" s="17">
        <v>3639.0329999999999</v>
      </c>
      <c r="AV46" s="17">
        <v>3514.3910000000001</v>
      </c>
      <c r="AW46" s="17">
        <v>3357.931</v>
      </c>
      <c r="AX46" s="17">
        <v>3183.0830000000001</v>
      </c>
      <c r="AY46" s="17">
        <v>3012.6709999999998</v>
      </c>
      <c r="AZ46" s="17">
        <v>2841.4780000000001</v>
      </c>
      <c r="BA46" s="17">
        <v>2692.058</v>
      </c>
      <c r="BB46" s="17">
        <v>2577.7510000000002</v>
      </c>
      <c r="BC46" s="17">
        <v>2488.759</v>
      </c>
      <c r="BD46" s="17">
        <v>2401.828</v>
      </c>
      <c r="BE46" s="17">
        <v>2321.4720000000002</v>
      </c>
      <c r="BF46" s="17">
        <v>2249.6280000000002</v>
      </c>
      <c r="BG46" s="17">
        <v>2184.895</v>
      </c>
      <c r="BH46" s="17">
        <v>2128.0169999999998</v>
      </c>
      <c r="BI46" s="17">
        <v>2077.9470000000001</v>
      </c>
      <c r="BJ46" s="17">
        <v>2031.06</v>
      </c>
      <c r="BK46" s="17">
        <v>2002.229</v>
      </c>
      <c r="BL46" s="17">
        <v>1997.5070000000001</v>
      </c>
      <c r="BM46" s="17">
        <v>2007.53</v>
      </c>
      <c r="BN46" s="17">
        <v>2016.6890000000001</v>
      </c>
      <c r="BO46" s="17">
        <v>2027.8720000000001</v>
      </c>
      <c r="BP46" s="17">
        <v>2025.9590000000001</v>
      </c>
      <c r="BQ46" s="17">
        <v>2001.748</v>
      </c>
      <c r="BR46" s="17">
        <v>1961.049</v>
      </c>
      <c r="BS46" s="17">
        <v>1920.143</v>
      </c>
      <c r="BT46" s="17">
        <v>1877.298</v>
      </c>
      <c r="BU46" s="17">
        <v>1821.9860000000001</v>
      </c>
      <c r="BV46" s="17">
        <v>1751.0809999999999</v>
      </c>
      <c r="BW46" s="17">
        <v>1668.7860000000001</v>
      </c>
      <c r="BX46" s="17">
        <v>1583.3430000000001</v>
      </c>
      <c r="BY46" s="17">
        <v>1494.194</v>
      </c>
      <c r="BZ46" s="17">
        <v>1402.96</v>
      </c>
      <c r="CA46" s="17">
        <v>1311.6369999999999</v>
      </c>
      <c r="CB46" s="17">
        <v>1220.4090000000001</v>
      </c>
      <c r="CC46" s="17">
        <v>1127.5360000000001</v>
      </c>
      <c r="CD46" s="17">
        <v>1033.4549999999999</v>
      </c>
      <c r="CE46" s="17">
        <v>943.61199999999997</v>
      </c>
      <c r="CF46" s="17">
        <v>860.58699999999999</v>
      </c>
      <c r="CG46" s="17">
        <v>782.78200000000004</v>
      </c>
      <c r="CH46" s="17">
        <v>706.44799999999998</v>
      </c>
      <c r="CI46" s="17">
        <v>632.84299999999996</v>
      </c>
      <c r="CJ46" s="17">
        <v>561.12800000000004</v>
      </c>
      <c r="CK46" s="17">
        <v>490.67700000000002</v>
      </c>
      <c r="CL46" s="17">
        <v>422.61399999999998</v>
      </c>
      <c r="CM46" s="17">
        <v>353.29399999999998</v>
      </c>
      <c r="CN46" s="17">
        <v>298.06400000000002</v>
      </c>
      <c r="CO46" s="17">
        <v>255.00899999999999</v>
      </c>
      <c r="CP46" s="17">
        <v>204.06700000000001</v>
      </c>
      <c r="CQ46" s="17">
        <v>145.619</v>
      </c>
      <c r="CR46" s="17">
        <v>103.621</v>
      </c>
      <c r="CS46" s="17">
        <v>83.396000000000001</v>
      </c>
      <c r="CT46" s="17">
        <v>68.096999999999994</v>
      </c>
      <c r="CU46" s="17">
        <v>51.401000000000003</v>
      </c>
      <c r="CV46" s="17">
        <v>33.308</v>
      </c>
      <c r="CW46" s="17">
        <v>20.331</v>
      </c>
      <c r="CX46" s="17">
        <v>38.378999999999998</v>
      </c>
      <c r="CY46" s="3">
        <f t="shared" si="4"/>
        <v>262241.20400000009</v>
      </c>
      <c r="CZ46" s="3">
        <f>SUM(AF46:AX46)</f>
        <v>77696.613000000012</v>
      </c>
      <c r="DA46" s="3">
        <f t="shared" si="5"/>
        <v>0.29627919569801847</v>
      </c>
      <c r="DB46" s="3">
        <f>SUM(T46:AE46)</f>
        <v>45645.227999999996</v>
      </c>
      <c r="DC46" s="3">
        <f t="shared" si="8"/>
        <v>0.17405818499826586</v>
      </c>
      <c r="DF46" s="3">
        <f>SUM(AY46:BQ46)</f>
        <v>43087.098000000005</v>
      </c>
      <c r="DG46" s="3">
        <f t="shared" si="2"/>
        <v>0.16430331062696002</v>
      </c>
      <c r="DH46">
        <f>SUM(BQ46:CQ46)</f>
        <v>28832.368999999999</v>
      </c>
      <c r="DI46" s="9">
        <f t="shared" si="3"/>
        <v>0.10994599079098184</v>
      </c>
      <c r="DJ46" s="7">
        <v>0.10994599079098184</v>
      </c>
      <c r="DK46" s="7">
        <v>0.16430331062696002</v>
      </c>
      <c r="DL46" s="7">
        <v>0.29627919569801847</v>
      </c>
      <c r="DM46" s="7"/>
      <c r="DN46" s="7"/>
      <c r="DO46" s="10">
        <f t="shared" si="7"/>
        <v>0.57052849711596032</v>
      </c>
    </row>
    <row r="47" spans="1:119">
      <c r="A47" s="4">
        <v>1995</v>
      </c>
      <c r="B47" s="17">
        <v>4006.4290000000001</v>
      </c>
      <c r="C47" s="17">
        <v>4004.2190000000001</v>
      </c>
      <c r="D47" s="17">
        <v>3997.373</v>
      </c>
      <c r="E47" s="17">
        <v>3986.3449999999998</v>
      </c>
      <c r="F47" s="17">
        <v>3971.5909999999999</v>
      </c>
      <c r="G47" s="17">
        <v>3953.567</v>
      </c>
      <c r="H47" s="17">
        <v>3932.7280000000001</v>
      </c>
      <c r="I47" s="17">
        <v>3909.5309999999999</v>
      </c>
      <c r="J47" s="17">
        <v>3884.431</v>
      </c>
      <c r="K47" s="17">
        <v>3857.8820000000001</v>
      </c>
      <c r="L47" s="17">
        <v>3830.7849999999999</v>
      </c>
      <c r="M47" s="17">
        <v>3804.038</v>
      </c>
      <c r="N47" s="17">
        <v>3775.8789999999999</v>
      </c>
      <c r="O47" s="17">
        <v>3745.8780000000002</v>
      </c>
      <c r="P47" s="17">
        <v>3715.8209999999999</v>
      </c>
      <c r="Q47" s="17">
        <v>3689.3510000000001</v>
      </c>
      <c r="R47" s="17">
        <v>3667.4520000000002</v>
      </c>
      <c r="S47" s="17">
        <v>3647.9389999999999</v>
      </c>
      <c r="T47" s="17">
        <v>3630.654</v>
      </c>
      <c r="U47" s="17">
        <v>3618.0819999999999</v>
      </c>
      <c r="V47" s="17">
        <v>3612.029</v>
      </c>
      <c r="W47" s="17">
        <v>3611.1379999999999</v>
      </c>
      <c r="X47" s="17">
        <v>3627.6030000000001</v>
      </c>
      <c r="Y47" s="17">
        <v>3667.3710000000001</v>
      </c>
      <c r="Z47" s="17">
        <v>3725.0909999999999</v>
      </c>
      <c r="AA47" s="17">
        <v>3784.1660000000002</v>
      </c>
      <c r="AB47" s="17">
        <v>3841.56</v>
      </c>
      <c r="AC47" s="17">
        <v>3921.0279999999998</v>
      </c>
      <c r="AD47" s="17">
        <v>4030.6709999999998</v>
      </c>
      <c r="AE47" s="17">
        <v>4156.2569999999996</v>
      </c>
      <c r="AF47" s="17">
        <v>4275.5600000000004</v>
      </c>
      <c r="AG47" s="17">
        <v>4393.1459999999997</v>
      </c>
      <c r="AH47" s="17">
        <v>4481.1840000000002</v>
      </c>
      <c r="AI47" s="17">
        <v>4523.5789999999997</v>
      </c>
      <c r="AJ47" s="17">
        <v>4531.2290000000003</v>
      </c>
      <c r="AK47" s="17">
        <v>4533.6059999999998</v>
      </c>
      <c r="AL47" s="17">
        <v>4527.7839999999997</v>
      </c>
      <c r="AM47" s="17">
        <v>4496.6080000000002</v>
      </c>
      <c r="AN47" s="17">
        <v>4435.4390000000003</v>
      </c>
      <c r="AO47" s="17">
        <v>4351.491</v>
      </c>
      <c r="AP47" s="17">
        <v>4256.2910000000002</v>
      </c>
      <c r="AQ47" s="17">
        <v>4147.1350000000002</v>
      </c>
      <c r="AR47" s="17">
        <v>4038.14</v>
      </c>
      <c r="AS47" s="17">
        <v>3937.377</v>
      </c>
      <c r="AT47" s="17">
        <v>3838.9169999999999</v>
      </c>
      <c r="AU47" s="17">
        <v>3732.4839999999999</v>
      </c>
      <c r="AV47" s="17">
        <v>3624.616</v>
      </c>
      <c r="AW47" s="17">
        <v>3497.4589999999998</v>
      </c>
      <c r="AX47" s="17">
        <v>3342.5529999999999</v>
      </c>
      <c r="AY47" s="17">
        <v>3171.7629999999999</v>
      </c>
      <c r="AZ47" s="17">
        <v>3005.049</v>
      </c>
      <c r="BA47" s="17">
        <v>2837.9760000000001</v>
      </c>
      <c r="BB47" s="17">
        <v>2690.74</v>
      </c>
      <c r="BC47" s="17">
        <v>2575.2829999999999</v>
      </c>
      <c r="BD47" s="17">
        <v>2483.0300000000002</v>
      </c>
      <c r="BE47" s="17">
        <v>2393.2530000000002</v>
      </c>
      <c r="BF47" s="17">
        <v>2309.8490000000002</v>
      </c>
      <c r="BG47" s="17">
        <v>2235.7350000000001</v>
      </c>
      <c r="BH47" s="17">
        <v>2170.2139999999999</v>
      </c>
      <c r="BI47" s="17">
        <v>2113.4110000000001</v>
      </c>
      <c r="BJ47" s="17">
        <v>2062.9389999999999</v>
      </c>
      <c r="BK47" s="17">
        <v>2015.4290000000001</v>
      </c>
      <c r="BL47" s="17">
        <v>1985.5170000000001</v>
      </c>
      <c r="BM47" s="17">
        <v>1979.0029999999999</v>
      </c>
      <c r="BN47" s="17">
        <v>1986.6769999999999</v>
      </c>
      <c r="BO47" s="17">
        <v>1993.528</v>
      </c>
      <c r="BP47" s="17">
        <v>2002.5550000000001</v>
      </c>
      <c r="BQ47" s="17">
        <v>1997.548</v>
      </c>
      <c r="BR47" s="17">
        <v>1968.8989999999999</v>
      </c>
      <c r="BS47" s="17">
        <v>1923.008</v>
      </c>
      <c r="BT47" s="17">
        <v>1876.9349999999999</v>
      </c>
      <c r="BU47" s="17">
        <v>1828.5429999999999</v>
      </c>
      <c r="BV47" s="17">
        <v>1769.298</v>
      </c>
      <c r="BW47" s="17">
        <v>1697.0640000000001</v>
      </c>
      <c r="BX47" s="17">
        <v>1615.0319999999999</v>
      </c>
      <c r="BY47" s="17">
        <v>1529.758</v>
      </c>
      <c r="BZ47" s="17">
        <v>1441.4069999999999</v>
      </c>
      <c r="CA47" s="17">
        <v>1349.134</v>
      </c>
      <c r="CB47" s="17">
        <v>1253.6659999999999</v>
      </c>
      <c r="CC47" s="17">
        <v>1156.5650000000001</v>
      </c>
      <c r="CD47" s="17">
        <v>1058.546</v>
      </c>
      <c r="CE47" s="17">
        <v>959.31799999999998</v>
      </c>
      <c r="CF47" s="17">
        <v>866.70299999999997</v>
      </c>
      <c r="CG47" s="17">
        <v>784.63199999999995</v>
      </c>
      <c r="CH47" s="17">
        <v>710.27700000000004</v>
      </c>
      <c r="CI47" s="17">
        <v>637.36199999999997</v>
      </c>
      <c r="CJ47" s="17">
        <v>567.71900000000005</v>
      </c>
      <c r="CK47" s="17">
        <v>499.54599999999999</v>
      </c>
      <c r="CL47" s="17">
        <v>431.505</v>
      </c>
      <c r="CM47" s="17">
        <v>365.29199999999997</v>
      </c>
      <c r="CN47" s="17">
        <v>297.00099999999998</v>
      </c>
      <c r="CO47" s="17">
        <v>245.48</v>
      </c>
      <c r="CP47" s="17">
        <v>208.82300000000001</v>
      </c>
      <c r="CQ47" s="17">
        <v>162.16399999999999</v>
      </c>
      <c r="CR47" s="17">
        <v>105.504</v>
      </c>
      <c r="CS47" s="17">
        <v>70.584999999999994</v>
      </c>
      <c r="CT47" s="17">
        <v>59.676000000000002</v>
      </c>
      <c r="CU47" s="17">
        <v>47.76</v>
      </c>
      <c r="CV47" s="17">
        <v>34.835999999999999</v>
      </c>
      <c r="CW47" s="17">
        <v>20.905000000000001</v>
      </c>
      <c r="CX47" s="17">
        <v>39.811999999999998</v>
      </c>
      <c r="CY47" s="3">
        <f t="shared" si="4"/>
        <v>265163.74099999998</v>
      </c>
      <c r="CZ47" s="3">
        <f>SUM(AG47:AY47)</f>
        <v>77860.801000000007</v>
      </c>
      <c r="DA47" s="3">
        <f t="shared" si="5"/>
        <v>0.29363291039101763</v>
      </c>
      <c r="DB47" s="3">
        <f>SUM(T47:AF47)</f>
        <v>49501.209999999992</v>
      </c>
      <c r="DC47" s="3">
        <f t="shared" si="8"/>
        <v>0.18668167002516378</v>
      </c>
      <c r="DF47" s="3">
        <f>SUM(AZ47:BR47)</f>
        <v>42806.635000000002</v>
      </c>
      <c r="DG47" s="3">
        <f t="shared" si="2"/>
        <v>0.16143472270592232</v>
      </c>
      <c r="DH47">
        <f>SUM(BR47:CR47)</f>
        <v>27309.181000000008</v>
      </c>
      <c r="DI47" s="9">
        <f t="shared" si="3"/>
        <v>0.10298987673431569</v>
      </c>
      <c r="DJ47" s="7">
        <v>0.10298987673431569</v>
      </c>
      <c r="DK47" s="7">
        <v>0.16143472270592232</v>
      </c>
      <c r="DL47" s="7">
        <v>0.29363291039101763</v>
      </c>
      <c r="DM47" s="7"/>
      <c r="DN47" s="7"/>
      <c r="DO47" s="10">
        <f t="shared" si="7"/>
        <v>0.55805750983125568</v>
      </c>
    </row>
    <row r="48" spans="1:119">
      <c r="A48" s="4">
        <v>1996</v>
      </c>
      <c r="B48" s="17">
        <v>3941.7629999999999</v>
      </c>
      <c r="C48" s="17">
        <v>4027.3429999999998</v>
      </c>
      <c r="D48" s="17">
        <v>4032.654</v>
      </c>
      <c r="E48" s="17">
        <v>4031.7779999999998</v>
      </c>
      <c r="F48" s="17">
        <v>4025.3110000000001</v>
      </c>
      <c r="G48" s="17">
        <v>4013.8539999999998</v>
      </c>
      <c r="H48" s="17">
        <v>3997.951</v>
      </c>
      <c r="I48" s="17">
        <v>3978.15</v>
      </c>
      <c r="J48" s="17">
        <v>3955.3130000000001</v>
      </c>
      <c r="K48" s="17">
        <v>3930.1480000000001</v>
      </c>
      <c r="L48" s="17">
        <v>3903.0920000000001</v>
      </c>
      <c r="M48" s="17">
        <v>3874.998</v>
      </c>
      <c r="N48" s="17">
        <v>3847.0410000000002</v>
      </c>
      <c r="O48" s="17">
        <v>3816.9450000000002</v>
      </c>
      <c r="P48" s="17">
        <v>3784.11</v>
      </c>
      <c r="Q48" s="17">
        <v>3750.8029999999999</v>
      </c>
      <c r="R48" s="17">
        <v>3721.0129999999999</v>
      </c>
      <c r="S48" s="17">
        <v>3695.2869999999998</v>
      </c>
      <c r="T48" s="17">
        <v>3674.1709999999998</v>
      </c>
      <c r="U48" s="17">
        <v>3658.7860000000001</v>
      </c>
      <c r="V48" s="17">
        <v>3650.2489999999998</v>
      </c>
      <c r="W48" s="17">
        <v>3647.7510000000002</v>
      </c>
      <c r="X48" s="17">
        <v>3650.4850000000001</v>
      </c>
      <c r="Y48" s="17">
        <v>3669.2049999999999</v>
      </c>
      <c r="Z48" s="17">
        <v>3708.884</v>
      </c>
      <c r="AA48" s="17">
        <v>3764.8609999999999</v>
      </c>
      <c r="AB48" s="17">
        <v>3822.3780000000002</v>
      </c>
      <c r="AC48" s="17">
        <v>3878.241</v>
      </c>
      <c r="AD48" s="17">
        <v>3955.1370000000002</v>
      </c>
      <c r="AE48" s="17">
        <v>4060.886</v>
      </c>
      <c r="AF48" s="17">
        <v>4181.7389999999996</v>
      </c>
      <c r="AG48" s="17">
        <v>4296.26</v>
      </c>
      <c r="AH48" s="17">
        <v>4408.8950000000004</v>
      </c>
      <c r="AI48" s="17">
        <v>4492.5659999999998</v>
      </c>
      <c r="AJ48" s="17">
        <v>4531.6440000000002</v>
      </c>
      <c r="AK48" s="17">
        <v>4536.768</v>
      </c>
      <c r="AL48" s="17">
        <v>4536.6270000000004</v>
      </c>
      <c r="AM48" s="17">
        <v>4528.3850000000002</v>
      </c>
      <c r="AN48" s="17">
        <v>4495.4930000000004</v>
      </c>
      <c r="AO48" s="17">
        <v>4433.5119999999997</v>
      </c>
      <c r="AP48" s="17">
        <v>4349.4319999999998</v>
      </c>
      <c r="AQ48" s="17">
        <v>4254.1459999999997</v>
      </c>
      <c r="AR48" s="17">
        <v>4144.8379999999997</v>
      </c>
      <c r="AS48" s="17">
        <v>4036.3890000000001</v>
      </c>
      <c r="AT48" s="17">
        <v>3937.114</v>
      </c>
      <c r="AU48" s="17">
        <v>3840.5839999999998</v>
      </c>
      <c r="AV48" s="17">
        <v>3736.0619999999999</v>
      </c>
      <c r="AW48" s="17">
        <v>3630.5120000000002</v>
      </c>
      <c r="AX48" s="17">
        <v>3503.625</v>
      </c>
      <c r="AY48" s="17">
        <v>3345.7759999999998</v>
      </c>
      <c r="AZ48" s="17">
        <v>3170.07</v>
      </c>
      <c r="BA48" s="17">
        <v>2998.6790000000001</v>
      </c>
      <c r="BB48" s="17">
        <v>2826.5030000000002</v>
      </c>
      <c r="BC48" s="17">
        <v>2675.8539999999998</v>
      </c>
      <c r="BD48" s="17">
        <v>2559.8870000000002</v>
      </c>
      <c r="BE48" s="17">
        <v>2468.904</v>
      </c>
      <c r="BF48" s="17">
        <v>2379.8449999999998</v>
      </c>
      <c r="BG48" s="17">
        <v>2297.0610000000001</v>
      </c>
      <c r="BH48" s="17">
        <v>2222.875</v>
      </c>
      <c r="BI48" s="17">
        <v>2156.0529999999999</v>
      </c>
      <c r="BJ48" s="17">
        <v>2097.056</v>
      </c>
      <c r="BK48" s="17">
        <v>2044.5229999999999</v>
      </c>
      <c r="BL48" s="17">
        <v>1995.069</v>
      </c>
      <c r="BM48" s="17">
        <v>1962.298</v>
      </c>
      <c r="BN48" s="17">
        <v>1951.6579999999999</v>
      </c>
      <c r="BO48" s="17">
        <v>1954.4349999999999</v>
      </c>
      <c r="BP48" s="17">
        <v>1956.3869999999999</v>
      </c>
      <c r="BQ48" s="17">
        <v>1960.271</v>
      </c>
      <c r="BR48" s="17">
        <v>1951.009</v>
      </c>
      <c r="BS48" s="17">
        <v>1919.61</v>
      </c>
      <c r="BT48" s="17">
        <v>1871.94</v>
      </c>
      <c r="BU48" s="17">
        <v>1824.0170000000001</v>
      </c>
      <c r="BV48" s="17">
        <v>1774.04</v>
      </c>
      <c r="BW48" s="17">
        <v>1712.7370000000001</v>
      </c>
      <c r="BX48" s="17">
        <v>1637.547</v>
      </c>
      <c r="BY48" s="17">
        <v>1552.1189999999999</v>
      </c>
      <c r="BZ48" s="17">
        <v>1463.904</v>
      </c>
      <c r="CA48" s="17">
        <v>1372.893</v>
      </c>
      <c r="CB48" s="17">
        <v>1278.665</v>
      </c>
      <c r="CC48" s="17">
        <v>1182.251</v>
      </c>
      <c r="CD48" s="17">
        <v>1085.019</v>
      </c>
      <c r="CE48" s="17">
        <v>987.17600000000004</v>
      </c>
      <c r="CF48" s="17">
        <v>888.52</v>
      </c>
      <c r="CG48" s="17">
        <v>797.05</v>
      </c>
      <c r="CH48" s="17">
        <v>716.73500000000001</v>
      </c>
      <c r="CI48" s="17">
        <v>644.70600000000002</v>
      </c>
      <c r="CJ48" s="17">
        <v>573.28599999999994</v>
      </c>
      <c r="CK48" s="17">
        <v>507.98099999999999</v>
      </c>
      <c r="CL48" s="17">
        <v>445.77600000000001</v>
      </c>
      <c r="CM48" s="17">
        <v>381.61599999999999</v>
      </c>
      <c r="CN48" s="17">
        <v>316.85899999999998</v>
      </c>
      <c r="CO48" s="17">
        <v>254.92500000000001</v>
      </c>
      <c r="CP48" s="17">
        <v>211.316</v>
      </c>
      <c r="CQ48" s="17">
        <v>179.11</v>
      </c>
      <c r="CR48" s="17">
        <v>138.42699999999999</v>
      </c>
      <c r="CS48" s="17">
        <v>89.266999999999996</v>
      </c>
      <c r="CT48" s="17">
        <v>62.131999999999998</v>
      </c>
      <c r="CU48" s="17">
        <v>49.732999999999997</v>
      </c>
      <c r="CV48" s="17">
        <v>36.210999999999999</v>
      </c>
      <c r="CW48" s="17">
        <v>21.567</v>
      </c>
      <c r="CX48" s="17">
        <v>40.481000000000002</v>
      </c>
      <c r="CY48" s="3">
        <f t="shared" si="4"/>
        <v>268335.00799999997</v>
      </c>
      <c r="CZ48" s="3">
        <f>SUM(AH48:AZ48)</f>
        <v>77912.438000000024</v>
      </c>
      <c r="DA48" s="3">
        <f t="shared" si="5"/>
        <v>0.29035509969686857</v>
      </c>
      <c r="DB48" s="3">
        <f>SUM(T48:AG48)</f>
        <v>53619.033000000003</v>
      </c>
      <c r="DC48" s="3">
        <f t="shared" si="8"/>
        <v>0.19982123614672004</v>
      </c>
      <c r="DF48" s="3">
        <f>SUM(BA48:BS48)</f>
        <v>42377.976999999999</v>
      </c>
      <c r="DG48" s="3">
        <f t="shared" si="2"/>
        <v>0.15792936343214675</v>
      </c>
      <c r="DH48">
        <f>SUM(BS48:CS48)</f>
        <v>25807.492000000002</v>
      </c>
      <c r="DI48" s="9">
        <f t="shared" si="3"/>
        <v>9.6176388583632005E-2</v>
      </c>
      <c r="DJ48" s="7">
        <v>9.6176388583632005E-2</v>
      </c>
      <c r="DK48" s="7">
        <v>0.15792936343214675</v>
      </c>
      <c r="DL48" s="7">
        <v>0.29035509969686857</v>
      </c>
      <c r="DM48" s="7"/>
      <c r="DN48" s="7"/>
      <c r="DO48" s="10">
        <f t="shared" si="7"/>
        <v>0.54446085171264735</v>
      </c>
    </row>
    <row r="49" spans="1:119">
      <c r="A49" s="4">
        <v>1997</v>
      </c>
      <c r="B49" s="17">
        <v>3855.01</v>
      </c>
      <c r="C49" s="17">
        <v>3924.8139999999999</v>
      </c>
      <c r="D49" s="17">
        <v>4052.8939999999998</v>
      </c>
      <c r="E49" s="17">
        <v>4065.732</v>
      </c>
      <c r="F49" s="17">
        <v>4070.8229999999999</v>
      </c>
      <c r="G49" s="17">
        <v>4068.9110000000001</v>
      </c>
      <c r="H49" s="17">
        <v>4060.7370000000001</v>
      </c>
      <c r="I49" s="17">
        <v>4046.9389999999999</v>
      </c>
      <c r="J49" s="17">
        <v>4028.1489999999999</v>
      </c>
      <c r="K49" s="17">
        <v>4005.6469999999999</v>
      </c>
      <c r="L49" s="17">
        <v>3980.3879999999999</v>
      </c>
      <c r="M49" s="17">
        <v>3952.7939999999999</v>
      </c>
      <c r="N49" s="17">
        <v>3923.672</v>
      </c>
      <c r="O49" s="17">
        <v>3894.471</v>
      </c>
      <c r="P49" s="17">
        <v>3862.404</v>
      </c>
      <c r="Q49" s="17">
        <v>3826.6970000000001</v>
      </c>
      <c r="R49" s="17">
        <v>3790.1019999999999</v>
      </c>
      <c r="S49" s="17">
        <v>3756.9589999999998</v>
      </c>
      <c r="T49" s="17">
        <v>3727.3760000000002</v>
      </c>
      <c r="U49" s="17">
        <v>3704.6320000000001</v>
      </c>
      <c r="V49" s="17">
        <v>3691.1280000000002</v>
      </c>
      <c r="W49" s="17">
        <v>3686.6179999999999</v>
      </c>
      <c r="X49" s="17">
        <v>3687.672</v>
      </c>
      <c r="Y49" s="17">
        <v>3694.0340000000001</v>
      </c>
      <c r="Z49" s="17">
        <v>3715.0309999999999</v>
      </c>
      <c r="AA49" s="17">
        <v>3754.6669999999999</v>
      </c>
      <c r="AB49" s="17">
        <v>3808.9639999999999</v>
      </c>
      <c r="AC49" s="17">
        <v>3864.989</v>
      </c>
      <c r="AD49" s="17">
        <v>3919.3850000000002</v>
      </c>
      <c r="AE49" s="17">
        <v>3993.7979999999998</v>
      </c>
      <c r="AF49" s="17">
        <v>4095.7759999999998</v>
      </c>
      <c r="AG49" s="17">
        <v>4212.0339999999997</v>
      </c>
      <c r="AH49" s="17">
        <v>4321.9049999999997</v>
      </c>
      <c r="AI49" s="17">
        <v>4429.7179999999998</v>
      </c>
      <c r="AJ49" s="17">
        <v>4509.1180000000004</v>
      </c>
      <c r="AK49" s="17">
        <v>4544.924</v>
      </c>
      <c r="AL49" s="17">
        <v>4547.53</v>
      </c>
      <c r="AM49" s="17">
        <v>4544.8710000000001</v>
      </c>
      <c r="AN49" s="17">
        <v>4534.1980000000003</v>
      </c>
      <c r="AO49" s="17">
        <v>4499.5510000000004</v>
      </c>
      <c r="AP49" s="17">
        <v>4436.6890000000003</v>
      </c>
      <c r="AQ49" s="17">
        <v>4352.3789999999999</v>
      </c>
      <c r="AR49" s="17">
        <v>4256.8999999999996</v>
      </c>
      <c r="AS49" s="17">
        <v>4147.3119999999999</v>
      </c>
      <c r="AT49" s="17">
        <v>4039.2840000000001</v>
      </c>
      <c r="AU49" s="17">
        <v>3941.3829999999998</v>
      </c>
      <c r="AV49" s="17">
        <v>3846.672</v>
      </c>
      <c r="AW49" s="17">
        <v>3743.9409999999998</v>
      </c>
      <c r="AX49" s="17">
        <v>3640.5889999999999</v>
      </c>
      <c r="AY49" s="17">
        <v>3513.8249999999998</v>
      </c>
      <c r="AZ49" s="17">
        <v>3352.8510000000001</v>
      </c>
      <c r="BA49" s="17">
        <v>3172.0259999999998</v>
      </c>
      <c r="BB49" s="17">
        <v>2995.761</v>
      </c>
      <c r="BC49" s="17">
        <v>2818.2829999999999</v>
      </c>
      <c r="BD49" s="17">
        <v>2664.05</v>
      </c>
      <c r="BE49" s="17">
        <v>2547.4369999999999</v>
      </c>
      <c r="BF49" s="17">
        <v>2457.6210000000001</v>
      </c>
      <c r="BG49" s="17">
        <v>2369.1799999999998</v>
      </c>
      <c r="BH49" s="17">
        <v>2286.9189999999999</v>
      </c>
      <c r="BI49" s="17">
        <v>2212.5729999999999</v>
      </c>
      <c r="BJ49" s="17">
        <v>2144.373</v>
      </c>
      <c r="BK49" s="17">
        <v>2083.1149999999998</v>
      </c>
      <c r="BL49" s="17">
        <v>2028.463</v>
      </c>
      <c r="BM49" s="17">
        <v>1977.0070000000001</v>
      </c>
      <c r="BN49" s="17">
        <v>1941.338</v>
      </c>
      <c r="BO49" s="17">
        <v>1926.5609999999999</v>
      </c>
      <c r="BP49" s="17">
        <v>1924.444</v>
      </c>
      <c r="BQ49" s="17">
        <v>1921.499</v>
      </c>
      <c r="BR49" s="17">
        <v>1920.2439999999999</v>
      </c>
      <c r="BS49" s="17">
        <v>1906.7180000000001</v>
      </c>
      <c r="BT49" s="17">
        <v>1872.5319999999999</v>
      </c>
      <c r="BU49" s="17">
        <v>1823.027</v>
      </c>
      <c r="BV49" s="17">
        <v>1773.202</v>
      </c>
      <c r="BW49" s="17">
        <v>1721.58</v>
      </c>
      <c r="BX49" s="17">
        <v>1658.15</v>
      </c>
      <c r="BY49" s="17">
        <v>1579.9159999999999</v>
      </c>
      <c r="BZ49" s="17">
        <v>1490.9949999999999</v>
      </c>
      <c r="CA49" s="17">
        <v>1399.7360000000001</v>
      </c>
      <c r="CB49" s="17">
        <v>1305.96</v>
      </c>
      <c r="CC49" s="17">
        <v>1209.67</v>
      </c>
      <c r="CD49" s="17">
        <v>1112.1990000000001</v>
      </c>
      <c r="CE49" s="17">
        <v>1014.723</v>
      </c>
      <c r="CF49" s="17">
        <v>916.94399999999996</v>
      </c>
      <c r="CG49" s="17">
        <v>818.74599999999998</v>
      </c>
      <c r="CH49" s="17">
        <v>728.31799999999998</v>
      </c>
      <c r="CI49" s="17">
        <v>649.66499999999996</v>
      </c>
      <c r="CJ49" s="17">
        <v>579.87800000000004</v>
      </c>
      <c r="CK49" s="17">
        <v>509.87299999999999</v>
      </c>
      <c r="CL49" s="17">
        <v>448.83100000000002</v>
      </c>
      <c r="CM49" s="17">
        <v>392.52100000000002</v>
      </c>
      <c r="CN49" s="17">
        <v>332.16899999999998</v>
      </c>
      <c r="CO49" s="17">
        <v>268.79199999999997</v>
      </c>
      <c r="CP49" s="17">
        <v>213.14500000000001</v>
      </c>
      <c r="CQ49" s="17">
        <v>177.39599999999999</v>
      </c>
      <c r="CR49" s="17">
        <v>149.60400000000001</v>
      </c>
      <c r="CS49" s="17">
        <v>114.85</v>
      </c>
      <c r="CT49" s="17">
        <v>73.135000000000005</v>
      </c>
      <c r="CU49" s="17">
        <v>52.497</v>
      </c>
      <c r="CV49" s="17">
        <v>38.118000000000002</v>
      </c>
      <c r="CW49" s="17">
        <v>22.349</v>
      </c>
      <c r="CX49" s="17">
        <v>40.613999999999997</v>
      </c>
      <c r="CY49" s="3">
        <f t="shared" si="4"/>
        <v>271713.63400000002</v>
      </c>
      <c r="CZ49" s="3">
        <f>SUM(AI49:BA49)</f>
        <v>78053.760999999984</v>
      </c>
      <c r="DA49" s="3">
        <f t="shared" si="5"/>
        <v>0.28726479363932095</v>
      </c>
      <c r="DB49" s="3">
        <f>SUM(T49:AH49)</f>
        <v>57878.009000000005</v>
      </c>
      <c r="DC49" s="3">
        <f t="shared" si="8"/>
        <v>0.21301105928309802</v>
      </c>
      <c r="DF49" s="3">
        <f>SUM(BB49:BT49)</f>
        <v>41998.118000000009</v>
      </c>
      <c r="DG49" s="3">
        <f t="shared" si="2"/>
        <v>0.15456757683348346</v>
      </c>
      <c r="DH49">
        <f>SUM(BT49:CT49)</f>
        <v>24335.556999999993</v>
      </c>
      <c r="DI49" s="9">
        <f t="shared" si="3"/>
        <v>8.9563253200610426E-2</v>
      </c>
      <c r="DJ49" s="7">
        <v>8.9563253200610426E-2</v>
      </c>
      <c r="DK49" s="7">
        <v>0.15456757683348346</v>
      </c>
      <c r="DL49" s="7">
        <v>0.28726479363932095</v>
      </c>
      <c r="DM49" s="7"/>
      <c r="DN49" s="7"/>
      <c r="DO49" s="10">
        <f t="shared" si="7"/>
        <v>0.53139562367341486</v>
      </c>
    </row>
    <row r="50" spans="1:119">
      <c r="A50" s="4">
        <v>1998</v>
      </c>
      <c r="B50" s="17">
        <v>3769.1640000000002</v>
      </c>
      <c r="C50" s="17">
        <v>3876.3879999999999</v>
      </c>
      <c r="D50" s="17">
        <v>3962.1019999999999</v>
      </c>
      <c r="E50" s="17">
        <v>4079.8159999999998</v>
      </c>
      <c r="F50" s="17">
        <v>4100.1970000000001</v>
      </c>
      <c r="G50" s="17">
        <v>4111.2669999999998</v>
      </c>
      <c r="H50" s="17">
        <v>4113.915</v>
      </c>
      <c r="I50" s="17">
        <v>4109.027</v>
      </c>
      <c r="J50" s="17">
        <v>4097.33</v>
      </c>
      <c r="K50" s="17">
        <v>4079.549</v>
      </c>
      <c r="L50" s="17">
        <v>4057.375</v>
      </c>
      <c r="M50" s="17">
        <v>4032.0129999999999</v>
      </c>
      <c r="N50" s="17">
        <v>4003.8710000000001</v>
      </c>
      <c r="O50" s="17">
        <v>3973.71</v>
      </c>
      <c r="P50" s="17">
        <v>3943.2539999999999</v>
      </c>
      <c r="Q50" s="17">
        <v>3909.203</v>
      </c>
      <c r="R50" s="17">
        <v>3870.6080000000002</v>
      </c>
      <c r="S50" s="17">
        <v>3830.7069999999999</v>
      </c>
      <c r="T50" s="17">
        <v>3794.194</v>
      </c>
      <c r="U50" s="17">
        <v>3760.7370000000001</v>
      </c>
      <c r="V50" s="17">
        <v>3736.357</v>
      </c>
      <c r="W50" s="17">
        <v>3724.7330000000002</v>
      </c>
      <c r="X50" s="17">
        <v>3724.2550000000001</v>
      </c>
      <c r="Y50" s="17">
        <v>3728.8670000000002</v>
      </c>
      <c r="Z50" s="17">
        <v>3738.864</v>
      </c>
      <c r="AA50" s="17">
        <v>3762.1480000000001</v>
      </c>
      <c r="AB50" s="17">
        <v>3801.7539999999999</v>
      </c>
      <c r="AC50" s="17">
        <v>3854.3879999999999</v>
      </c>
      <c r="AD50" s="17">
        <v>3908.9360000000001</v>
      </c>
      <c r="AE50" s="17">
        <v>3961.8809999999999</v>
      </c>
      <c r="AF50" s="17">
        <v>4033.8319999999999</v>
      </c>
      <c r="AG50" s="17">
        <v>4132.0659999999998</v>
      </c>
      <c r="AH50" s="17">
        <v>4243.7610000000004</v>
      </c>
      <c r="AI50" s="17">
        <v>4349.0110000000004</v>
      </c>
      <c r="AJ50" s="17">
        <v>4452.0309999999999</v>
      </c>
      <c r="AK50" s="17">
        <v>4527.1790000000001</v>
      </c>
      <c r="AL50" s="17">
        <v>4559.7209999999995</v>
      </c>
      <c r="AM50" s="17">
        <v>4559.8040000000001</v>
      </c>
      <c r="AN50" s="17">
        <v>4554.6229999999996</v>
      </c>
      <c r="AO50" s="17">
        <v>4541.5150000000003</v>
      </c>
      <c r="AP50" s="17">
        <v>4505.0990000000002</v>
      </c>
      <c r="AQ50" s="17">
        <v>4441.3310000000001</v>
      </c>
      <c r="AR50" s="17">
        <v>4356.7650000000003</v>
      </c>
      <c r="AS50" s="17">
        <v>4261.0600000000004</v>
      </c>
      <c r="AT50" s="17">
        <v>4151.1570000000002</v>
      </c>
      <c r="AU50" s="17">
        <v>4043.5160000000001</v>
      </c>
      <c r="AV50" s="17">
        <v>3946.9580000000001</v>
      </c>
      <c r="AW50" s="17">
        <v>3854.0369999999998</v>
      </c>
      <c r="AX50" s="17">
        <v>3753.067</v>
      </c>
      <c r="AY50" s="17">
        <v>3651.8820000000001</v>
      </c>
      <c r="AZ50" s="17">
        <v>3525.2</v>
      </c>
      <c r="BA50" s="17">
        <v>3361.0439999999999</v>
      </c>
      <c r="BB50" s="17">
        <v>3175.0320000000002</v>
      </c>
      <c r="BC50" s="17">
        <v>2993.828</v>
      </c>
      <c r="BD50" s="17">
        <v>2810.982</v>
      </c>
      <c r="BE50" s="17">
        <v>2653.1089999999999</v>
      </c>
      <c r="BF50" s="17">
        <v>2535.81</v>
      </c>
      <c r="BG50" s="17">
        <v>2447.1320000000001</v>
      </c>
      <c r="BH50" s="17">
        <v>2359.279</v>
      </c>
      <c r="BI50" s="17">
        <v>2277.5160000000001</v>
      </c>
      <c r="BJ50" s="17">
        <v>2202.9859999999999</v>
      </c>
      <c r="BK50" s="17">
        <v>2133.3850000000002</v>
      </c>
      <c r="BL50" s="17">
        <v>2069.8420000000001</v>
      </c>
      <c r="BM50" s="17">
        <v>2013.048</v>
      </c>
      <c r="BN50" s="17">
        <v>1959.5709999999999</v>
      </c>
      <c r="BO50" s="17">
        <v>1920.99</v>
      </c>
      <c r="BP50" s="17">
        <v>1902.0640000000001</v>
      </c>
      <c r="BQ50" s="17">
        <v>1895.046</v>
      </c>
      <c r="BR50" s="17">
        <v>1887.1969999999999</v>
      </c>
      <c r="BS50" s="17">
        <v>1880.7929999999999</v>
      </c>
      <c r="BT50" s="17">
        <v>1862.991</v>
      </c>
      <c r="BU50" s="17">
        <v>1826.0050000000001</v>
      </c>
      <c r="BV50" s="17">
        <v>1774.6469999999999</v>
      </c>
      <c r="BW50" s="17">
        <v>1722.8969999999999</v>
      </c>
      <c r="BX50" s="17">
        <v>1669.6130000000001</v>
      </c>
      <c r="BY50" s="17">
        <v>1604.0319999999999</v>
      </c>
      <c r="BZ50" s="17">
        <v>1522.7249999999999</v>
      </c>
      <c r="CA50" s="17">
        <v>1430.2750000000001</v>
      </c>
      <c r="CB50" s="17">
        <v>1335.94</v>
      </c>
      <c r="CC50" s="17">
        <v>1239.3630000000001</v>
      </c>
      <c r="CD50" s="17">
        <v>1140.9739999999999</v>
      </c>
      <c r="CE50" s="17">
        <v>1042.413</v>
      </c>
      <c r="CF50" s="17">
        <v>944.66300000000001</v>
      </c>
      <c r="CG50" s="17">
        <v>846.91300000000001</v>
      </c>
      <c r="CH50" s="17">
        <v>749.14099999999996</v>
      </c>
      <c r="CI50" s="17">
        <v>659.72699999999998</v>
      </c>
      <c r="CJ50" s="17">
        <v>582.71400000000006</v>
      </c>
      <c r="CK50" s="17">
        <v>515.149</v>
      </c>
      <c r="CL50" s="17">
        <v>446.53699999999998</v>
      </c>
      <c r="CM50" s="17">
        <v>389.74299999999999</v>
      </c>
      <c r="CN50" s="17">
        <v>339.32</v>
      </c>
      <c r="CO50" s="17">
        <v>282.76</v>
      </c>
      <c r="CP50" s="17">
        <v>220.745</v>
      </c>
      <c r="CQ50" s="17">
        <v>171.376</v>
      </c>
      <c r="CR50" s="17">
        <v>143.48599999999999</v>
      </c>
      <c r="CS50" s="17">
        <v>120.105</v>
      </c>
      <c r="CT50" s="17">
        <v>91.277000000000001</v>
      </c>
      <c r="CU50" s="17">
        <v>57.002000000000002</v>
      </c>
      <c r="CV50" s="17">
        <v>40.29</v>
      </c>
      <c r="CW50" s="17">
        <v>23.178000000000001</v>
      </c>
      <c r="CX50" s="17">
        <v>40.429000000000002</v>
      </c>
      <c r="CY50" s="3">
        <f t="shared" si="4"/>
        <v>275175.30900000007</v>
      </c>
      <c r="CZ50" s="3">
        <f>SUM(AJ50:BB50)</f>
        <v>78221.020999999993</v>
      </c>
      <c r="DA50" s="3">
        <f t="shared" si="5"/>
        <v>0.28425886495506753</v>
      </c>
      <c r="DB50" s="3">
        <f>SUM(T50:AI50)</f>
        <v>62255.784000000007</v>
      </c>
      <c r="DC50" s="3">
        <f t="shared" si="8"/>
        <v>0.22624044368748211</v>
      </c>
      <c r="DF50" s="3">
        <f>SUM(BC50:BU50)</f>
        <v>41631.574000000001</v>
      </c>
      <c r="DG50" s="3">
        <f t="shared" si="2"/>
        <v>0.15129109567021506</v>
      </c>
      <c r="DH50">
        <f>SUM(BU50:CU50)</f>
        <v>22869.541999999994</v>
      </c>
      <c r="DI50" s="9">
        <f t="shared" si="3"/>
        <v>8.3108989985725745E-2</v>
      </c>
      <c r="DJ50" s="7">
        <v>8.3108989985725745E-2</v>
      </c>
      <c r="DK50" s="7">
        <v>0.15129109567021506</v>
      </c>
      <c r="DL50" s="7">
        <v>0.28425886495506753</v>
      </c>
      <c r="DM50" s="7">
        <v>0.22624044368748211</v>
      </c>
      <c r="DN50" s="7"/>
      <c r="DO50" s="10">
        <f t="shared" si="7"/>
        <v>0.74489939429849039</v>
      </c>
    </row>
    <row r="51" spans="1:119">
      <c r="A51" s="4">
        <v>1999</v>
      </c>
      <c r="B51" s="17">
        <v>3716.2429999999999</v>
      </c>
      <c r="C51" s="17">
        <v>3841.9870000000001</v>
      </c>
      <c r="D51" s="17">
        <v>3944.6439999999998</v>
      </c>
      <c r="E51" s="17">
        <v>4025.9760000000001</v>
      </c>
      <c r="F51" s="17">
        <v>4103.7960000000003</v>
      </c>
      <c r="G51" s="17">
        <v>4131.7110000000002</v>
      </c>
      <c r="H51" s="17">
        <v>4148.76</v>
      </c>
      <c r="I51" s="17">
        <v>4155.9709999999995</v>
      </c>
      <c r="J51" s="17">
        <v>4154.3760000000002</v>
      </c>
      <c r="K51" s="17">
        <v>4144.79</v>
      </c>
      <c r="L51" s="17">
        <v>4128.0330000000004</v>
      </c>
      <c r="M51" s="17">
        <v>4106.2030000000004</v>
      </c>
      <c r="N51" s="17">
        <v>4080.7579999999998</v>
      </c>
      <c r="O51" s="17">
        <v>4052.087</v>
      </c>
      <c r="P51" s="17">
        <v>4020.9070000000002</v>
      </c>
      <c r="Q51" s="17">
        <v>3989.2170000000001</v>
      </c>
      <c r="R51" s="17">
        <v>3953.203</v>
      </c>
      <c r="S51" s="17">
        <v>3911.7460000000001</v>
      </c>
      <c r="T51" s="17">
        <v>3868.5650000000001</v>
      </c>
      <c r="U51" s="17">
        <v>3828.7060000000001</v>
      </c>
      <c r="V51" s="17">
        <v>3791.3969999999999</v>
      </c>
      <c r="W51" s="17">
        <v>3765.395</v>
      </c>
      <c r="X51" s="17">
        <v>3755.6610000000001</v>
      </c>
      <c r="Y51" s="17">
        <v>3759.22</v>
      </c>
      <c r="Z51" s="17">
        <v>3767.3890000000001</v>
      </c>
      <c r="AA51" s="17">
        <v>3781.02</v>
      </c>
      <c r="AB51" s="17">
        <v>3806.5770000000002</v>
      </c>
      <c r="AC51" s="17">
        <v>3846.123</v>
      </c>
      <c r="AD51" s="17">
        <v>3897.0540000000001</v>
      </c>
      <c r="AE51" s="17">
        <v>3950.0830000000001</v>
      </c>
      <c r="AF51" s="17">
        <v>4001.5369999999998</v>
      </c>
      <c r="AG51" s="17">
        <v>4070.97</v>
      </c>
      <c r="AH51" s="17">
        <v>4165.3850000000002</v>
      </c>
      <c r="AI51" s="17">
        <v>4272.4309999999996</v>
      </c>
      <c r="AJ51" s="17">
        <v>4372.9790000000003</v>
      </c>
      <c r="AK51" s="17">
        <v>4471.1239999999998</v>
      </c>
      <c r="AL51" s="17">
        <v>4541.9620000000004</v>
      </c>
      <c r="AM51" s="17">
        <v>4571.2120000000004</v>
      </c>
      <c r="AN51" s="17">
        <v>4568.7709999999997</v>
      </c>
      <c r="AO51" s="17">
        <v>4561.0680000000002</v>
      </c>
      <c r="AP51" s="17">
        <v>4545.53</v>
      </c>
      <c r="AQ51" s="17">
        <v>4507.3710000000001</v>
      </c>
      <c r="AR51" s="17">
        <v>4442.7439999999997</v>
      </c>
      <c r="AS51" s="17">
        <v>4357.9830000000002</v>
      </c>
      <c r="AT51" s="17">
        <v>4262.1210000000001</v>
      </c>
      <c r="AU51" s="17">
        <v>4151.982</v>
      </c>
      <c r="AV51" s="17">
        <v>4044.8069999999998</v>
      </c>
      <c r="AW51" s="17">
        <v>3949.6640000000002</v>
      </c>
      <c r="AX51" s="17">
        <v>3858.6039999999998</v>
      </c>
      <c r="AY51" s="17">
        <v>3759.471</v>
      </c>
      <c r="AZ51" s="17">
        <v>3660.5279999999998</v>
      </c>
      <c r="BA51" s="17">
        <v>3534.0210000000002</v>
      </c>
      <c r="BB51" s="17">
        <v>3366.799</v>
      </c>
      <c r="BC51" s="17">
        <v>3175.7310000000002</v>
      </c>
      <c r="BD51" s="17">
        <v>2989.7139999999999</v>
      </c>
      <c r="BE51" s="17">
        <v>2801.627</v>
      </c>
      <c r="BF51" s="17">
        <v>2640.2240000000002</v>
      </c>
      <c r="BG51" s="17">
        <v>2522.3249999999998</v>
      </c>
      <c r="BH51" s="17">
        <v>2434.8510000000001</v>
      </c>
      <c r="BI51" s="17">
        <v>2347.65</v>
      </c>
      <c r="BJ51" s="17">
        <v>2266.444</v>
      </c>
      <c r="BK51" s="17">
        <v>2191.7849999999999</v>
      </c>
      <c r="BL51" s="17">
        <v>2120.83</v>
      </c>
      <c r="BM51" s="17">
        <v>2055.047</v>
      </c>
      <c r="BN51" s="17">
        <v>1996.152</v>
      </c>
      <c r="BO51" s="17">
        <v>1940.69</v>
      </c>
      <c r="BP51" s="17">
        <v>1899.22</v>
      </c>
      <c r="BQ51" s="17">
        <v>1876.1569999999999</v>
      </c>
      <c r="BR51" s="17">
        <v>1864.2370000000001</v>
      </c>
      <c r="BS51" s="17">
        <v>1851.4829999999999</v>
      </c>
      <c r="BT51" s="17">
        <v>1839.932</v>
      </c>
      <c r="BU51" s="17">
        <v>1817.864</v>
      </c>
      <c r="BV51" s="17">
        <v>1778.1</v>
      </c>
      <c r="BW51" s="17">
        <v>1724.925</v>
      </c>
      <c r="BX51" s="17">
        <v>1671.288</v>
      </c>
      <c r="BY51" s="17">
        <v>1616.376</v>
      </c>
      <c r="BZ51" s="17">
        <v>1548.69</v>
      </c>
      <c r="CA51" s="17">
        <v>1464.366</v>
      </c>
      <c r="CB51" s="17">
        <v>1368.45</v>
      </c>
      <c r="CC51" s="17">
        <v>1271.1030000000001</v>
      </c>
      <c r="CD51" s="17">
        <v>1171.7940000000001</v>
      </c>
      <c r="CE51" s="17">
        <v>1071.377</v>
      </c>
      <c r="CF51" s="17">
        <v>971.79499999999996</v>
      </c>
      <c r="CG51" s="17">
        <v>873.84</v>
      </c>
      <c r="CH51" s="17">
        <v>776.19200000000001</v>
      </c>
      <c r="CI51" s="17">
        <v>678.91800000000001</v>
      </c>
      <c r="CJ51" s="17">
        <v>590.58199999999999</v>
      </c>
      <c r="CK51" s="17">
        <v>515.26800000000003</v>
      </c>
      <c r="CL51" s="17">
        <v>449.976</v>
      </c>
      <c r="CM51" s="17">
        <v>382.80799999999999</v>
      </c>
      <c r="CN51" s="17">
        <v>330.30900000000003</v>
      </c>
      <c r="CO51" s="17">
        <v>285.81400000000002</v>
      </c>
      <c r="CP51" s="17">
        <v>233.09299999999999</v>
      </c>
      <c r="CQ51" s="17">
        <v>172.48599999999999</v>
      </c>
      <c r="CR51" s="17">
        <v>129.435</v>
      </c>
      <c r="CS51" s="17">
        <v>109.435</v>
      </c>
      <c r="CT51" s="17">
        <v>90.486000000000004</v>
      </c>
      <c r="CU51" s="17">
        <v>67.611999999999995</v>
      </c>
      <c r="CV51" s="17">
        <v>40.811</v>
      </c>
      <c r="CW51" s="17">
        <v>23.946000000000002</v>
      </c>
      <c r="CX51" s="17">
        <v>40.247999999999998</v>
      </c>
      <c r="CY51" s="3">
        <f t="shared" si="4"/>
        <v>278548.14799999999</v>
      </c>
      <c r="CZ51" s="3">
        <f>SUM(AK51:BC51)</f>
        <v>78331.492999999988</v>
      </c>
      <c r="DA51" s="3">
        <f t="shared" si="5"/>
        <v>0.28121347624253451</v>
      </c>
      <c r="DB51" s="3">
        <f>SUM(U51:AJ51)</f>
        <v>62831.926999999996</v>
      </c>
      <c r="DC51" s="3">
        <f t="shared" si="8"/>
        <v>0.22556935829995178</v>
      </c>
      <c r="DD51" s="3">
        <f>T51</f>
        <v>3868.5650000000001</v>
      </c>
      <c r="DE51" s="3">
        <f>DD51/CY51</f>
        <v>1.388831707471988E-2</v>
      </c>
      <c r="DF51" s="3">
        <f>SUM(BD51:BV51)</f>
        <v>41234.331999999995</v>
      </c>
      <c r="DG51" s="3">
        <f t="shared" si="2"/>
        <v>0.14803305028615735</v>
      </c>
      <c r="DH51">
        <f>SUM(BV51:CV51)</f>
        <v>21385.329000000009</v>
      </c>
      <c r="DI51" s="9">
        <f t="shared" si="3"/>
        <v>7.6774263815963376E-2</v>
      </c>
      <c r="DJ51" s="7">
        <v>7.6774263815963376E-2</v>
      </c>
      <c r="DK51" s="7">
        <v>0.14803305028615735</v>
      </c>
      <c r="DL51" s="7">
        <v>0.28121347624253451</v>
      </c>
      <c r="DM51" s="7">
        <v>0.22556935829995178</v>
      </c>
      <c r="DN51" s="7"/>
      <c r="DO51" s="10">
        <f t="shared" si="7"/>
        <v>0.73159014864460703</v>
      </c>
    </row>
    <row r="52" spans="1:119">
      <c r="A52" s="4">
        <v>2000</v>
      </c>
      <c r="B52" s="17">
        <v>3718.1880000000001</v>
      </c>
      <c r="C52" s="17">
        <v>3833.24</v>
      </c>
      <c r="D52" s="17">
        <v>3930.018</v>
      </c>
      <c r="E52" s="17">
        <v>4009.694</v>
      </c>
      <c r="F52" s="17">
        <v>4073.4409999999998</v>
      </c>
      <c r="G52" s="17">
        <v>4122.433</v>
      </c>
      <c r="H52" s="17">
        <v>4157.8410000000003</v>
      </c>
      <c r="I52" s="17">
        <v>4180.8389999999999</v>
      </c>
      <c r="J52" s="17">
        <v>4192.6000000000004</v>
      </c>
      <c r="K52" s="17">
        <v>4194.2969999999996</v>
      </c>
      <c r="L52" s="17">
        <v>4186.835</v>
      </c>
      <c r="M52" s="17">
        <v>4171.1210000000001</v>
      </c>
      <c r="N52" s="17">
        <v>4149.6620000000003</v>
      </c>
      <c r="O52" s="17">
        <v>4124.1670000000004</v>
      </c>
      <c r="P52" s="17">
        <v>4095.0050000000001</v>
      </c>
      <c r="Q52" s="17">
        <v>4062.8470000000002</v>
      </c>
      <c r="R52" s="17">
        <v>4029.9659999999999</v>
      </c>
      <c r="S52" s="17">
        <v>3992.0390000000002</v>
      </c>
      <c r="T52" s="17">
        <v>3947.7739999999999</v>
      </c>
      <c r="U52" s="17">
        <v>3901.373</v>
      </c>
      <c r="V52" s="17">
        <v>3858.223</v>
      </c>
      <c r="W52" s="17">
        <v>3817.1129999999998</v>
      </c>
      <c r="X52" s="17">
        <v>3789.5239999999999</v>
      </c>
      <c r="Y52" s="17">
        <v>3781.6930000000002</v>
      </c>
      <c r="Z52" s="17">
        <v>3789.279</v>
      </c>
      <c r="AA52" s="17">
        <v>3800.9929999999999</v>
      </c>
      <c r="AB52" s="17">
        <v>3818.2359999999999</v>
      </c>
      <c r="AC52" s="17">
        <v>3846.029</v>
      </c>
      <c r="AD52" s="17">
        <v>3885.4650000000001</v>
      </c>
      <c r="AE52" s="17">
        <v>3934.6280000000002</v>
      </c>
      <c r="AF52" s="17">
        <v>3986.0709999999999</v>
      </c>
      <c r="AG52" s="17">
        <v>4035.97</v>
      </c>
      <c r="AH52" s="17">
        <v>4102.7969999999996</v>
      </c>
      <c r="AI52" s="17">
        <v>4193.2730000000001</v>
      </c>
      <c r="AJ52" s="17">
        <v>4295.5349999999999</v>
      </c>
      <c r="AK52" s="17">
        <v>4391.2539999999999</v>
      </c>
      <c r="AL52" s="17">
        <v>4484.4040000000005</v>
      </c>
      <c r="AM52" s="17">
        <v>4550.8419999999996</v>
      </c>
      <c r="AN52" s="17">
        <v>4576.7669999999998</v>
      </c>
      <c r="AO52" s="17">
        <v>4571.8069999999998</v>
      </c>
      <c r="AP52" s="17">
        <v>4561.5950000000003</v>
      </c>
      <c r="AQ52" s="17">
        <v>4543.6490000000003</v>
      </c>
      <c r="AR52" s="17">
        <v>4503.7979999999998</v>
      </c>
      <c r="AS52" s="17">
        <v>4438.3969999999999</v>
      </c>
      <c r="AT52" s="17">
        <v>4353.55</v>
      </c>
      <c r="AU52" s="17">
        <v>4257.6559999999999</v>
      </c>
      <c r="AV52" s="17">
        <v>4147.424</v>
      </c>
      <c r="AW52" s="17">
        <v>4040.8539999999998</v>
      </c>
      <c r="AX52" s="17">
        <v>3947.248</v>
      </c>
      <c r="AY52" s="17">
        <v>3858.1640000000002</v>
      </c>
      <c r="AZ52" s="17">
        <v>3760.9940000000001</v>
      </c>
      <c r="BA52" s="17">
        <v>3664.42</v>
      </c>
      <c r="BB52" s="17">
        <v>3538.2510000000002</v>
      </c>
      <c r="BC52" s="17">
        <v>3368.183</v>
      </c>
      <c r="BD52" s="17">
        <v>3172.3119999999999</v>
      </c>
      <c r="BE52" s="17">
        <v>2981.7280000000001</v>
      </c>
      <c r="BF52" s="17">
        <v>2788.6489999999999</v>
      </c>
      <c r="BG52" s="17">
        <v>2623.9290000000001</v>
      </c>
      <c r="BH52" s="17">
        <v>2505.5819999999999</v>
      </c>
      <c r="BI52" s="17">
        <v>2419.4250000000002</v>
      </c>
      <c r="BJ52" s="17">
        <v>2332.989</v>
      </c>
      <c r="BK52" s="17">
        <v>2252.4450000000002</v>
      </c>
      <c r="BL52" s="17">
        <v>2177.752</v>
      </c>
      <c r="BM52" s="17">
        <v>2105.5390000000002</v>
      </c>
      <c r="BN52" s="17">
        <v>2037.6020000000001</v>
      </c>
      <c r="BO52" s="17">
        <v>1976.682</v>
      </c>
      <c r="BP52" s="17">
        <v>1919.31</v>
      </c>
      <c r="BQ52" s="17">
        <v>1875.01</v>
      </c>
      <c r="BR52" s="17">
        <v>1847.8409999999999</v>
      </c>
      <c r="BS52" s="17">
        <v>1831.039</v>
      </c>
      <c r="BT52" s="17">
        <v>1813.403</v>
      </c>
      <c r="BU52" s="17">
        <v>1796.723</v>
      </c>
      <c r="BV52" s="17">
        <v>1770.42</v>
      </c>
      <c r="BW52" s="17">
        <v>1727.933</v>
      </c>
      <c r="BX52" s="17">
        <v>1673.0119999999999</v>
      </c>
      <c r="BY52" s="17">
        <v>1617.558</v>
      </c>
      <c r="BZ52" s="17">
        <v>1561.0930000000001</v>
      </c>
      <c r="CA52" s="17">
        <v>1491.3910000000001</v>
      </c>
      <c r="CB52" s="17">
        <v>1404.162</v>
      </c>
      <c r="CC52" s="17">
        <v>1304.9090000000001</v>
      </c>
      <c r="CD52" s="17">
        <v>1204.6780000000001</v>
      </c>
      <c r="CE52" s="17">
        <v>1102.768</v>
      </c>
      <c r="CF52" s="17">
        <v>1000.453</v>
      </c>
      <c r="CG52" s="17">
        <v>899.98199999999997</v>
      </c>
      <c r="CH52" s="17">
        <v>801.94899999999996</v>
      </c>
      <c r="CI52" s="17">
        <v>704.529</v>
      </c>
      <c r="CJ52" s="17">
        <v>607.87900000000002</v>
      </c>
      <c r="CK52" s="17">
        <v>520.73500000000001</v>
      </c>
      <c r="CL52" s="17">
        <v>447.214</v>
      </c>
      <c r="CM52" s="17">
        <v>384.28</v>
      </c>
      <c r="CN52" s="17">
        <v>318.642</v>
      </c>
      <c r="CO52" s="17">
        <v>270.50099999999998</v>
      </c>
      <c r="CP52" s="17">
        <v>231.98699999999999</v>
      </c>
      <c r="CQ52" s="17">
        <v>183.17</v>
      </c>
      <c r="CR52" s="17">
        <v>124.04600000000001</v>
      </c>
      <c r="CS52" s="17">
        <v>87.366</v>
      </c>
      <c r="CT52" s="17">
        <v>75.272999999999996</v>
      </c>
      <c r="CU52" s="17">
        <v>60.777999999999999</v>
      </c>
      <c r="CV52" s="17">
        <v>43.881</v>
      </c>
      <c r="CW52" s="17">
        <v>24.582000000000001</v>
      </c>
      <c r="CX52" s="17">
        <v>40.317</v>
      </c>
      <c r="CY52" s="3">
        <f t="shared" si="4"/>
        <v>281710.91399999987</v>
      </c>
      <c r="CZ52" s="3">
        <f>SUM(AL52:BD52)</f>
        <v>78340.315000000017</v>
      </c>
      <c r="DA52" s="3">
        <f t="shared" si="5"/>
        <v>0.27808761076257077</v>
      </c>
      <c r="DB52" s="3">
        <f>SUM(V52:AK52)</f>
        <v>63326.082999999984</v>
      </c>
      <c r="DC52" s="3">
        <f t="shared" si="8"/>
        <v>0.22479101750385153</v>
      </c>
      <c r="DD52" s="3">
        <f>SUM(T52:U52)</f>
        <v>7849.1469999999999</v>
      </c>
      <c r="DE52" s="3">
        <f t="shared" ref="DE52:DE72" si="9">DD52/CY52</f>
        <v>2.7862417144406425E-2</v>
      </c>
      <c r="DF52" s="3">
        <f>SUM(BE52:BW52)</f>
        <v>40784.000999999997</v>
      </c>
      <c r="DG52" s="3">
        <f t="shared" si="2"/>
        <v>0.14477252734340287</v>
      </c>
      <c r="DH52">
        <f>SUM(BW52:CW52)</f>
        <v>19874.750999999997</v>
      </c>
      <c r="DI52" s="9">
        <f t="shared" si="3"/>
        <v>7.0550163349368866E-2</v>
      </c>
      <c r="DJ52" s="7">
        <v>7.0550163349368866E-2</v>
      </c>
      <c r="DK52" s="7">
        <v>0.14477252734340287</v>
      </c>
      <c r="DL52" s="7">
        <v>0.27808761076257077</v>
      </c>
      <c r="DM52" s="7">
        <v>0.22479101750385153</v>
      </c>
      <c r="DN52" s="7"/>
      <c r="DO52" s="10">
        <f t="shared" si="7"/>
        <v>0.71820131895919403</v>
      </c>
    </row>
    <row r="53" spans="1:119">
      <c r="A53" s="4">
        <v>2001</v>
      </c>
      <c r="B53" s="17">
        <v>3802.694</v>
      </c>
      <c r="C53" s="17">
        <v>3753.337</v>
      </c>
      <c r="D53" s="17">
        <v>3850.4639999999999</v>
      </c>
      <c r="E53" s="17">
        <v>3937.9780000000001</v>
      </c>
      <c r="F53" s="17">
        <v>4015.498</v>
      </c>
      <c r="G53" s="17">
        <v>4082.6439999999998</v>
      </c>
      <c r="H53" s="17">
        <v>4140.6260000000002</v>
      </c>
      <c r="I53" s="17">
        <v>4190.6570000000002</v>
      </c>
      <c r="J53" s="17">
        <v>4224.3909999999996</v>
      </c>
      <c r="K53" s="17">
        <v>4238.2629999999999</v>
      </c>
      <c r="L53" s="17">
        <v>4236.67</v>
      </c>
      <c r="M53" s="17">
        <v>4228.53</v>
      </c>
      <c r="N53" s="17">
        <v>4213.2070000000003</v>
      </c>
      <c r="O53" s="17">
        <v>4191.5950000000003</v>
      </c>
      <c r="P53" s="17">
        <v>4165.4179999999997</v>
      </c>
      <c r="Q53" s="17">
        <v>4135.12</v>
      </c>
      <c r="R53" s="17">
        <v>4101.5820000000003</v>
      </c>
      <c r="S53" s="17">
        <v>4067.2159999999999</v>
      </c>
      <c r="T53" s="17">
        <v>4027.2310000000002</v>
      </c>
      <c r="U53" s="17">
        <v>3980.1790000000001</v>
      </c>
      <c r="V53" s="17">
        <v>3930.62</v>
      </c>
      <c r="W53" s="17">
        <v>3884.2809999999999</v>
      </c>
      <c r="X53" s="17">
        <v>3839.6840000000002</v>
      </c>
      <c r="Y53" s="17">
        <v>3809.9580000000001</v>
      </c>
      <c r="Z53" s="17">
        <v>3802.125</v>
      </c>
      <c r="AA53" s="17">
        <v>3811.0419999999999</v>
      </c>
      <c r="AB53" s="17">
        <v>3823.85</v>
      </c>
      <c r="AC53" s="17">
        <v>3842.297</v>
      </c>
      <c r="AD53" s="17">
        <v>3870.59</v>
      </c>
      <c r="AE53" s="17">
        <v>3909.2750000000001</v>
      </c>
      <c r="AF53" s="17">
        <v>3956.8429999999998</v>
      </c>
      <c r="AG53" s="17">
        <v>4006.8829999999998</v>
      </c>
      <c r="AH53" s="17">
        <v>4055.4470000000001</v>
      </c>
      <c r="AI53" s="17">
        <v>4120.6149999999998</v>
      </c>
      <c r="AJ53" s="17">
        <v>4209.0420000000004</v>
      </c>
      <c r="AK53" s="17">
        <v>4309.0280000000002</v>
      </c>
      <c r="AL53" s="17">
        <v>4402.45</v>
      </c>
      <c r="AM53" s="17">
        <v>4493.2160000000003</v>
      </c>
      <c r="AN53" s="17">
        <v>4557.6679999999997</v>
      </c>
      <c r="AO53" s="17">
        <v>4582.2629999999999</v>
      </c>
      <c r="AP53" s="17">
        <v>4576.42</v>
      </c>
      <c r="AQ53" s="17">
        <v>4565.2790000000005</v>
      </c>
      <c r="AR53" s="17">
        <v>4546.4139999999998</v>
      </c>
      <c r="AS53" s="17">
        <v>4505.8010000000004</v>
      </c>
      <c r="AT53" s="17">
        <v>4439.808</v>
      </c>
      <c r="AU53" s="17">
        <v>4354.4690000000001</v>
      </c>
      <c r="AV53" s="17">
        <v>4258.1170000000002</v>
      </c>
      <c r="AW53" s="17">
        <v>4147.4799999999996</v>
      </c>
      <c r="AX53" s="17">
        <v>4040.319</v>
      </c>
      <c r="AY53" s="17">
        <v>3945.8090000000002</v>
      </c>
      <c r="AZ53" s="17">
        <v>3855.6060000000002</v>
      </c>
      <c r="BA53" s="17">
        <v>3757.3270000000002</v>
      </c>
      <c r="BB53" s="17">
        <v>3659.62</v>
      </c>
      <c r="BC53" s="17">
        <v>3532.2660000000001</v>
      </c>
      <c r="BD53" s="17">
        <v>3360.9769999999999</v>
      </c>
      <c r="BE53" s="17">
        <v>3163.8470000000002</v>
      </c>
      <c r="BF53" s="17">
        <v>2971.9090000000001</v>
      </c>
      <c r="BG53" s="17">
        <v>2777.3359999999998</v>
      </c>
      <c r="BH53" s="17">
        <v>2611.2489999999998</v>
      </c>
      <c r="BI53" s="17">
        <v>2491.7730000000001</v>
      </c>
      <c r="BJ53" s="17">
        <v>2404.5740000000001</v>
      </c>
      <c r="BK53" s="17">
        <v>2316.9290000000001</v>
      </c>
      <c r="BL53" s="17">
        <v>2235.0630000000001</v>
      </c>
      <c r="BM53" s="17">
        <v>2158.6860000000001</v>
      </c>
      <c r="BN53" s="17">
        <v>2084.2739999999999</v>
      </c>
      <c r="BO53" s="17">
        <v>2013.7339999999999</v>
      </c>
      <c r="BP53" s="17">
        <v>1950.07</v>
      </c>
      <c r="BQ53" s="17">
        <v>1889.7670000000001</v>
      </c>
      <c r="BR53" s="17">
        <v>1842.298</v>
      </c>
      <c r="BS53" s="17">
        <v>1811.731</v>
      </c>
      <c r="BT53" s="17">
        <v>1791.306</v>
      </c>
      <c r="BU53" s="17">
        <v>1770.068</v>
      </c>
      <c r="BV53" s="17">
        <v>1750.057</v>
      </c>
      <c r="BW53" s="17">
        <v>1719.4929999999999</v>
      </c>
      <c r="BX53" s="17">
        <v>1671.336</v>
      </c>
      <c r="BY53" s="17">
        <v>1610.0709999999999</v>
      </c>
      <c r="BZ53" s="17">
        <v>1548.713</v>
      </c>
      <c r="CA53" s="17">
        <v>1486.461</v>
      </c>
      <c r="CB53" s="17">
        <v>1412.7439999999999</v>
      </c>
      <c r="CC53" s="17">
        <v>1324.181</v>
      </c>
      <c r="CD53" s="17">
        <v>1225.5260000000001</v>
      </c>
      <c r="CE53" s="17">
        <v>1126.1300000000001</v>
      </c>
      <c r="CF53" s="17">
        <v>1025.57</v>
      </c>
      <c r="CG53" s="17">
        <v>925.19799999999998</v>
      </c>
      <c r="CH53" s="17">
        <v>827.11099999999999</v>
      </c>
      <c r="CI53" s="17">
        <v>731.92100000000005</v>
      </c>
      <c r="CJ53" s="17">
        <v>635.83299999999997</v>
      </c>
      <c r="CK53" s="17">
        <v>543.76599999999996</v>
      </c>
      <c r="CL53" s="17">
        <v>465.26900000000001</v>
      </c>
      <c r="CM53" s="17">
        <v>396.05200000000002</v>
      </c>
      <c r="CN53" s="17">
        <v>333.68200000000002</v>
      </c>
      <c r="CO53" s="17">
        <v>274.072</v>
      </c>
      <c r="CP53" s="17">
        <v>232.94900000000001</v>
      </c>
      <c r="CQ53" s="17">
        <v>199.018</v>
      </c>
      <c r="CR53" s="17">
        <v>156.304</v>
      </c>
      <c r="CS53" s="17">
        <v>104.807</v>
      </c>
      <c r="CT53" s="17">
        <v>77.245999999999995</v>
      </c>
      <c r="CU53" s="17">
        <v>62.473999999999997</v>
      </c>
      <c r="CV53" s="17">
        <v>45.121000000000002</v>
      </c>
      <c r="CW53" s="17">
        <v>25.186</v>
      </c>
      <c r="CX53" s="17">
        <v>40.898000000000003</v>
      </c>
      <c r="CY53" s="3">
        <f t="shared" si="4"/>
        <v>284607.99199999985</v>
      </c>
      <c r="CZ53" s="3">
        <f>SUM(AM53:BE53)</f>
        <v>78342.705999999991</v>
      </c>
      <c r="DA53" s="3">
        <f t="shared" si="5"/>
        <v>0.27526530597215287</v>
      </c>
      <c r="DB53" s="3">
        <f>SUM(W53:AL53)</f>
        <v>63653.409999999996</v>
      </c>
      <c r="DC53" s="3">
        <f t="shared" si="8"/>
        <v>0.22365292538938972</v>
      </c>
      <c r="DD53" s="3">
        <f>SUM(T53:V53)</f>
        <v>11938.029999999999</v>
      </c>
      <c r="DE53" s="3">
        <f t="shared" si="9"/>
        <v>4.1945519224913422E-2</v>
      </c>
      <c r="DF53" s="3">
        <f>SUM(BF53:BX53)</f>
        <v>40261.653000000006</v>
      </c>
      <c r="DG53" s="3">
        <f t="shared" si="2"/>
        <v>0.14146353627342984</v>
      </c>
      <c r="DH53">
        <f>SUM(BX53:CX53)</f>
        <v>18507.639000000003</v>
      </c>
      <c r="DI53" s="9">
        <f t="shared" si="3"/>
        <v>6.5028528784251471E-2</v>
      </c>
      <c r="DJ53" s="7">
        <v>6.5028528784251471E-2</v>
      </c>
      <c r="DK53" s="7">
        <v>0.14146353627342984</v>
      </c>
      <c r="DL53" s="7">
        <v>0.27526530597215287</v>
      </c>
      <c r="DM53" s="7">
        <v>0.22365292538938972</v>
      </c>
      <c r="DN53" s="7"/>
      <c r="DO53" s="10">
        <f t="shared" si="7"/>
        <v>0.70541029641922393</v>
      </c>
    </row>
    <row r="54" spans="1:119">
      <c r="A54" s="4">
        <v>2002</v>
      </c>
      <c r="B54" s="17">
        <v>3939.4160000000002</v>
      </c>
      <c r="C54" s="17">
        <v>3934.5439999999999</v>
      </c>
      <c r="D54" s="17">
        <v>3781.8580000000002</v>
      </c>
      <c r="E54" s="17">
        <v>3860.85</v>
      </c>
      <c r="F54" s="17">
        <v>3938.9259999999999</v>
      </c>
      <c r="G54" s="17">
        <v>4014.1480000000001</v>
      </c>
      <c r="H54" s="17">
        <v>4084.5790000000002</v>
      </c>
      <c r="I54" s="17">
        <v>4151.4660000000003</v>
      </c>
      <c r="J54" s="17">
        <v>4216.0569999999998</v>
      </c>
      <c r="K54" s="17">
        <v>4260.4880000000003</v>
      </c>
      <c r="L54" s="17">
        <v>4276.451</v>
      </c>
      <c r="M54" s="17">
        <v>4271.5640000000003</v>
      </c>
      <c r="N54" s="17">
        <v>4262.76</v>
      </c>
      <c r="O54" s="17">
        <v>4247.8549999999996</v>
      </c>
      <c r="P54" s="17">
        <v>4226.13</v>
      </c>
      <c r="Q54" s="17">
        <v>4199.3149999999996</v>
      </c>
      <c r="R54" s="17">
        <v>4167.9319999999998</v>
      </c>
      <c r="S54" s="17">
        <v>4133.07</v>
      </c>
      <c r="T54" s="17">
        <v>4097.28</v>
      </c>
      <c r="U54" s="17">
        <v>4055.3020000000001</v>
      </c>
      <c r="V54" s="17">
        <v>4005.5419999999999</v>
      </c>
      <c r="W54" s="17">
        <v>3952.9070000000002</v>
      </c>
      <c r="X54" s="17">
        <v>3903.4580000000001</v>
      </c>
      <c r="Y54" s="17">
        <v>3855.4479999999999</v>
      </c>
      <c r="Z54" s="17">
        <v>3823.6320000000001</v>
      </c>
      <c r="AA54" s="17">
        <v>3815.8119999999999</v>
      </c>
      <c r="AB54" s="17">
        <v>3826.047</v>
      </c>
      <c r="AC54" s="17">
        <v>3839.93</v>
      </c>
      <c r="AD54" s="17">
        <v>3859.549</v>
      </c>
      <c r="AE54" s="17">
        <v>3888.2959999999998</v>
      </c>
      <c r="AF54" s="17">
        <v>3926.1570000000002</v>
      </c>
      <c r="AG54" s="17">
        <v>3972.0410000000002</v>
      </c>
      <c r="AH54" s="17">
        <v>4020.5839999999998</v>
      </c>
      <c r="AI54" s="17">
        <v>4067.7249999999999</v>
      </c>
      <c r="AJ54" s="17">
        <v>4131.1149999999998</v>
      </c>
      <c r="AK54" s="17">
        <v>4217.3310000000001</v>
      </c>
      <c r="AL54" s="17">
        <v>4314.8580000000002</v>
      </c>
      <c r="AM54" s="17">
        <v>4405.8130000000001</v>
      </c>
      <c r="AN54" s="17">
        <v>4494.0280000000002</v>
      </c>
      <c r="AO54" s="17">
        <v>4556.3789999999999</v>
      </c>
      <c r="AP54" s="17">
        <v>4579.5940000000001</v>
      </c>
      <c r="AQ54" s="17">
        <v>4572.8789999999999</v>
      </c>
      <c r="AR54" s="17">
        <v>4560.8289999999997</v>
      </c>
      <c r="AS54" s="17">
        <v>4541.0770000000002</v>
      </c>
      <c r="AT54" s="17">
        <v>4499.7740000000003</v>
      </c>
      <c r="AU54" s="17">
        <v>4433.3050000000003</v>
      </c>
      <c r="AV54" s="17">
        <v>4347.6279999999997</v>
      </c>
      <c r="AW54" s="17">
        <v>4250.9870000000001</v>
      </c>
      <c r="AX54" s="17">
        <v>4140.143</v>
      </c>
      <c r="AY54" s="17">
        <v>4032.58</v>
      </c>
      <c r="AZ54" s="17">
        <v>3937.3330000000001</v>
      </c>
      <c r="BA54" s="17">
        <v>3846.1709999999998</v>
      </c>
      <c r="BB54" s="17">
        <v>3746.9589999999998</v>
      </c>
      <c r="BC54" s="17">
        <v>3648.2890000000002</v>
      </c>
      <c r="BD54" s="17">
        <v>3519.9760000000001</v>
      </c>
      <c r="BE54" s="17">
        <v>3347.77</v>
      </c>
      <c r="BF54" s="17">
        <v>3149.7310000000002</v>
      </c>
      <c r="BG54" s="17">
        <v>2956.779</v>
      </c>
      <c r="BH54" s="17">
        <v>2761.056</v>
      </c>
      <c r="BI54" s="17">
        <v>2593.8969999999999</v>
      </c>
      <c r="BJ54" s="17">
        <v>2473.502</v>
      </c>
      <c r="BK54" s="17">
        <v>2385.4140000000002</v>
      </c>
      <c r="BL54" s="17">
        <v>2296.71</v>
      </c>
      <c r="BM54" s="17">
        <v>2213.6669999999999</v>
      </c>
      <c r="BN54" s="17">
        <v>2135.7379999999998</v>
      </c>
      <c r="BO54" s="17">
        <v>2059.2570000000001</v>
      </c>
      <c r="BP54" s="17">
        <v>1986.2360000000001</v>
      </c>
      <c r="BQ54" s="17">
        <v>1919.9369999999999</v>
      </c>
      <c r="BR54" s="17">
        <v>1856.8050000000001</v>
      </c>
      <c r="BS54" s="17">
        <v>1806.249</v>
      </c>
      <c r="BT54" s="17">
        <v>1772.3309999999999</v>
      </c>
      <c r="BU54" s="17">
        <v>1748.3130000000001</v>
      </c>
      <c r="BV54" s="17">
        <v>1723.5060000000001</v>
      </c>
      <c r="BW54" s="17">
        <v>1700.194</v>
      </c>
      <c r="BX54" s="17">
        <v>1665.414</v>
      </c>
      <c r="BY54" s="17">
        <v>1611.6659999999999</v>
      </c>
      <c r="BZ54" s="17">
        <v>1544.152</v>
      </c>
      <c r="CA54" s="17">
        <v>1476.99</v>
      </c>
      <c r="CB54" s="17">
        <v>1409.0519999999999</v>
      </c>
      <c r="CC54" s="17">
        <v>1331.4469999999999</v>
      </c>
      <c r="CD54" s="17">
        <v>1241.702</v>
      </c>
      <c r="CE54" s="17">
        <v>1143.8240000000001</v>
      </c>
      <c r="CF54" s="17">
        <v>1045.442</v>
      </c>
      <c r="CG54" s="17">
        <v>946.41099999999994</v>
      </c>
      <c r="CH54" s="17">
        <v>848.16499999999996</v>
      </c>
      <c r="CI54" s="17">
        <v>752.64200000000005</v>
      </c>
      <c r="CJ54" s="17">
        <v>660.46900000000005</v>
      </c>
      <c r="CK54" s="17">
        <v>565.88599999999997</v>
      </c>
      <c r="CL54" s="17">
        <v>478.57400000000001</v>
      </c>
      <c r="CM54" s="17">
        <v>408.87900000000002</v>
      </c>
      <c r="CN54" s="17">
        <v>344.096</v>
      </c>
      <c r="CO54" s="17">
        <v>282.40199999999999</v>
      </c>
      <c r="CP54" s="17">
        <v>228.93799999999999</v>
      </c>
      <c r="CQ54" s="17">
        <v>194.91900000000001</v>
      </c>
      <c r="CR54" s="17">
        <v>165.63900000000001</v>
      </c>
      <c r="CS54" s="17">
        <v>129.11600000000001</v>
      </c>
      <c r="CT54" s="17">
        <v>85.347999999999999</v>
      </c>
      <c r="CU54" s="17">
        <v>63.527000000000001</v>
      </c>
      <c r="CV54" s="17">
        <v>45.94</v>
      </c>
      <c r="CW54" s="17">
        <v>25.675000000000001</v>
      </c>
      <c r="CX54" s="17">
        <v>41.738</v>
      </c>
      <c r="CY54" s="3">
        <f t="shared" si="4"/>
        <v>287279.31200000009</v>
      </c>
      <c r="CZ54" s="3">
        <f>SUM(AN54:BF54)</f>
        <v>78205.432000000015</v>
      </c>
      <c r="DA54" s="3">
        <f t="shared" si="5"/>
        <v>0.27222785885814149</v>
      </c>
      <c r="DB54" s="3">
        <f>SUM(X54:AM54)</f>
        <v>63867.795999999995</v>
      </c>
      <c r="DC54" s="3">
        <f t="shared" si="8"/>
        <v>0.22231951042823431</v>
      </c>
      <c r="DD54" s="3">
        <f>SUM(T54:W54)</f>
        <v>16111.030999999999</v>
      </c>
      <c r="DE54" s="3">
        <f t="shared" si="9"/>
        <v>5.6081417376828008E-2</v>
      </c>
      <c r="DF54" s="3">
        <f>SUM(BG54:BY54)</f>
        <v>39666.671000000002</v>
      </c>
      <c r="DG54" s="3">
        <f t="shared" si="2"/>
        <v>0.13807701892574845</v>
      </c>
      <c r="DH54">
        <f>SUM(BY54:CX54)</f>
        <v>17072.639000000006</v>
      </c>
      <c r="DI54" s="9">
        <f t="shared" si="3"/>
        <v>5.9428710272043543E-2</v>
      </c>
      <c r="DJ54" s="7">
        <v>5.9428710272043543E-2</v>
      </c>
      <c r="DK54" s="7">
        <v>0.13807701892574845</v>
      </c>
      <c r="DL54" s="7">
        <v>0.27222785885814149</v>
      </c>
      <c r="DM54" s="7">
        <v>0.22231951042823431</v>
      </c>
      <c r="DN54" s="7"/>
      <c r="DO54" s="10">
        <f t="shared" si="7"/>
        <v>0.69205309848416774</v>
      </c>
    </row>
    <row r="55" spans="1:119">
      <c r="A55" s="4">
        <v>2003</v>
      </c>
      <c r="B55" s="17">
        <v>4100.2740000000003</v>
      </c>
      <c r="C55" s="17">
        <v>4010.2139999999999</v>
      </c>
      <c r="D55" s="17">
        <v>3953.9690000000001</v>
      </c>
      <c r="E55" s="17">
        <v>3806.721</v>
      </c>
      <c r="F55" s="17">
        <v>3867.5189999999998</v>
      </c>
      <c r="G55" s="17">
        <v>3936.0889999999999</v>
      </c>
      <c r="H55" s="17">
        <v>4008.9430000000002</v>
      </c>
      <c r="I55" s="17">
        <v>4082.5889999999999</v>
      </c>
      <c r="J55" s="17">
        <v>4158.308</v>
      </c>
      <c r="K55" s="17">
        <v>4237.3850000000002</v>
      </c>
      <c r="L55" s="17">
        <v>4292.4610000000002</v>
      </c>
      <c r="M55" s="17">
        <v>4310.4979999999996</v>
      </c>
      <c r="N55" s="17">
        <v>4302.3249999999998</v>
      </c>
      <c r="O55" s="17">
        <v>4292.8639999999996</v>
      </c>
      <c r="P55" s="17">
        <v>4278.393</v>
      </c>
      <c r="Q55" s="17">
        <v>4256.5739999999996</v>
      </c>
      <c r="R55" s="17">
        <v>4229.1490000000003</v>
      </c>
      <c r="S55" s="17">
        <v>4196.7120000000004</v>
      </c>
      <c r="T55" s="17">
        <v>4160.5609999999997</v>
      </c>
      <c r="U55" s="17">
        <v>4123.38</v>
      </c>
      <c r="V55" s="17">
        <v>4079.4549999999999</v>
      </c>
      <c r="W55" s="17">
        <v>4027.0369999999998</v>
      </c>
      <c r="X55" s="17">
        <v>3971.3789999999999</v>
      </c>
      <c r="Y55" s="17">
        <v>3918.8679999999999</v>
      </c>
      <c r="Z55" s="17">
        <v>3867.4960000000001</v>
      </c>
      <c r="AA55" s="17">
        <v>3833.6219999999998</v>
      </c>
      <c r="AB55" s="17">
        <v>3825.8229999999999</v>
      </c>
      <c r="AC55" s="17">
        <v>3837.366</v>
      </c>
      <c r="AD55" s="17">
        <v>3852.3090000000002</v>
      </c>
      <c r="AE55" s="17">
        <v>3873.0819999999999</v>
      </c>
      <c r="AF55" s="17">
        <v>3902.2530000000002</v>
      </c>
      <c r="AG55" s="17">
        <v>3939.2550000000001</v>
      </c>
      <c r="AH55" s="17">
        <v>3983.4119999999998</v>
      </c>
      <c r="AI55" s="17">
        <v>4030.4140000000002</v>
      </c>
      <c r="AJ55" s="17">
        <v>4076.0859999999998</v>
      </c>
      <c r="AK55" s="17">
        <v>4137.6379999999999</v>
      </c>
      <c r="AL55" s="17">
        <v>4221.5640000000003</v>
      </c>
      <c r="AM55" s="17">
        <v>4316.5389999999998</v>
      </c>
      <c r="AN55" s="17">
        <v>4404.942</v>
      </c>
      <c r="AO55" s="17">
        <v>4490.5249999999996</v>
      </c>
      <c r="AP55" s="17">
        <v>4550.7129999999997</v>
      </c>
      <c r="AQ55" s="17">
        <v>4572.5320000000002</v>
      </c>
      <c r="AR55" s="17">
        <v>4564.951</v>
      </c>
      <c r="AS55" s="17">
        <v>4552.0029999999997</v>
      </c>
      <c r="AT55" s="17">
        <v>4531.3850000000002</v>
      </c>
      <c r="AU55" s="17">
        <v>4489.4319999999998</v>
      </c>
      <c r="AV55" s="17">
        <v>4422.5529999999999</v>
      </c>
      <c r="AW55" s="17">
        <v>4336.6180000000004</v>
      </c>
      <c r="AX55" s="17">
        <v>4239.7830000000004</v>
      </c>
      <c r="AY55" s="17">
        <v>4128.8379999999997</v>
      </c>
      <c r="AZ55" s="17">
        <v>4020.9769999999999</v>
      </c>
      <c r="BA55" s="17">
        <v>3925.0880000000002</v>
      </c>
      <c r="BB55" s="17">
        <v>3833.0540000000001</v>
      </c>
      <c r="BC55" s="17">
        <v>3733.0050000000001</v>
      </c>
      <c r="BD55" s="17">
        <v>3633.4679999999998</v>
      </c>
      <c r="BE55" s="17">
        <v>3504.3209999999999</v>
      </c>
      <c r="BF55" s="17">
        <v>3331.3629999999998</v>
      </c>
      <c r="BG55" s="17">
        <v>3132.607</v>
      </c>
      <c r="BH55" s="17">
        <v>2938.8270000000002</v>
      </c>
      <c r="BI55" s="17">
        <v>2742.1439999999998</v>
      </c>
      <c r="BJ55" s="17">
        <v>2574.0729999999999</v>
      </c>
      <c r="BK55" s="17">
        <v>2452.8760000000002</v>
      </c>
      <c r="BL55" s="17">
        <v>2363.982</v>
      </c>
      <c r="BM55" s="17">
        <v>2274.3069999999998</v>
      </c>
      <c r="BN55" s="17">
        <v>2190.1660000000002</v>
      </c>
      <c r="BO55" s="17">
        <v>2110.7620000000002</v>
      </c>
      <c r="BP55" s="17">
        <v>2032.2860000000001</v>
      </c>
      <c r="BQ55" s="17">
        <v>1956.857</v>
      </c>
      <c r="BR55" s="17">
        <v>1887.989</v>
      </c>
      <c r="BS55" s="17">
        <v>1822.0920000000001</v>
      </c>
      <c r="BT55" s="17">
        <v>1768.5</v>
      </c>
      <c r="BU55" s="17">
        <v>1731.269</v>
      </c>
      <c r="BV55" s="17">
        <v>1703.684</v>
      </c>
      <c r="BW55" s="17">
        <v>1675.335</v>
      </c>
      <c r="BX55" s="17">
        <v>1648.7460000000001</v>
      </c>
      <c r="BY55" s="17">
        <v>1609.788</v>
      </c>
      <c r="BZ55" s="17">
        <v>1550.5070000000001</v>
      </c>
      <c r="CA55" s="17">
        <v>1476.816</v>
      </c>
      <c r="CB55" s="17">
        <v>1403.9169999999999</v>
      </c>
      <c r="CC55" s="17">
        <v>1330.3630000000001</v>
      </c>
      <c r="CD55" s="17">
        <v>1248.9449999999999</v>
      </c>
      <c r="CE55" s="17">
        <v>1158.1079999999999</v>
      </c>
      <c r="CF55" s="17">
        <v>1061.0999999999999</v>
      </c>
      <c r="CG55" s="17">
        <v>963.82399999999996</v>
      </c>
      <c r="CH55" s="17">
        <v>866.41899999999998</v>
      </c>
      <c r="CI55" s="17">
        <v>770.39</v>
      </c>
      <c r="CJ55" s="17">
        <v>677.51900000000001</v>
      </c>
      <c r="CK55" s="17">
        <v>588.45100000000002</v>
      </c>
      <c r="CL55" s="17">
        <v>495.46</v>
      </c>
      <c r="CM55" s="17">
        <v>412.983</v>
      </c>
      <c r="CN55" s="17">
        <v>352.14699999999999</v>
      </c>
      <c r="CO55" s="17">
        <v>291.858</v>
      </c>
      <c r="CP55" s="17">
        <v>230.899</v>
      </c>
      <c r="CQ55" s="17">
        <v>183.625</v>
      </c>
      <c r="CR55" s="17">
        <v>156.73699999999999</v>
      </c>
      <c r="CS55" s="17">
        <v>132.131</v>
      </c>
      <c r="CT55" s="17">
        <v>101.828</v>
      </c>
      <c r="CU55" s="17">
        <v>65.825000000000003</v>
      </c>
      <c r="CV55" s="17">
        <v>46.47</v>
      </c>
      <c r="CW55" s="17">
        <v>26.09</v>
      </c>
      <c r="CX55" s="17">
        <v>42.787999999999997</v>
      </c>
      <c r="CY55" s="3">
        <f t="shared" si="4"/>
        <v>289815.56699999992</v>
      </c>
      <c r="CZ55" s="3">
        <f>SUM(AO55:BG55)</f>
        <v>77993.216000000015</v>
      </c>
      <c r="DA55" s="3">
        <f t="shared" si="5"/>
        <v>0.26911327368415666</v>
      </c>
      <c r="DB55" s="3">
        <f>SUM(Y55:AN55)</f>
        <v>64020.668999999994</v>
      </c>
      <c r="DC55" s="3">
        <f t="shared" si="8"/>
        <v>0.22090141555439641</v>
      </c>
      <c r="DD55" s="3">
        <f>SUM(T55:X55)</f>
        <v>20361.811999999998</v>
      </c>
      <c r="DE55" s="3">
        <f t="shared" si="9"/>
        <v>7.0257827109749441E-2</v>
      </c>
      <c r="DF55" s="3">
        <f>SUM(BH55:BZ55)</f>
        <v>39034.19</v>
      </c>
      <c r="DG55" s="3">
        <f t="shared" si="2"/>
        <v>0.13468631241606152</v>
      </c>
      <c r="DH55">
        <f>SUM(BZ55:CX55)</f>
        <v>15635.199999999999</v>
      </c>
      <c r="DI55" s="9">
        <f t="shared" si="3"/>
        <v>5.3948792888685662E-2</v>
      </c>
      <c r="DJ55" s="7">
        <v>5.3948792888685662E-2</v>
      </c>
      <c r="DK55" s="7">
        <v>0.13468631241606152</v>
      </c>
      <c r="DL55" s="7">
        <v>0.26911327368415666</v>
      </c>
      <c r="DM55" s="7">
        <v>0.22090141555439641</v>
      </c>
      <c r="DN55" s="7"/>
      <c r="DO55" s="10">
        <f t="shared" si="7"/>
        <v>0.67864979454330032</v>
      </c>
    </row>
    <row r="56" spans="1:119">
      <c r="A56" s="4">
        <v>2004</v>
      </c>
      <c r="B56" s="17">
        <v>4245.1859999999997</v>
      </c>
      <c r="C56" s="17">
        <v>4084.2420000000002</v>
      </c>
      <c r="D56" s="17">
        <v>3973.51</v>
      </c>
      <c r="E56" s="17">
        <v>3907.0619999999999</v>
      </c>
      <c r="F56" s="17">
        <v>3831.93</v>
      </c>
      <c r="G56" s="17">
        <v>3874.5709999999999</v>
      </c>
      <c r="H56" s="17">
        <v>3933.6610000000001</v>
      </c>
      <c r="I56" s="17">
        <v>4004.1579999999999</v>
      </c>
      <c r="J56" s="17">
        <v>4081.0189999999998</v>
      </c>
      <c r="K56" s="17">
        <v>4165.5649999999996</v>
      </c>
      <c r="L56" s="17">
        <v>4259.1120000000001</v>
      </c>
      <c r="M56" s="17">
        <v>4324.8209999999999</v>
      </c>
      <c r="N56" s="17">
        <v>4344.9290000000001</v>
      </c>
      <c r="O56" s="17">
        <v>4333.4740000000002</v>
      </c>
      <c r="P56" s="17">
        <v>4323.357</v>
      </c>
      <c r="Q56" s="17">
        <v>4309.317</v>
      </c>
      <c r="R56" s="17">
        <v>4287.402</v>
      </c>
      <c r="S56" s="17">
        <v>4259.3649999999998</v>
      </c>
      <c r="T56" s="17">
        <v>4225.8729999999996</v>
      </c>
      <c r="U56" s="17">
        <v>4188.4319999999998</v>
      </c>
      <c r="V56" s="17">
        <v>4149.8590000000004</v>
      </c>
      <c r="W56" s="17">
        <v>4103.9830000000002</v>
      </c>
      <c r="X56" s="17">
        <v>4048.9070000000002</v>
      </c>
      <c r="Y56" s="17">
        <v>3990.2260000000001</v>
      </c>
      <c r="Z56" s="17">
        <v>3934.6550000000002</v>
      </c>
      <c r="AA56" s="17">
        <v>3879.9209999999998</v>
      </c>
      <c r="AB56" s="17">
        <v>3843.991</v>
      </c>
      <c r="AC56" s="17">
        <v>3836.2109999999998</v>
      </c>
      <c r="AD56" s="17">
        <v>3849.0590000000002</v>
      </c>
      <c r="AE56" s="17">
        <v>3865.0619999999999</v>
      </c>
      <c r="AF56" s="17">
        <v>3886.989</v>
      </c>
      <c r="AG56" s="17">
        <v>3916.585</v>
      </c>
      <c r="AH56" s="17">
        <v>3952.7350000000001</v>
      </c>
      <c r="AI56" s="17">
        <v>3995.1729999999998</v>
      </c>
      <c r="AJ56" s="17">
        <v>4040.64</v>
      </c>
      <c r="AK56" s="17">
        <v>4084.8510000000001</v>
      </c>
      <c r="AL56" s="17">
        <v>4144.5730000000003</v>
      </c>
      <c r="AM56" s="17">
        <v>4226.22</v>
      </c>
      <c r="AN56" s="17">
        <v>4318.66</v>
      </c>
      <c r="AO56" s="17">
        <v>4404.5219999999999</v>
      </c>
      <c r="AP56" s="17">
        <v>4487.4870000000001</v>
      </c>
      <c r="AQ56" s="17">
        <v>4545.5230000000001</v>
      </c>
      <c r="AR56" s="17">
        <v>4565.9489999999996</v>
      </c>
      <c r="AS56" s="17">
        <v>4557.5039999999999</v>
      </c>
      <c r="AT56" s="17">
        <v>4543.6589999999997</v>
      </c>
      <c r="AU56" s="17">
        <v>4522.174</v>
      </c>
      <c r="AV56" s="17">
        <v>4479.57</v>
      </c>
      <c r="AW56" s="17">
        <v>4412.2730000000001</v>
      </c>
      <c r="AX56" s="17">
        <v>4326.0730000000003</v>
      </c>
      <c r="AY56" s="17">
        <v>4229.0330000000004</v>
      </c>
      <c r="AZ56" s="17">
        <v>4117.9769999999999</v>
      </c>
      <c r="BA56" s="17">
        <v>4009.8090000000002</v>
      </c>
      <c r="BB56" s="17">
        <v>3913.2649999999999</v>
      </c>
      <c r="BC56" s="17">
        <v>3820.3519999999999</v>
      </c>
      <c r="BD56" s="17">
        <v>3719.4569999999999</v>
      </c>
      <c r="BE56" s="17">
        <v>3619.0459999999998</v>
      </c>
      <c r="BF56" s="17">
        <v>3489.0509999999999</v>
      </c>
      <c r="BG56" s="17">
        <v>3315.3249999999998</v>
      </c>
      <c r="BH56" s="17">
        <v>3115.8330000000001</v>
      </c>
      <c r="BI56" s="17">
        <v>2921.2069999999999</v>
      </c>
      <c r="BJ56" s="17">
        <v>2723.5439999999999</v>
      </c>
      <c r="BK56" s="17">
        <v>2554.547</v>
      </c>
      <c r="BL56" s="17">
        <v>2432.5360000000001</v>
      </c>
      <c r="BM56" s="17">
        <v>2342.83</v>
      </c>
      <c r="BN56" s="17">
        <v>2252.1770000000001</v>
      </c>
      <c r="BO56" s="17">
        <v>2166.931</v>
      </c>
      <c r="BP56" s="17">
        <v>2086.0439999999999</v>
      </c>
      <c r="BQ56" s="17">
        <v>2005.57</v>
      </c>
      <c r="BR56" s="17">
        <v>1927.729</v>
      </c>
      <c r="BS56" s="17">
        <v>1856.2909999999999</v>
      </c>
      <c r="BT56" s="17">
        <v>1787.626</v>
      </c>
      <c r="BU56" s="17">
        <v>1730.9970000000001</v>
      </c>
      <c r="BV56" s="17">
        <v>1690.4549999999999</v>
      </c>
      <c r="BW56" s="17">
        <v>1659.3050000000001</v>
      </c>
      <c r="BX56" s="17">
        <v>1627.4179999999999</v>
      </c>
      <c r="BY56" s="17">
        <v>1597.556</v>
      </c>
      <c r="BZ56" s="17">
        <v>1554.424</v>
      </c>
      <c r="CA56" s="17">
        <v>1489.61</v>
      </c>
      <c r="CB56" s="17">
        <v>1409.7449999999999</v>
      </c>
      <c r="CC56" s="17">
        <v>1331.1130000000001</v>
      </c>
      <c r="CD56" s="17">
        <v>1251.9459999999999</v>
      </c>
      <c r="CE56" s="17">
        <v>1166.7139999999999</v>
      </c>
      <c r="CF56" s="17">
        <v>1074.7760000000001</v>
      </c>
      <c r="CG56" s="17">
        <v>978.62599999999998</v>
      </c>
      <c r="CH56" s="17">
        <v>882.44399999999996</v>
      </c>
      <c r="CI56" s="17">
        <v>786.65099999999995</v>
      </c>
      <c r="CJ56" s="17">
        <v>692.82600000000002</v>
      </c>
      <c r="CK56" s="17">
        <v>602.59199999999998</v>
      </c>
      <c r="CL56" s="17">
        <v>516.61400000000003</v>
      </c>
      <c r="CM56" s="17">
        <v>425.20499999999998</v>
      </c>
      <c r="CN56" s="17">
        <v>347.54500000000002</v>
      </c>
      <c r="CO56" s="17">
        <v>295.54899999999998</v>
      </c>
      <c r="CP56" s="17">
        <v>239.738</v>
      </c>
      <c r="CQ56" s="17">
        <v>179.506</v>
      </c>
      <c r="CR56" s="17">
        <v>138.40600000000001</v>
      </c>
      <c r="CS56" s="17">
        <v>118.63500000000001</v>
      </c>
      <c r="CT56" s="17">
        <v>98.694000000000003</v>
      </c>
      <c r="CU56" s="17">
        <v>74.596000000000004</v>
      </c>
      <c r="CV56" s="17">
        <v>46.343000000000004</v>
      </c>
      <c r="CW56" s="17">
        <v>26.484999999999999</v>
      </c>
      <c r="CX56" s="17">
        <v>43.948999999999998</v>
      </c>
      <c r="CY56" s="3">
        <f t="shared" si="4"/>
        <v>292354.66300000006</v>
      </c>
      <c r="CZ56" s="3">
        <f>SUM(AP56:BH56)</f>
        <v>77789.36</v>
      </c>
      <c r="DA56" s="3">
        <f t="shared" si="5"/>
        <v>0.26607873875437377</v>
      </c>
      <c r="DB56" s="3">
        <f>SUM(Z56:AO56)</f>
        <v>64179.847000000009</v>
      </c>
      <c r="DC56" s="3">
        <f t="shared" si="8"/>
        <v>0.21952735879571039</v>
      </c>
      <c r="DD56" s="3">
        <f>SUM(T56:Y56)</f>
        <v>24707.279999999999</v>
      </c>
      <c r="DE56" s="3">
        <f t="shared" si="9"/>
        <v>8.4511325205030144E-2</v>
      </c>
      <c r="DF56" s="3">
        <f>SUM(BI56:CA56)</f>
        <v>38406.796999999991</v>
      </c>
      <c r="DG56" s="3">
        <f t="shared" si="2"/>
        <v>0.13137056411513431</v>
      </c>
      <c r="DH56">
        <f>SUM(CA56:CX56)</f>
        <v>14218.307999999999</v>
      </c>
      <c r="DI56" s="9">
        <f t="shared" si="3"/>
        <v>4.8633765078684568E-2</v>
      </c>
      <c r="DJ56" s="7">
        <v>4.8633765078684568E-2</v>
      </c>
      <c r="DK56" s="7">
        <v>0.13137056411513431</v>
      </c>
      <c r="DL56" s="7">
        <v>0.26607873875437377</v>
      </c>
      <c r="DM56" s="7">
        <v>0.21952735879571039</v>
      </c>
      <c r="DN56" s="7"/>
      <c r="DO56" s="10">
        <f t="shared" si="7"/>
        <v>0.66561042674390303</v>
      </c>
    </row>
    <row r="57" spans="1:119">
      <c r="A57" s="4">
        <v>2005</v>
      </c>
      <c r="B57" s="17">
        <v>4344.4309999999996</v>
      </c>
      <c r="C57" s="17">
        <v>4144.4210000000003</v>
      </c>
      <c r="D57" s="17">
        <v>4002.5050000000001</v>
      </c>
      <c r="E57" s="17">
        <v>3912.0929999999998</v>
      </c>
      <c r="F57" s="17">
        <v>3866.587</v>
      </c>
      <c r="G57" s="17">
        <v>3859.3939999999998</v>
      </c>
      <c r="H57" s="17">
        <v>3883.92</v>
      </c>
      <c r="I57" s="17">
        <v>3933.5729999999999</v>
      </c>
      <c r="J57" s="17">
        <v>4001.7570000000001</v>
      </c>
      <c r="K57" s="17">
        <v>4081.8780000000002</v>
      </c>
      <c r="L57" s="17">
        <v>4175.2910000000002</v>
      </c>
      <c r="M57" s="17">
        <v>4283.3490000000002</v>
      </c>
      <c r="N57" s="17">
        <v>4359.7169999999996</v>
      </c>
      <c r="O57" s="17">
        <v>4381.9080000000004</v>
      </c>
      <c r="P57" s="17">
        <v>4367.1689999999999</v>
      </c>
      <c r="Q57" s="17">
        <v>4356.3890000000001</v>
      </c>
      <c r="R57" s="17">
        <v>4342.7709999999997</v>
      </c>
      <c r="S57" s="17">
        <v>4320.7470000000003</v>
      </c>
      <c r="T57" s="17">
        <v>4292.0829999999996</v>
      </c>
      <c r="U57" s="17">
        <v>4257.5159999999996</v>
      </c>
      <c r="V57" s="17">
        <v>4218.7640000000001</v>
      </c>
      <c r="W57" s="17">
        <v>4178.7790000000005</v>
      </c>
      <c r="X57" s="17">
        <v>4130.9269999999997</v>
      </c>
      <c r="Y57" s="17">
        <v>4073.163</v>
      </c>
      <c r="Z57" s="17">
        <v>4011.4270000000001</v>
      </c>
      <c r="AA57" s="17">
        <v>3952.7660000000001</v>
      </c>
      <c r="AB57" s="17">
        <v>3894.6390000000001</v>
      </c>
      <c r="AC57" s="17">
        <v>3856.6329999999998</v>
      </c>
      <c r="AD57" s="17">
        <v>3848.8690000000001</v>
      </c>
      <c r="AE57" s="17">
        <v>3863.029</v>
      </c>
      <c r="AF57" s="17">
        <v>3880.1</v>
      </c>
      <c r="AG57" s="17">
        <v>3903.192</v>
      </c>
      <c r="AH57" s="17">
        <v>3933.232</v>
      </c>
      <c r="AI57" s="17">
        <v>3968.55</v>
      </c>
      <c r="AJ57" s="17">
        <v>4009.297</v>
      </c>
      <c r="AK57" s="17">
        <v>4053.2570000000001</v>
      </c>
      <c r="AL57" s="17">
        <v>4096.0349999999999</v>
      </c>
      <c r="AM57" s="17">
        <v>4153.9669999999996</v>
      </c>
      <c r="AN57" s="17">
        <v>4233.3850000000002</v>
      </c>
      <c r="AO57" s="17">
        <v>4323.3469999999998</v>
      </c>
      <c r="AP57" s="17">
        <v>4406.723</v>
      </c>
      <c r="AQ57" s="17">
        <v>4487.12</v>
      </c>
      <c r="AR57" s="17">
        <v>4543.0410000000002</v>
      </c>
      <c r="AS57" s="17">
        <v>4562.0870000000004</v>
      </c>
      <c r="AT57" s="17">
        <v>4552.7740000000003</v>
      </c>
      <c r="AU57" s="17">
        <v>4538.0249999999996</v>
      </c>
      <c r="AV57" s="17">
        <v>4515.66</v>
      </c>
      <c r="AW57" s="17">
        <v>4472.3789999999999</v>
      </c>
      <c r="AX57" s="17">
        <v>4404.625</v>
      </c>
      <c r="AY57" s="17">
        <v>4318.1099999999997</v>
      </c>
      <c r="AZ57" s="17">
        <v>4220.8069999999998</v>
      </c>
      <c r="BA57" s="17">
        <v>4109.5730000000003</v>
      </c>
      <c r="BB57" s="17">
        <v>4001.0329999999999</v>
      </c>
      <c r="BC57" s="17">
        <v>3903.78</v>
      </c>
      <c r="BD57" s="17">
        <v>3809.9340000000002</v>
      </c>
      <c r="BE57" s="17">
        <v>3708.1329999999998</v>
      </c>
      <c r="BF57" s="17">
        <v>3606.788</v>
      </c>
      <c r="BG57" s="17">
        <v>3475.87</v>
      </c>
      <c r="BH57" s="17">
        <v>3301.2739999999999</v>
      </c>
      <c r="BI57" s="17">
        <v>3100.9290000000001</v>
      </c>
      <c r="BJ57" s="17">
        <v>2905.3409999999999</v>
      </c>
      <c r="BK57" s="17">
        <v>2706.5830000000001</v>
      </c>
      <c r="BL57" s="17">
        <v>2536.558</v>
      </c>
      <c r="BM57" s="17">
        <v>2413.663</v>
      </c>
      <c r="BN57" s="17">
        <v>2323.0920000000001</v>
      </c>
      <c r="BO57" s="17">
        <v>2231.4070000000002</v>
      </c>
      <c r="BP57" s="17">
        <v>2145.0059999999999</v>
      </c>
      <c r="BQ57" s="17">
        <v>2062.5909999999999</v>
      </c>
      <c r="BR57" s="17">
        <v>1980.0730000000001</v>
      </c>
      <c r="BS57" s="17">
        <v>1899.7760000000001</v>
      </c>
      <c r="BT57" s="17">
        <v>1825.7270000000001</v>
      </c>
      <c r="BU57" s="17">
        <v>1754.2560000000001</v>
      </c>
      <c r="BV57" s="17">
        <v>1694.56</v>
      </c>
      <c r="BW57" s="17">
        <v>1650.6849999999999</v>
      </c>
      <c r="BX57" s="17">
        <v>1615.9559999999999</v>
      </c>
      <c r="BY57" s="17">
        <v>1580.5160000000001</v>
      </c>
      <c r="BZ57" s="17">
        <v>1547.365</v>
      </c>
      <c r="CA57" s="17">
        <v>1500.038</v>
      </c>
      <c r="CB57" s="17">
        <v>1429.6590000000001</v>
      </c>
      <c r="CC57" s="17">
        <v>1343.577</v>
      </c>
      <c r="CD57" s="17">
        <v>1259.172</v>
      </c>
      <c r="CE57" s="17">
        <v>1174.3489999999999</v>
      </c>
      <c r="CF57" s="17">
        <v>1085.2560000000001</v>
      </c>
      <c r="CG57" s="17">
        <v>992.16499999999996</v>
      </c>
      <c r="CH57" s="17">
        <v>896.81399999999996</v>
      </c>
      <c r="CI57" s="17">
        <v>801.66899999999998</v>
      </c>
      <c r="CJ57" s="17">
        <v>707.43</v>
      </c>
      <c r="CK57" s="17">
        <v>615.74900000000002</v>
      </c>
      <c r="CL57" s="17">
        <v>528.09900000000005</v>
      </c>
      <c r="CM57" s="17">
        <v>445.15499999999997</v>
      </c>
      <c r="CN57" s="17">
        <v>355.27</v>
      </c>
      <c r="CO57" s="17">
        <v>282.37700000000001</v>
      </c>
      <c r="CP57" s="17">
        <v>239.18</v>
      </c>
      <c r="CQ57" s="17">
        <v>187.81200000000001</v>
      </c>
      <c r="CR57" s="17">
        <v>128.27000000000001</v>
      </c>
      <c r="CS57" s="17">
        <v>93.316000000000003</v>
      </c>
      <c r="CT57" s="17">
        <v>80.64</v>
      </c>
      <c r="CU57" s="17">
        <v>65.347999999999999</v>
      </c>
      <c r="CV57" s="17">
        <v>47.436</v>
      </c>
      <c r="CW57" s="17">
        <v>26.905000000000001</v>
      </c>
      <c r="CX57" s="17">
        <v>45.146000000000001</v>
      </c>
      <c r="CY57" s="3">
        <f t="shared" si="4"/>
        <v>294993.50899999996</v>
      </c>
      <c r="CZ57" s="3">
        <f>SUM(AQ57:BI57)</f>
        <v>77631.94200000001</v>
      </c>
      <c r="DA57" s="3">
        <f t="shared" si="5"/>
        <v>0.26316491594396413</v>
      </c>
      <c r="DB57" s="3">
        <f>SUM(AA57:AP57)</f>
        <v>64377.021000000001</v>
      </c>
      <c r="DC57" s="3">
        <f t="shared" si="8"/>
        <v>0.21823199167409479</v>
      </c>
      <c r="DD57" s="3">
        <f>SUM(T57:Z57)</f>
        <v>29162.659</v>
      </c>
      <c r="DE57" s="3">
        <f t="shared" si="9"/>
        <v>9.8858646411775802E-2</v>
      </c>
      <c r="DF57" s="3">
        <f>SUM(BJ57:CB57)</f>
        <v>37802.852000000006</v>
      </c>
      <c r="DG57" s="3">
        <f t="shared" si="2"/>
        <v>0.12814808070912506</v>
      </c>
      <c r="DH57">
        <f>SUM(CB57:CX57)</f>
        <v>12830.794000000004</v>
      </c>
      <c r="DI57" s="9">
        <f t="shared" si="3"/>
        <v>4.3495173990421618E-2</v>
      </c>
      <c r="DJ57" s="7">
        <v>4.3495173990421618E-2</v>
      </c>
      <c r="DK57" s="7">
        <v>0.12814808070912506</v>
      </c>
      <c r="DL57" s="7">
        <v>0.26316491594396413</v>
      </c>
      <c r="DM57" s="7">
        <v>0.21823199167409479</v>
      </c>
      <c r="DN57" s="7"/>
      <c r="DO57" s="10">
        <f t="shared" si="7"/>
        <v>0.65304016231760564</v>
      </c>
    </row>
    <row r="58" spans="1:119">
      <c r="A58" s="4">
        <v>2006</v>
      </c>
      <c r="B58" s="17">
        <v>4385.1779999999999</v>
      </c>
      <c r="C58" s="17">
        <v>4300.973</v>
      </c>
      <c r="D58" s="17">
        <v>4139.1890000000003</v>
      </c>
      <c r="E58" s="17">
        <v>4024.415</v>
      </c>
      <c r="F58" s="17">
        <v>3951.567</v>
      </c>
      <c r="G58" s="17">
        <v>3915.5659999999998</v>
      </c>
      <c r="H58" s="17">
        <v>3910.2339999999999</v>
      </c>
      <c r="I58" s="17">
        <v>3929.3939999999998</v>
      </c>
      <c r="J58" s="17">
        <v>3973.4479999999999</v>
      </c>
      <c r="K58" s="17">
        <v>4039.502</v>
      </c>
      <c r="L58" s="17">
        <v>4119.192</v>
      </c>
      <c r="M58" s="17">
        <v>4208.5190000000002</v>
      </c>
      <c r="N58" s="17">
        <v>4310.0640000000003</v>
      </c>
      <c r="O58" s="17">
        <v>4380.4449999999997</v>
      </c>
      <c r="P58" s="17">
        <v>4398.1670000000004</v>
      </c>
      <c r="Q58" s="17">
        <v>4380.0309999999999</v>
      </c>
      <c r="R58" s="17">
        <v>4365.4380000000001</v>
      </c>
      <c r="S58" s="17">
        <v>4347.8220000000001</v>
      </c>
      <c r="T58" s="17">
        <v>4322.9350000000004</v>
      </c>
      <c r="U58" s="17">
        <v>4293.0330000000004</v>
      </c>
      <c r="V58" s="17">
        <v>4258.442</v>
      </c>
      <c r="W58" s="17">
        <v>4219.7430000000004</v>
      </c>
      <c r="X58" s="17">
        <v>4179.8329999999996</v>
      </c>
      <c r="Y58" s="17">
        <v>4133.1329999999998</v>
      </c>
      <c r="Z58" s="17">
        <v>4077.9169999999999</v>
      </c>
      <c r="AA58" s="17">
        <v>4019.5189999999998</v>
      </c>
      <c r="AB58" s="17">
        <v>3964.1770000000001</v>
      </c>
      <c r="AC58" s="17">
        <v>3909.6579999999999</v>
      </c>
      <c r="AD58" s="17">
        <v>3873.72</v>
      </c>
      <c r="AE58" s="17">
        <v>3865.538</v>
      </c>
      <c r="AF58" s="17">
        <v>3877.625</v>
      </c>
      <c r="AG58" s="17">
        <v>3892.78</v>
      </c>
      <c r="AH58" s="17">
        <v>3913.7959999999998</v>
      </c>
      <c r="AI58" s="17">
        <v>3941.7710000000002</v>
      </c>
      <c r="AJ58" s="17">
        <v>3975.3159999999998</v>
      </c>
      <c r="AK58" s="17">
        <v>4014.4580000000001</v>
      </c>
      <c r="AL58" s="17">
        <v>4056.616</v>
      </c>
      <c r="AM58" s="17">
        <v>4097.5140000000001</v>
      </c>
      <c r="AN58" s="17">
        <v>4153.598</v>
      </c>
      <c r="AO58" s="17">
        <v>4231.2349999999997</v>
      </c>
      <c r="AP58" s="17">
        <v>4319.5240000000003</v>
      </c>
      <c r="AQ58" s="17">
        <v>4401.2280000000001</v>
      </c>
      <c r="AR58" s="17">
        <v>4479.83</v>
      </c>
      <c r="AS58" s="17">
        <v>4534.674</v>
      </c>
      <c r="AT58" s="17">
        <v>4553.723</v>
      </c>
      <c r="AU58" s="17">
        <v>4545.049</v>
      </c>
      <c r="AV58" s="17">
        <v>4530.848</v>
      </c>
      <c r="AW58" s="17">
        <v>4509.1689999999999</v>
      </c>
      <c r="AX58" s="17">
        <v>4465.7889999999998</v>
      </c>
      <c r="AY58" s="17">
        <v>4396.6450000000004</v>
      </c>
      <c r="AZ58" s="17">
        <v>4307.9059999999999</v>
      </c>
      <c r="BA58" s="17">
        <v>4208.5360000000001</v>
      </c>
      <c r="BB58" s="17">
        <v>4095.2240000000002</v>
      </c>
      <c r="BC58" s="17">
        <v>3984.71</v>
      </c>
      <c r="BD58" s="17">
        <v>3885.7539999999999</v>
      </c>
      <c r="BE58" s="17">
        <v>3790.4050000000002</v>
      </c>
      <c r="BF58" s="17">
        <v>3686.9659999999999</v>
      </c>
      <c r="BG58" s="17">
        <v>3583.79</v>
      </c>
      <c r="BH58" s="17">
        <v>3451.5639999999999</v>
      </c>
      <c r="BI58" s="17">
        <v>3276.4650000000001</v>
      </c>
      <c r="BJ58" s="17">
        <v>3076.0619999999999</v>
      </c>
      <c r="BK58" s="17">
        <v>2880.2890000000002</v>
      </c>
      <c r="BL58" s="17">
        <v>2681.415</v>
      </c>
      <c r="BM58" s="17">
        <v>2510.5079999999998</v>
      </c>
      <c r="BN58" s="17">
        <v>2385.5120000000002</v>
      </c>
      <c r="BO58" s="17">
        <v>2292.04</v>
      </c>
      <c r="BP58" s="17">
        <v>2197.511</v>
      </c>
      <c r="BQ58" s="17">
        <v>2108.1460000000002</v>
      </c>
      <c r="BR58" s="17">
        <v>2022.915</v>
      </c>
      <c r="BS58" s="17">
        <v>1937.9469999999999</v>
      </c>
      <c r="BT58" s="17">
        <v>1855.4110000000001</v>
      </c>
      <c r="BU58" s="17">
        <v>1778.9860000000001</v>
      </c>
      <c r="BV58" s="17">
        <v>1705.1010000000001</v>
      </c>
      <c r="BW58" s="17">
        <v>1642.885</v>
      </c>
      <c r="BX58" s="17">
        <v>1596.328</v>
      </c>
      <c r="BY58" s="17">
        <v>1558.8320000000001</v>
      </c>
      <c r="BZ58" s="17">
        <v>1520.828</v>
      </c>
      <c r="CA58" s="17">
        <v>1485.4559999999999</v>
      </c>
      <c r="CB58" s="17">
        <v>1435.55</v>
      </c>
      <c r="CC58" s="17">
        <v>1361.9780000000001</v>
      </c>
      <c r="CD58" s="17">
        <v>1272.529</v>
      </c>
      <c r="CE58" s="17">
        <v>1185.2619999999999</v>
      </c>
      <c r="CF58" s="17">
        <v>1097.933</v>
      </c>
      <c r="CG58" s="17">
        <v>1007.575</v>
      </c>
      <c r="CH58" s="17">
        <v>914.96600000000001</v>
      </c>
      <c r="CI58" s="17">
        <v>821.48800000000006</v>
      </c>
      <c r="CJ58" s="17">
        <v>726.49800000000005</v>
      </c>
      <c r="CK58" s="17">
        <v>636.34400000000005</v>
      </c>
      <c r="CL58" s="17">
        <v>552.78499999999997</v>
      </c>
      <c r="CM58" s="17">
        <v>469.52699999999999</v>
      </c>
      <c r="CN58" s="17">
        <v>387.10899999999998</v>
      </c>
      <c r="CO58" s="17">
        <v>305.36700000000002</v>
      </c>
      <c r="CP58" s="17">
        <v>243.965</v>
      </c>
      <c r="CQ58" s="17">
        <v>205.839</v>
      </c>
      <c r="CR58" s="17">
        <v>160.71600000000001</v>
      </c>
      <c r="CS58" s="17">
        <v>108.595</v>
      </c>
      <c r="CT58" s="17">
        <v>81.718000000000004</v>
      </c>
      <c r="CU58" s="17">
        <v>66.105999999999995</v>
      </c>
      <c r="CV58" s="17">
        <v>47.973999999999997</v>
      </c>
      <c r="CW58" s="17">
        <v>27.324000000000002</v>
      </c>
      <c r="CX58" s="17">
        <v>46.356999999999999</v>
      </c>
      <c r="CY58" s="3">
        <f t="shared" si="4"/>
        <v>297758.9769999999</v>
      </c>
      <c r="CZ58" s="3">
        <f>SUM(AR58:BJ58)</f>
        <v>77363.109000000011</v>
      </c>
      <c r="DA58" s="3">
        <f t="shared" si="5"/>
        <v>0.2598178895543426</v>
      </c>
      <c r="DB58" s="3">
        <f>SUM(AB58:AQ58)</f>
        <v>64488.554000000004</v>
      </c>
      <c r="DC58" s="3">
        <f t="shared" si="8"/>
        <v>0.21657971373269469</v>
      </c>
      <c r="DD58" s="3">
        <f>SUM(T58:AA58)</f>
        <v>33504.555</v>
      </c>
      <c r="DE58" s="3">
        <f t="shared" si="9"/>
        <v>0.11252240096190286</v>
      </c>
      <c r="DF58" s="3">
        <f>SUM(BK58:CC58)</f>
        <v>36957.638000000006</v>
      </c>
      <c r="DG58" s="3">
        <f t="shared" si="2"/>
        <v>0.12411930740882421</v>
      </c>
      <c r="DH58">
        <f>SUM(CC58:CX58)</f>
        <v>11727.955000000002</v>
      </c>
      <c r="DI58" s="9">
        <f t="shared" si="3"/>
        <v>3.9387410308035838E-2</v>
      </c>
      <c r="DJ58" s="7">
        <v>3.9387410308035838E-2</v>
      </c>
      <c r="DK58" s="7">
        <v>0.12411930740882421</v>
      </c>
      <c r="DL58" s="7">
        <v>0.2598178895543426</v>
      </c>
      <c r="DM58" s="7">
        <v>0.21657971373269469</v>
      </c>
      <c r="DN58" s="7"/>
      <c r="DO58" s="10">
        <f t="shared" si="7"/>
        <v>0.63990432100389727</v>
      </c>
    </row>
    <row r="59" spans="1:119">
      <c r="A59" s="4">
        <v>2007</v>
      </c>
      <c r="B59" s="17">
        <v>4383.2070000000003</v>
      </c>
      <c r="C59" s="17">
        <v>4211.1890000000003</v>
      </c>
      <c r="D59" s="17">
        <v>4261.1809999999996</v>
      </c>
      <c r="E59" s="17">
        <v>4137.4639999999999</v>
      </c>
      <c r="F59" s="17">
        <v>4049.7130000000002</v>
      </c>
      <c r="G59" s="17">
        <v>3994.3580000000002</v>
      </c>
      <c r="H59" s="17">
        <v>3967.8240000000001</v>
      </c>
      <c r="I59" s="17">
        <v>3964.3470000000002</v>
      </c>
      <c r="J59" s="17">
        <v>3978.163</v>
      </c>
      <c r="K59" s="17">
        <v>4016.6570000000002</v>
      </c>
      <c r="L59" s="17">
        <v>4080.6410000000001</v>
      </c>
      <c r="M59" s="17">
        <v>4159.9660000000003</v>
      </c>
      <c r="N59" s="17">
        <v>4245.2860000000001</v>
      </c>
      <c r="O59" s="17">
        <v>4340.4059999999999</v>
      </c>
      <c r="P59" s="17">
        <v>4404.8639999999996</v>
      </c>
      <c r="Q59" s="17">
        <v>4418.1350000000002</v>
      </c>
      <c r="R59" s="17">
        <v>4396.59</v>
      </c>
      <c r="S59" s="17">
        <v>4378.1710000000003</v>
      </c>
      <c r="T59" s="17">
        <v>4356.5450000000001</v>
      </c>
      <c r="U59" s="17">
        <v>4328.7780000000002</v>
      </c>
      <c r="V59" s="17">
        <v>4297.6139999999996</v>
      </c>
      <c r="W59" s="17">
        <v>4262.97</v>
      </c>
      <c r="X59" s="17">
        <v>4224.2920000000004</v>
      </c>
      <c r="Y59" s="17">
        <v>4184.4229999999998</v>
      </c>
      <c r="Z59" s="17">
        <v>4138.835</v>
      </c>
      <c r="AA59" s="17">
        <v>4086.1170000000002</v>
      </c>
      <c r="AB59" s="17">
        <v>4031.0050000000001</v>
      </c>
      <c r="AC59" s="17">
        <v>3978.9349999999999</v>
      </c>
      <c r="AD59" s="17">
        <v>3927.9760000000001</v>
      </c>
      <c r="AE59" s="17">
        <v>3894.0740000000001</v>
      </c>
      <c r="AF59" s="17">
        <v>3885.4679999999998</v>
      </c>
      <c r="AG59" s="17">
        <v>3895.4920000000002</v>
      </c>
      <c r="AH59" s="17">
        <v>3908.7440000000001</v>
      </c>
      <c r="AI59" s="17">
        <v>3927.7040000000002</v>
      </c>
      <c r="AJ59" s="17">
        <v>3953.6390000000001</v>
      </c>
      <c r="AK59" s="17">
        <v>3985.4409999999998</v>
      </c>
      <c r="AL59" s="17">
        <v>4023.0129999999999</v>
      </c>
      <c r="AM59" s="17">
        <v>4063.4050000000002</v>
      </c>
      <c r="AN59" s="17">
        <v>4102.4579999999996</v>
      </c>
      <c r="AO59" s="17">
        <v>4156.7430000000004</v>
      </c>
      <c r="AP59" s="17">
        <v>4232.6639999999998</v>
      </c>
      <c r="AQ59" s="17">
        <v>4319.3580000000002</v>
      </c>
      <c r="AR59" s="17">
        <v>4399.46</v>
      </c>
      <c r="AS59" s="17">
        <v>4476.3329999999996</v>
      </c>
      <c r="AT59" s="17">
        <v>4530.1480000000001</v>
      </c>
      <c r="AU59" s="17">
        <v>4549.2150000000001</v>
      </c>
      <c r="AV59" s="17">
        <v>4541.1750000000002</v>
      </c>
      <c r="AW59" s="17">
        <v>4527.5079999999998</v>
      </c>
      <c r="AX59" s="17">
        <v>4506.4970000000003</v>
      </c>
      <c r="AY59" s="17">
        <v>4462.982</v>
      </c>
      <c r="AZ59" s="17">
        <v>4392.3900000000003</v>
      </c>
      <c r="BA59" s="17">
        <v>4301.3530000000001</v>
      </c>
      <c r="BB59" s="17">
        <v>4199.8339999999998</v>
      </c>
      <c r="BC59" s="17">
        <v>4084.35</v>
      </c>
      <c r="BD59" s="17">
        <v>3971.77</v>
      </c>
      <c r="BE59" s="17">
        <v>3871.027</v>
      </c>
      <c r="BF59" s="17">
        <v>3774.0949999999998</v>
      </c>
      <c r="BG59" s="17">
        <v>3668.931</v>
      </c>
      <c r="BH59" s="17">
        <v>3563.8380000000002</v>
      </c>
      <c r="BI59" s="17">
        <v>3430.192</v>
      </c>
      <c r="BJ59" s="17">
        <v>3254.4430000000002</v>
      </c>
      <c r="BK59" s="17">
        <v>3053.8130000000001</v>
      </c>
      <c r="BL59" s="17">
        <v>2857.69</v>
      </c>
      <c r="BM59" s="17">
        <v>2658.5329999999999</v>
      </c>
      <c r="BN59" s="17">
        <v>2486.5970000000002</v>
      </c>
      <c r="BO59" s="17">
        <v>2359.3980000000001</v>
      </c>
      <c r="BP59" s="17">
        <v>2262.9470000000001</v>
      </c>
      <c r="BQ59" s="17">
        <v>2165.4969999999998</v>
      </c>
      <c r="BR59" s="17">
        <v>2073.0929999999998</v>
      </c>
      <c r="BS59" s="17">
        <v>1984.9749999999999</v>
      </c>
      <c r="BT59" s="17">
        <v>1897.4860000000001</v>
      </c>
      <c r="BU59" s="17">
        <v>1812.644</v>
      </c>
      <c r="BV59" s="17">
        <v>1733.7809999999999</v>
      </c>
      <c r="BW59" s="17">
        <v>1657.42</v>
      </c>
      <c r="BX59" s="17">
        <v>1592.633</v>
      </c>
      <c r="BY59" s="17">
        <v>1543.357</v>
      </c>
      <c r="BZ59" s="17">
        <v>1503.0619999999999</v>
      </c>
      <c r="CA59" s="17">
        <v>1462.4659999999999</v>
      </c>
      <c r="CB59" s="17">
        <v>1424.8440000000001</v>
      </c>
      <c r="CC59" s="17">
        <v>1372.318</v>
      </c>
      <c r="CD59" s="17">
        <v>1295.4939999999999</v>
      </c>
      <c r="CE59" s="17">
        <v>1202.6030000000001</v>
      </c>
      <c r="CF59" s="17">
        <v>1112.402</v>
      </c>
      <c r="CG59" s="17">
        <v>1022.494</v>
      </c>
      <c r="CH59" s="17">
        <v>930.79499999999996</v>
      </c>
      <c r="CI59" s="17">
        <v>838.59</v>
      </c>
      <c r="CJ59" s="17">
        <v>746.90499999999997</v>
      </c>
      <c r="CK59" s="17">
        <v>651.98800000000006</v>
      </c>
      <c r="CL59" s="17">
        <v>565.84100000000001</v>
      </c>
      <c r="CM59" s="17">
        <v>490.32799999999997</v>
      </c>
      <c r="CN59" s="17">
        <v>411.38900000000001</v>
      </c>
      <c r="CO59" s="17">
        <v>329.42700000000002</v>
      </c>
      <c r="CP59" s="17">
        <v>255.751</v>
      </c>
      <c r="CQ59" s="17">
        <v>205.78200000000001</v>
      </c>
      <c r="CR59" s="17">
        <v>172.69200000000001</v>
      </c>
      <c r="CS59" s="17">
        <v>133.77199999999999</v>
      </c>
      <c r="CT59" s="17">
        <v>89.022000000000006</v>
      </c>
      <c r="CU59" s="17">
        <v>67.055999999999997</v>
      </c>
      <c r="CV59" s="17">
        <v>48.624000000000002</v>
      </c>
      <c r="CW59" s="17">
        <v>27.805</v>
      </c>
      <c r="CX59" s="17">
        <v>47.715000000000003</v>
      </c>
      <c r="CY59" s="3">
        <f t="shared" si="4"/>
        <v>300608.42499999993</v>
      </c>
      <c r="CZ59" s="3">
        <f>SUM(AS59:BK59)</f>
        <v>77159.893999999986</v>
      </c>
      <c r="DA59" s="3">
        <f t="shared" si="5"/>
        <v>0.2566790801022959</v>
      </c>
      <c r="DB59" s="3">
        <f>SUM(AC59:AR59)</f>
        <v>64654.573999999993</v>
      </c>
      <c r="DC59" s="3">
        <f t="shared" si="8"/>
        <v>0.21507904843319015</v>
      </c>
      <c r="DD59" s="3">
        <f>SUM(T59:AB59)</f>
        <v>37910.578999999998</v>
      </c>
      <c r="DE59" s="3">
        <f t="shared" si="9"/>
        <v>0.12611282933936402</v>
      </c>
      <c r="DF59" s="3">
        <f>SUM(BL59:CD59)</f>
        <v>36144.235000000001</v>
      </c>
      <c r="DG59" s="3">
        <f t="shared" si="2"/>
        <v>0.12023693281384248</v>
      </c>
      <c r="DH59">
        <f>SUM(CD59:CX59)</f>
        <v>10646.474999999999</v>
      </c>
      <c r="DI59" s="9">
        <f t="shared" si="3"/>
        <v>3.5416422543712807E-2</v>
      </c>
      <c r="DJ59" s="7">
        <v>3.5416422543712807E-2</v>
      </c>
      <c r="DK59" s="7">
        <v>0.12023693281384248</v>
      </c>
      <c r="DL59" s="7">
        <v>0.2566790801022959</v>
      </c>
      <c r="DM59" s="7">
        <v>0.21507904843319015</v>
      </c>
      <c r="DN59" s="7"/>
      <c r="DO59" s="10">
        <f t="shared" si="7"/>
        <v>0.62741148389304136</v>
      </c>
    </row>
    <row r="60" spans="1:119">
      <c r="A60" s="4">
        <v>2008</v>
      </c>
      <c r="B60" s="17">
        <v>4344.2269999999999</v>
      </c>
      <c r="C60" s="17">
        <v>4223.2330000000002</v>
      </c>
      <c r="D60" s="17">
        <v>4131.902</v>
      </c>
      <c r="E60" s="17">
        <v>4223.1059999999998</v>
      </c>
      <c r="F60" s="17">
        <v>4137.4269999999997</v>
      </c>
      <c r="G60" s="17">
        <v>4076.6819999999998</v>
      </c>
      <c r="H60" s="17">
        <v>4038.8069999999998</v>
      </c>
      <c r="I60" s="17">
        <v>4021.7359999999999</v>
      </c>
      <c r="J60" s="17">
        <v>4020.114</v>
      </c>
      <c r="K60" s="17">
        <v>4028.5859999999998</v>
      </c>
      <c r="L60" s="17">
        <v>4061.5340000000001</v>
      </c>
      <c r="M60" s="17">
        <v>4123.4709999999995</v>
      </c>
      <c r="N60" s="17">
        <v>4202.4639999999999</v>
      </c>
      <c r="O60" s="17">
        <v>4283.8090000000002</v>
      </c>
      <c r="P60" s="17">
        <v>4372.5420000000004</v>
      </c>
      <c r="Q60" s="17">
        <v>4431.0969999999998</v>
      </c>
      <c r="R60" s="17">
        <v>4439.92</v>
      </c>
      <c r="S60" s="17">
        <v>4414.9570000000003</v>
      </c>
      <c r="T60" s="17">
        <v>4392.7030000000004</v>
      </c>
      <c r="U60" s="17">
        <v>4367.0559999999996</v>
      </c>
      <c r="V60" s="17">
        <v>4336.3950000000004</v>
      </c>
      <c r="W60" s="17">
        <v>4303.9560000000001</v>
      </c>
      <c r="X60" s="17">
        <v>4269.2430000000004</v>
      </c>
      <c r="Y60" s="17">
        <v>4230.5709999999999</v>
      </c>
      <c r="Z60" s="17">
        <v>4190.7269999999999</v>
      </c>
      <c r="AA60" s="17">
        <v>4146.232</v>
      </c>
      <c r="AB60" s="17">
        <v>4095.9940000000001</v>
      </c>
      <c r="AC60" s="17">
        <v>4044.1460000000002</v>
      </c>
      <c r="AD60" s="17">
        <v>3995.3270000000002</v>
      </c>
      <c r="AE60" s="17">
        <v>3947.9079999999999</v>
      </c>
      <c r="AF60" s="17">
        <v>3916.029</v>
      </c>
      <c r="AG60" s="17">
        <v>3906.9949999999999</v>
      </c>
      <c r="AH60" s="17">
        <v>3914.96</v>
      </c>
      <c r="AI60" s="17">
        <v>3926.3139999999999</v>
      </c>
      <c r="AJ60" s="17">
        <v>3943.2240000000002</v>
      </c>
      <c r="AK60" s="17">
        <v>3967.1280000000002</v>
      </c>
      <c r="AL60" s="17">
        <v>3997.1990000000001</v>
      </c>
      <c r="AM60" s="17">
        <v>4033.2150000000001</v>
      </c>
      <c r="AN60" s="17">
        <v>4071.855</v>
      </c>
      <c r="AO60" s="17">
        <v>4109.0810000000001</v>
      </c>
      <c r="AP60" s="17">
        <v>4161.5870000000004</v>
      </c>
      <c r="AQ60" s="17">
        <v>4235.8230000000003</v>
      </c>
      <c r="AR60" s="17">
        <v>4320.9539999999997</v>
      </c>
      <c r="AS60" s="17">
        <v>4399.4859999999999</v>
      </c>
      <c r="AT60" s="17">
        <v>4474.6629999999996</v>
      </c>
      <c r="AU60" s="17">
        <v>4527.4690000000001</v>
      </c>
      <c r="AV60" s="17">
        <v>4546.5619999999999</v>
      </c>
      <c r="AW60" s="17">
        <v>4539.1509999999998</v>
      </c>
      <c r="AX60" s="17">
        <v>4526.0129999999999</v>
      </c>
      <c r="AY60" s="17">
        <v>4505.6620000000003</v>
      </c>
      <c r="AZ60" s="17">
        <v>4461.9939999999997</v>
      </c>
      <c r="BA60" s="17">
        <v>4389.9229999999998</v>
      </c>
      <c r="BB60" s="17">
        <v>4296.549</v>
      </c>
      <c r="BC60" s="17">
        <v>4192.8379999999997</v>
      </c>
      <c r="BD60" s="17">
        <v>4075.134</v>
      </c>
      <c r="BE60" s="17">
        <v>3960.44</v>
      </c>
      <c r="BF60" s="17">
        <v>3857.8679999999999</v>
      </c>
      <c r="BG60" s="17">
        <v>3759.3139999999999</v>
      </c>
      <c r="BH60" s="17">
        <v>3652.38</v>
      </c>
      <c r="BI60" s="17">
        <v>3545.326</v>
      </c>
      <c r="BJ60" s="17">
        <v>3410.2049999999999</v>
      </c>
      <c r="BK60" s="17">
        <v>3233.7339999999999</v>
      </c>
      <c r="BL60" s="17">
        <v>3032.7930000000001</v>
      </c>
      <c r="BM60" s="17">
        <v>2836.239</v>
      </c>
      <c r="BN60" s="17">
        <v>2636.7159999999999</v>
      </c>
      <c r="BO60" s="17">
        <v>2463.683</v>
      </c>
      <c r="BP60" s="17">
        <v>2334.2260000000001</v>
      </c>
      <c r="BQ60" s="17">
        <v>2234.7570000000001</v>
      </c>
      <c r="BR60" s="17">
        <v>2134.3420000000001</v>
      </c>
      <c r="BS60" s="17">
        <v>2038.8630000000001</v>
      </c>
      <c r="BT60" s="17">
        <v>1947.819</v>
      </c>
      <c r="BU60" s="17">
        <v>1857.7729999999999</v>
      </c>
      <c r="BV60" s="17">
        <v>1770.588</v>
      </c>
      <c r="BW60" s="17">
        <v>1689.2529999999999</v>
      </c>
      <c r="BX60" s="17">
        <v>1610.3810000000001</v>
      </c>
      <c r="BY60" s="17">
        <v>1542.9949999999999</v>
      </c>
      <c r="BZ60" s="17">
        <v>1490.9780000000001</v>
      </c>
      <c r="CA60" s="17">
        <v>1447.865</v>
      </c>
      <c r="CB60" s="17">
        <v>1404.6590000000001</v>
      </c>
      <c r="CC60" s="17">
        <v>1364.769</v>
      </c>
      <c r="CD60" s="17">
        <v>1309.5999999999999</v>
      </c>
      <c r="CE60" s="17">
        <v>1229.49</v>
      </c>
      <c r="CF60" s="17">
        <v>1133.1179999999999</v>
      </c>
      <c r="CG60" s="17">
        <v>1039.944</v>
      </c>
      <c r="CH60" s="17">
        <v>947.41899999999998</v>
      </c>
      <c r="CI60" s="17">
        <v>854.34100000000001</v>
      </c>
      <c r="CJ60" s="17">
        <v>762.50199999999995</v>
      </c>
      <c r="CK60" s="17">
        <v>672.572</v>
      </c>
      <c r="CL60" s="17">
        <v>577.69200000000001</v>
      </c>
      <c r="CM60" s="17">
        <v>495.51799999999997</v>
      </c>
      <c r="CN60" s="17">
        <v>428.02600000000001</v>
      </c>
      <c r="CO60" s="17">
        <v>353.37599999999998</v>
      </c>
      <c r="CP60" s="17">
        <v>271.839</v>
      </c>
      <c r="CQ60" s="17">
        <v>206.20500000000001</v>
      </c>
      <c r="CR60" s="17">
        <v>167.65600000000001</v>
      </c>
      <c r="CS60" s="17">
        <v>139.59100000000001</v>
      </c>
      <c r="CT60" s="17">
        <v>106.863</v>
      </c>
      <c r="CU60" s="17">
        <v>69.472999999999999</v>
      </c>
      <c r="CV60" s="17">
        <v>49.546999999999997</v>
      </c>
      <c r="CW60" s="17">
        <v>28.411000000000001</v>
      </c>
      <c r="CX60" s="17">
        <v>49.192999999999998</v>
      </c>
      <c r="CY60" s="3">
        <f t="shared" si="4"/>
        <v>303486.02200000011</v>
      </c>
      <c r="CZ60" s="3">
        <f>SUM(AT60:BL60)</f>
        <v>76988.017999999996</v>
      </c>
      <c r="DA60" s="3">
        <f t="shared" si="5"/>
        <v>0.25367895856501743</v>
      </c>
      <c r="DB60" s="3">
        <f>SUM(AD60:AS60)</f>
        <v>64847.084999999999</v>
      </c>
      <c r="DC60" s="3">
        <f t="shared" si="8"/>
        <v>0.21367404196296058</v>
      </c>
      <c r="DD60" s="3">
        <f>SUM(T60:AC60)</f>
        <v>42377.023000000001</v>
      </c>
      <c r="DE60" s="3">
        <f t="shared" si="9"/>
        <v>0.1396341838768442</v>
      </c>
      <c r="DF60" s="3">
        <f>SUM(BM60:CE60)</f>
        <v>35344.995999999999</v>
      </c>
      <c r="DG60" s="3">
        <f t="shared" si="2"/>
        <v>0.11646334077290711</v>
      </c>
      <c r="DH60">
        <f>SUM(CE60:CX60)</f>
        <v>9582.7759999999998</v>
      </c>
      <c r="DI60" s="9">
        <f t="shared" si="3"/>
        <v>3.1575675007529662E-2</v>
      </c>
      <c r="DJ60" s="7">
        <v>3.1575675007529662E-2</v>
      </c>
      <c r="DK60" s="7">
        <v>0.11646334077290711</v>
      </c>
      <c r="DL60" s="7">
        <v>0.25367895856501743</v>
      </c>
      <c r="DM60" s="7">
        <v>0.21367404196296058</v>
      </c>
      <c r="DN60" s="7"/>
      <c r="DO60" s="10">
        <f t="shared" si="7"/>
        <v>0.61539201630841478</v>
      </c>
    </row>
    <row r="61" spans="1:119">
      <c r="A61" s="4">
        <v>2009</v>
      </c>
      <c r="B61" s="17">
        <v>4279.509</v>
      </c>
      <c r="C61" s="17">
        <v>4216.5439999999999</v>
      </c>
      <c r="D61" s="17">
        <v>4166.3180000000002</v>
      </c>
      <c r="E61" s="17">
        <v>4128.0929999999998</v>
      </c>
      <c r="F61" s="17">
        <v>4184.165</v>
      </c>
      <c r="G61" s="17">
        <v>4136.5720000000001</v>
      </c>
      <c r="H61" s="17">
        <v>4102.8680000000004</v>
      </c>
      <c r="I61" s="17">
        <v>4082.4949999999999</v>
      </c>
      <c r="J61" s="17">
        <v>4074.8989999999999</v>
      </c>
      <c r="K61" s="17">
        <v>4075.1329999999998</v>
      </c>
      <c r="L61" s="17">
        <v>4078.2550000000001</v>
      </c>
      <c r="M61" s="17">
        <v>4105.6450000000004</v>
      </c>
      <c r="N61" s="17">
        <v>4165.5219999999999</v>
      </c>
      <c r="O61" s="17">
        <v>4244.1679999999997</v>
      </c>
      <c r="P61" s="17">
        <v>4321.5190000000002</v>
      </c>
      <c r="Q61" s="17">
        <v>4403.8410000000003</v>
      </c>
      <c r="R61" s="17">
        <v>4456.4780000000001</v>
      </c>
      <c r="S61" s="17">
        <v>4460.848</v>
      </c>
      <c r="T61" s="17">
        <v>4432.4679999999998</v>
      </c>
      <c r="U61" s="17">
        <v>4406.38</v>
      </c>
      <c r="V61" s="17">
        <v>4376.7139999999999</v>
      </c>
      <c r="W61" s="17">
        <v>4343.1620000000003</v>
      </c>
      <c r="X61" s="17">
        <v>4309.451</v>
      </c>
      <c r="Y61" s="17">
        <v>4274.6779999999999</v>
      </c>
      <c r="Z61" s="17">
        <v>4236.018</v>
      </c>
      <c r="AA61" s="17">
        <v>4196.2070000000003</v>
      </c>
      <c r="AB61" s="17">
        <v>4152.8140000000003</v>
      </c>
      <c r="AC61" s="17">
        <v>4105.0659999999998</v>
      </c>
      <c r="AD61" s="17">
        <v>4056.4940000000001</v>
      </c>
      <c r="AE61" s="17">
        <v>4010.9380000000001</v>
      </c>
      <c r="AF61" s="17">
        <v>3967.0709999999999</v>
      </c>
      <c r="AG61" s="17">
        <v>3937.223</v>
      </c>
      <c r="AH61" s="17">
        <v>3927.7620000000002</v>
      </c>
      <c r="AI61" s="17">
        <v>3933.663</v>
      </c>
      <c r="AJ61" s="17">
        <v>3943.1170000000002</v>
      </c>
      <c r="AK61" s="17">
        <v>3957.97</v>
      </c>
      <c r="AL61" s="17">
        <v>3979.8380000000002</v>
      </c>
      <c r="AM61" s="17">
        <v>4008.1709999999998</v>
      </c>
      <c r="AN61" s="17">
        <v>4042.623</v>
      </c>
      <c r="AO61" s="17">
        <v>4079.5059999999999</v>
      </c>
      <c r="AP61" s="17">
        <v>4114.893</v>
      </c>
      <c r="AQ61" s="17">
        <v>4165.6099999999997</v>
      </c>
      <c r="AR61" s="17">
        <v>4238.1450000000004</v>
      </c>
      <c r="AS61" s="17">
        <v>4321.6959999999999</v>
      </c>
      <c r="AT61" s="17">
        <v>4398.6400000000003</v>
      </c>
      <c r="AU61" s="17">
        <v>4472.1019999999999</v>
      </c>
      <c r="AV61" s="17">
        <v>4523.8879999999999</v>
      </c>
      <c r="AW61" s="17">
        <v>4543.0029999999997</v>
      </c>
      <c r="AX61" s="17">
        <v>4536.223</v>
      </c>
      <c r="AY61" s="17">
        <v>4523.616</v>
      </c>
      <c r="AZ61" s="17">
        <v>4503.9279999999999</v>
      </c>
      <c r="BA61" s="17">
        <v>4460.1139999999996</v>
      </c>
      <c r="BB61" s="17">
        <v>4386.5789999999997</v>
      </c>
      <c r="BC61" s="17">
        <v>4290.8850000000002</v>
      </c>
      <c r="BD61" s="17">
        <v>4184.9979999999996</v>
      </c>
      <c r="BE61" s="17">
        <v>4065.0940000000001</v>
      </c>
      <c r="BF61" s="17">
        <v>3948.308</v>
      </c>
      <c r="BG61" s="17">
        <v>3843.9250000000002</v>
      </c>
      <c r="BH61" s="17">
        <v>3743.7649999999999</v>
      </c>
      <c r="BI61" s="17">
        <v>3635.0810000000001</v>
      </c>
      <c r="BJ61" s="17">
        <v>3526.0839999999998</v>
      </c>
      <c r="BK61" s="17">
        <v>3389.5149999999999</v>
      </c>
      <c r="BL61" s="17">
        <v>3212.3539999999998</v>
      </c>
      <c r="BM61" s="17">
        <v>3011.145</v>
      </c>
      <c r="BN61" s="17">
        <v>2814.1970000000001</v>
      </c>
      <c r="BO61" s="17">
        <v>2614.3470000000002</v>
      </c>
      <c r="BP61" s="17">
        <v>2440.2489999999998</v>
      </c>
      <c r="BQ61" s="17">
        <v>2308.56</v>
      </c>
      <c r="BR61" s="17">
        <v>2206.09</v>
      </c>
      <c r="BS61" s="17">
        <v>2102.73</v>
      </c>
      <c r="BT61" s="17">
        <v>2004.19</v>
      </c>
      <c r="BU61" s="17">
        <v>1910.24</v>
      </c>
      <c r="BV61" s="17">
        <v>1817.6489999999999</v>
      </c>
      <c r="BW61" s="17">
        <v>1728.136</v>
      </c>
      <c r="BX61" s="17">
        <v>1644.3420000000001</v>
      </c>
      <c r="BY61" s="17">
        <v>1562.973</v>
      </c>
      <c r="BZ61" s="17">
        <v>1493</v>
      </c>
      <c r="CA61" s="17">
        <v>1438.248</v>
      </c>
      <c r="CB61" s="17">
        <v>1392.3230000000001</v>
      </c>
      <c r="CC61" s="17">
        <v>1346.511</v>
      </c>
      <c r="CD61" s="17">
        <v>1304.3599999999999</v>
      </c>
      <c r="CE61" s="17">
        <v>1246.556</v>
      </c>
      <c r="CF61" s="17">
        <v>1163.172</v>
      </c>
      <c r="CG61" s="17">
        <v>1063.336</v>
      </c>
      <c r="CH61" s="17">
        <v>967.20500000000004</v>
      </c>
      <c r="CI61" s="17">
        <v>872.07899999999995</v>
      </c>
      <c r="CJ61" s="17">
        <v>777.63900000000001</v>
      </c>
      <c r="CK61" s="17">
        <v>686.18700000000001</v>
      </c>
      <c r="CL61" s="17">
        <v>598.03300000000002</v>
      </c>
      <c r="CM61" s="17">
        <v>503.20699999999999</v>
      </c>
      <c r="CN61" s="17">
        <v>425.02800000000002</v>
      </c>
      <c r="CO61" s="17">
        <v>365.57799999999997</v>
      </c>
      <c r="CP61" s="17">
        <v>295.23700000000002</v>
      </c>
      <c r="CQ61" s="17">
        <v>214.142</v>
      </c>
      <c r="CR61" s="17">
        <v>156.571</v>
      </c>
      <c r="CS61" s="17">
        <v>129.459</v>
      </c>
      <c r="CT61" s="17">
        <v>106.43</v>
      </c>
      <c r="CU61" s="17">
        <v>79.906999999999996</v>
      </c>
      <c r="CV61" s="17">
        <v>49.889000000000003</v>
      </c>
      <c r="CW61" s="17">
        <v>29.216000000000001</v>
      </c>
      <c r="CX61" s="17">
        <v>50.752000000000002</v>
      </c>
      <c r="CY61" s="3">
        <f t="shared" si="4"/>
        <v>306307.565</v>
      </c>
      <c r="CZ61" s="3">
        <f>SUM(AU61:BM61)</f>
        <v>76800.607000000004</v>
      </c>
      <c r="DA61" s="3">
        <f t="shared" si="5"/>
        <v>0.25073036312374458</v>
      </c>
      <c r="DB61" s="3">
        <f>SUM(AE61:AT61)</f>
        <v>65026.865999999995</v>
      </c>
      <c r="DC61" s="3">
        <f t="shared" si="8"/>
        <v>0.2122927195741966</v>
      </c>
      <c r="DD61" s="3">
        <f>SUM(T61:AD61)</f>
        <v>46889.451999999997</v>
      </c>
      <c r="DE61" s="3">
        <f t="shared" si="9"/>
        <v>0.15307964071994107</v>
      </c>
      <c r="DF61" s="3">
        <f>SUM(BN61:CF61)</f>
        <v>34537.873</v>
      </c>
      <c r="DG61" s="3">
        <f t="shared" si="2"/>
        <v>0.11275553380472336</v>
      </c>
      <c r="DH61">
        <f>SUM(CF61:CX61)</f>
        <v>8533.0669999999991</v>
      </c>
      <c r="DI61" s="9">
        <f t="shared" si="3"/>
        <v>2.7857839554174899E-2</v>
      </c>
      <c r="DJ61" s="7">
        <v>2.7857839554174899E-2</v>
      </c>
      <c r="DK61" s="7">
        <v>0.11275553380472336</v>
      </c>
      <c r="DL61" s="7">
        <v>0.25073036312374458</v>
      </c>
      <c r="DM61" s="7">
        <v>0.2122927195741966</v>
      </c>
      <c r="DN61" s="7"/>
      <c r="DO61" s="10">
        <f t="shared" si="7"/>
        <v>0.60363645605683947</v>
      </c>
    </row>
    <row r="62" spans="1:119">
      <c r="A62" s="4">
        <v>2010</v>
      </c>
      <c r="B62" s="17">
        <v>4199.6509999999998</v>
      </c>
      <c r="C62" s="17">
        <v>4190.3040000000001</v>
      </c>
      <c r="D62" s="17">
        <v>4179.0249999999996</v>
      </c>
      <c r="E62" s="17">
        <v>4166.7669999999998</v>
      </c>
      <c r="F62" s="17">
        <v>4154.482</v>
      </c>
      <c r="G62" s="17">
        <v>4143.125</v>
      </c>
      <c r="H62" s="17">
        <v>4133.6480000000001</v>
      </c>
      <c r="I62" s="17">
        <v>4127.0039999999999</v>
      </c>
      <c r="J62" s="17">
        <v>4124.1469999999999</v>
      </c>
      <c r="K62" s="17">
        <v>4126.0280000000002</v>
      </c>
      <c r="L62" s="17">
        <v>4128.12</v>
      </c>
      <c r="M62" s="17">
        <v>4125.8900000000003</v>
      </c>
      <c r="N62" s="17">
        <v>4147.7089999999998</v>
      </c>
      <c r="O62" s="17">
        <v>4205.4960000000001</v>
      </c>
      <c r="P62" s="17">
        <v>4283.7539999999999</v>
      </c>
      <c r="Q62" s="17">
        <v>4357.0739999999996</v>
      </c>
      <c r="R62" s="17">
        <v>4432.942</v>
      </c>
      <c r="S62" s="17">
        <v>4479.6350000000002</v>
      </c>
      <c r="T62" s="17">
        <v>4479.55</v>
      </c>
      <c r="U62" s="17">
        <v>4447.7640000000001</v>
      </c>
      <c r="V62" s="17">
        <v>4417.8549999999996</v>
      </c>
      <c r="W62" s="17">
        <v>4384.183</v>
      </c>
      <c r="X62" s="17">
        <v>4347.7560000000003</v>
      </c>
      <c r="Y62" s="17">
        <v>4312.7910000000002</v>
      </c>
      <c r="Z62" s="17">
        <v>4277.9740000000002</v>
      </c>
      <c r="AA62" s="17">
        <v>4239.3429999999998</v>
      </c>
      <c r="AB62" s="17">
        <v>4199.5829999999996</v>
      </c>
      <c r="AC62" s="17">
        <v>4157.3140000000003</v>
      </c>
      <c r="AD62" s="17">
        <v>4112.0780000000004</v>
      </c>
      <c r="AE62" s="17">
        <v>4066.808</v>
      </c>
      <c r="AF62" s="17">
        <v>4024.538</v>
      </c>
      <c r="AG62" s="17">
        <v>3984.2440000000001</v>
      </c>
      <c r="AH62" s="17">
        <v>3956.444</v>
      </c>
      <c r="AI62" s="17">
        <v>3946.558</v>
      </c>
      <c r="AJ62" s="17">
        <v>3950.393</v>
      </c>
      <c r="AK62" s="17">
        <v>3957.9389999999999</v>
      </c>
      <c r="AL62" s="17">
        <v>3970.73</v>
      </c>
      <c r="AM62" s="17">
        <v>3990.549</v>
      </c>
      <c r="AN62" s="17">
        <v>4017.1309999999999</v>
      </c>
      <c r="AO62" s="17">
        <v>4050.0039999999999</v>
      </c>
      <c r="AP62" s="17">
        <v>4085.1089999999999</v>
      </c>
      <c r="AQ62" s="17">
        <v>4118.643</v>
      </c>
      <c r="AR62" s="17">
        <v>4167.5460000000003</v>
      </c>
      <c r="AS62" s="17">
        <v>4238.3419999999996</v>
      </c>
      <c r="AT62" s="17">
        <v>4320.2700000000004</v>
      </c>
      <c r="AU62" s="17">
        <v>4395.5870000000004</v>
      </c>
      <c r="AV62" s="17">
        <v>4467.299</v>
      </c>
      <c r="AW62" s="17">
        <v>4518.0360000000001</v>
      </c>
      <c r="AX62" s="17">
        <v>4537.1629999999996</v>
      </c>
      <c r="AY62" s="17">
        <v>4531.0150000000003</v>
      </c>
      <c r="AZ62" s="17">
        <v>4518.9440000000004</v>
      </c>
      <c r="BA62" s="17">
        <v>4499.9290000000001</v>
      </c>
      <c r="BB62" s="17">
        <v>4455.991</v>
      </c>
      <c r="BC62" s="17">
        <v>4381.0249999999996</v>
      </c>
      <c r="BD62" s="17">
        <v>4283.0569999999998</v>
      </c>
      <c r="BE62" s="17">
        <v>4175.049</v>
      </c>
      <c r="BF62" s="17">
        <v>4053.0039999999999</v>
      </c>
      <c r="BG62" s="17">
        <v>3934.1819999999998</v>
      </c>
      <c r="BH62" s="17">
        <v>3828.04</v>
      </c>
      <c r="BI62" s="17">
        <v>3726.3240000000001</v>
      </c>
      <c r="BJ62" s="17">
        <v>3615.9430000000002</v>
      </c>
      <c r="BK62" s="17">
        <v>3505.058</v>
      </c>
      <c r="BL62" s="17">
        <v>3367.1060000000002</v>
      </c>
      <c r="BM62" s="17">
        <v>3189.3449999999998</v>
      </c>
      <c r="BN62" s="17">
        <v>2987.9659999999999</v>
      </c>
      <c r="BO62" s="17">
        <v>2790.7240000000002</v>
      </c>
      <c r="BP62" s="17">
        <v>2590.6480000000001</v>
      </c>
      <c r="BQ62" s="17">
        <v>2415.5720000000001</v>
      </c>
      <c r="BR62" s="17">
        <v>2281.7159999999999</v>
      </c>
      <c r="BS62" s="17">
        <v>2176.297</v>
      </c>
      <c r="BT62" s="17">
        <v>2070.0450000000001</v>
      </c>
      <c r="BU62" s="17">
        <v>1968.4949999999999</v>
      </c>
      <c r="BV62" s="17">
        <v>1871.684</v>
      </c>
      <c r="BW62" s="17">
        <v>1776.595</v>
      </c>
      <c r="BX62" s="17">
        <v>1684.798</v>
      </c>
      <c r="BY62" s="17">
        <v>1598.586</v>
      </c>
      <c r="BZ62" s="17">
        <v>1514.759</v>
      </c>
      <c r="CA62" s="17">
        <v>1442.23</v>
      </c>
      <c r="CB62" s="17">
        <v>1384.77</v>
      </c>
      <c r="CC62" s="17">
        <v>1336.056</v>
      </c>
      <c r="CD62" s="17">
        <v>1287.6600000000001</v>
      </c>
      <c r="CE62" s="17">
        <v>1243.268</v>
      </c>
      <c r="CF62" s="17">
        <v>1182.8579999999999</v>
      </c>
      <c r="CG62" s="17">
        <v>1096.242</v>
      </c>
      <c r="CH62" s="17">
        <v>992.99</v>
      </c>
      <c r="CI62" s="17">
        <v>893.952</v>
      </c>
      <c r="CJ62" s="17">
        <v>796.27300000000002</v>
      </c>
      <c r="CK62" s="17">
        <v>700.52</v>
      </c>
      <c r="CL62" s="17">
        <v>609.5</v>
      </c>
      <c r="CM62" s="17">
        <v>523.16899999999998</v>
      </c>
      <c r="CN62" s="17">
        <v>428.447</v>
      </c>
      <c r="CO62" s="17">
        <v>354.303</v>
      </c>
      <c r="CP62" s="17">
        <v>302.92700000000002</v>
      </c>
      <c r="CQ62" s="17">
        <v>236.934</v>
      </c>
      <c r="CR62" s="17">
        <v>156.32400000000001</v>
      </c>
      <c r="CS62" s="17">
        <v>106.848</v>
      </c>
      <c r="CT62" s="17">
        <v>91.188999999999993</v>
      </c>
      <c r="CU62" s="17">
        <v>73.209000000000003</v>
      </c>
      <c r="CV62" s="17">
        <v>52.905000000000001</v>
      </c>
      <c r="CW62" s="17">
        <v>30.279</v>
      </c>
      <c r="CX62" s="17">
        <v>52.393999999999998</v>
      </c>
      <c r="CY62" s="3">
        <f t="shared" si="4"/>
        <v>309011.46899999992</v>
      </c>
      <c r="CZ62" s="3">
        <f>SUM(AV62:BN62)</f>
        <v>76574.47600000001</v>
      </c>
      <c r="DA62" s="3">
        <f t="shared" si="5"/>
        <v>0.24780464054555862</v>
      </c>
      <c r="DB62" s="3">
        <f>SUM(AF62:AU62)</f>
        <v>65174.026999999987</v>
      </c>
      <c r="DC62" s="3">
        <f t="shared" si="8"/>
        <v>0.21091135293751834</v>
      </c>
      <c r="DD62" s="3">
        <f>SUM(T62:AE62)</f>
        <v>51442.998999999996</v>
      </c>
      <c r="DE62" s="3">
        <f t="shared" si="9"/>
        <v>0.16647601840305806</v>
      </c>
      <c r="DF62" s="3">
        <f>SUM(BO62:CG62)</f>
        <v>33713.003000000004</v>
      </c>
      <c r="DG62" s="3">
        <f t="shared" si="2"/>
        <v>0.10909952018641746</v>
      </c>
      <c r="DH62">
        <f>SUM(CG62:CX62)</f>
        <v>7498.4050000000007</v>
      </c>
      <c r="DI62" s="9">
        <f t="shared" si="3"/>
        <v>2.4265782186874113E-2</v>
      </c>
      <c r="DJ62" s="7">
        <v>2.4265782186874113E-2</v>
      </c>
      <c r="DK62" s="7">
        <v>0.10909952018641746</v>
      </c>
      <c r="DL62" s="7">
        <v>0.24780464054555862</v>
      </c>
      <c r="DM62" s="7">
        <v>0.21091135293751834</v>
      </c>
      <c r="DN62" s="7"/>
      <c r="DO62" s="10">
        <f t="shared" si="7"/>
        <v>0.59208129585636859</v>
      </c>
    </row>
    <row r="63" spans="1:119">
      <c r="A63" s="4">
        <v>2011</v>
      </c>
      <c r="B63" s="17">
        <v>4107.4690000000001</v>
      </c>
      <c r="C63" s="17">
        <v>4199.0479999999998</v>
      </c>
      <c r="D63" s="17">
        <v>4195.1210000000001</v>
      </c>
      <c r="E63" s="17">
        <v>4186.8149999999996</v>
      </c>
      <c r="F63" s="17">
        <v>4175.6099999999997</v>
      </c>
      <c r="G63" s="17">
        <v>4162.9849999999997</v>
      </c>
      <c r="H63" s="17">
        <v>4149.7359999999999</v>
      </c>
      <c r="I63" s="17">
        <v>4136.6549999999997</v>
      </c>
      <c r="J63" s="17">
        <v>4128.6499999999996</v>
      </c>
      <c r="K63" s="17">
        <v>4128.5749999999998</v>
      </c>
      <c r="L63" s="17">
        <v>4135.8500000000004</v>
      </c>
      <c r="M63" s="17">
        <v>4142.3879999999999</v>
      </c>
      <c r="N63" s="17">
        <v>4144.2150000000001</v>
      </c>
      <c r="O63" s="17">
        <v>4170.0749999999998</v>
      </c>
      <c r="P63" s="17">
        <v>4231.6679999999997</v>
      </c>
      <c r="Q63" s="17">
        <v>4313.4269999999997</v>
      </c>
      <c r="R63" s="17">
        <v>4390.1890000000003</v>
      </c>
      <c r="S63" s="17">
        <v>4469.5020000000004</v>
      </c>
      <c r="T63" s="17">
        <v>4518.3789999999999</v>
      </c>
      <c r="U63" s="17">
        <v>4518.6450000000004</v>
      </c>
      <c r="V63" s="17">
        <v>4485.9110000000001</v>
      </c>
      <c r="W63" s="17">
        <v>4454.9189999999999</v>
      </c>
      <c r="X63" s="17">
        <v>4419.8639999999996</v>
      </c>
      <c r="Y63" s="17">
        <v>4381.8040000000001</v>
      </c>
      <c r="Z63" s="17">
        <v>4345.1220000000003</v>
      </c>
      <c r="AA63" s="17">
        <v>4308.4889999999996</v>
      </c>
      <c r="AB63" s="17">
        <v>4267.7709999999997</v>
      </c>
      <c r="AC63" s="17">
        <v>4225.6949999999997</v>
      </c>
      <c r="AD63" s="17">
        <v>4181.2160000000003</v>
      </c>
      <c r="AE63" s="17">
        <v>4134.0290000000005</v>
      </c>
      <c r="AF63" s="17">
        <v>4086.9769999999999</v>
      </c>
      <c r="AG63" s="17">
        <v>4042.8420000000001</v>
      </c>
      <c r="AH63" s="17">
        <v>4000.636</v>
      </c>
      <c r="AI63" s="17">
        <v>3971.0340000000001</v>
      </c>
      <c r="AJ63" s="17">
        <v>3959.5079999999998</v>
      </c>
      <c r="AK63" s="17">
        <v>3961.8090000000002</v>
      </c>
      <c r="AL63" s="17">
        <v>3967.8110000000001</v>
      </c>
      <c r="AM63" s="17">
        <v>3979.0529999999999</v>
      </c>
      <c r="AN63" s="17">
        <v>3997.3409999999999</v>
      </c>
      <c r="AO63" s="17">
        <v>4022.404</v>
      </c>
      <c r="AP63" s="17">
        <v>4053.7489999999998</v>
      </c>
      <c r="AQ63" s="17">
        <v>4087.3159999999998</v>
      </c>
      <c r="AR63" s="17">
        <v>4119.3159999999998</v>
      </c>
      <c r="AS63" s="17">
        <v>4166.5339999999997</v>
      </c>
      <c r="AT63" s="17">
        <v>4235.424</v>
      </c>
      <c r="AU63" s="17">
        <v>4315.2939999999999</v>
      </c>
      <c r="AV63" s="17">
        <v>4388.5609999999997</v>
      </c>
      <c r="AW63" s="17">
        <v>4458.2209999999995</v>
      </c>
      <c r="AX63" s="17">
        <v>4506.8649999999998</v>
      </c>
      <c r="AY63" s="17">
        <v>4523.8549999999996</v>
      </c>
      <c r="AZ63" s="17">
        <v>4515.558</v>
      </c>
      <c r="BA63" s="17">
        <v>4501.3459999999995</v>
      </c>
      <c r="BB63" s="17">
        <v>4480.1809999999996</v>
      </c>
      <c r="BC63" s="17">
        <v>4434.2370000000001</v>
      </c>
      <c r="BD63" s="17">
        <v>4357.4809999999998</v>
      </c>
      <c r="BE63" s="17">
        <v>4257.875</v>
      </c>
      <c r="BF63" s="17">
        <v>4148.2619999999997</v>
      </c>
      <c r="BG63" s="17">
        <v>4024.6930000000002</v>
      </c>
      <c r="BH63" s="17">
        <v>3904.3110000000001</v>
      </c>
      <c r="BI63" s="17">
        <v>3796.5160000000001</v>
      </c>
      <c r="BJ63" s="17">
        <v>3693.123</v>
      </c>
      <c r="BK63" s="17">
        <v>3581.1190000000001</v>
      </c>
      <c r="BL63" s="17">
        <v>3468.585</v>
      </c>
      <c r="BM63" s="17">
        <v>3329.3</v>
      </c>
      <c r="BN63" s="17">
        <v>3150.6759999999999</v>
      </c>
      <c r="BO63" s="17">
        <v>2948.7130000000002</v>
      </c>
      <c r="BP63" s="17">
        <v>2750.8229999999999</v>
      </c>
      <c r="BQ63" s="17">
        <v>2550.1039999999998</v>
      </c>
      <c r="BR63" s="17">
        <v>2374.1419999999998</v>
      </c>
      <c r="BS63" s="17">
        <v>2238.9949999999999</v>
      </c>
      <c r="BT63" s="17">
        <v>2131.991</v>
      </c>
      <c r="BU63" s="17">
        <v>2024.12</v>
      </c>
      <c r="BV63" s="17">
        <v>1920.8520000000001</v>
      </c>
      <c r="BW63" s="17">
        <v>1822.23</v>
      </c>
      <c r="BX63" s="17">
        <v>1725.2629999999999</v>
      </c>
      <c r="BY63" s="17">
        <v>1631.4860000000001</v>
      </c>
      <c r="BZ63" s="17">
        <v>1543.3420000000001</v>
      </c>
      <c r="CA63" s="17">
        <v>1457.845</v>
      </c>
      <c r="CB63" s="17">
        <v>1382.847</v>
      </c>
      <c r="CC63" s="17">
        <v>1321.6849999999999</v>
      </c>
      <c r="CD63" s="17">
        <v>1268.665</v>
      </c>
      <c r="CE63" s="17">
        <v>1216.4390000000001</v>
      </c>
      <c r="CF63" s="17">
        <v>1168.499</v>
      </c>
      <c r="CG63" s="17">
        <v>1105.7349999999999</v>
      </c>
      <c r="CH63" s="17">
        <v>1018.5309999999999</v>
      </c>
      <c r="CI63" s="17">
        <v>916.10699999999997</v>
      </c>
      <c r="CJ63" s="17">
        <v>816.10400000000004</v>
      </c>
      <c r="CK63" s="17">
        <v>721.74699999999996</v>
      </c>
      <c r="CL63" s="17">
        <v>633.65499999999997</v>
      </c>
      <c r="CM63" s="17">
        <v>545.83100000000002</v>
      </c>
      <c r="CN63" s="17">
        <v>458.23899999999998</v>
      </c>
      <c r="CO63" s="17">
        <v>371.06700000000001</v>
      </c>
      <c r="CP63" s="17">
        <v>307.94799999999998</v>
      </c>
      <c r="CQ63" s="17">
        <v>262.20800000000003</v>
      </c>
      <c r="CR63" s="17">
        <v>203.929</v>
      </c>
      <c r="CS63" s="17">
        <v>133.11000000000001</v>
      </c>
      <c r="CT63" s="17">
        <v>95.823999999999998</v>
      </c>
      <c r="CU63" s="17">
        <v>76.974999999999994</v>
      </c>
      <c r="CV63" s="17">
        <v>55.582000000000001</v>
      </c>
      <c r="CW63" s="17">
        <v>31.646999999999998</v>
      </c>
      <c r="CX63" s="17">
        <v>54.136000000000003</v>
      </c>
      <c r="CY63" s="3">
        <f t="shared" si="4"/>
        <v>311584.05099999969</v>
      </c>
      <c r="CZ63" s="3">
        <f>SUM(AW63:BO63)</f>
        <v>76080.91700000003</v>
      </c>
      <c r="DA63" s="3">
        <f t="shared" si="5"/>
        <v>0.24417461919448535</v>
      </c>
      <c r="DB63" s="3">
        <f>SUM(AG63:AV63)</f>
        <v>65268.632000000005</v>
      </c>
      <c r="DC63" s="3">
        <f t="shared" si="8"/>
        <v>0.20947359722208653</v>
      </c>
      <c r="DD63" s="3">
        <f>SUM(T63:AF63)</f>
        <v>56328.821000000004</v>
      </c>
      <c r="DE63" s="3">
        <f t="shared" si="9"/>
        <v>0.18078210620607169</v>
      </c>
      <c r="DF63" s="3">
        <f>SUM(BP63:CH63)</f>
        <v>32653.594000000005</v>
      </c>
      <c r="DG63" s="3">
        <f t="shared" si="2"/>
        <v>0.10479866955706291</v>
      </c>
      <c r="DH63">
        <f>SUM(CH63:CX63)</f>
        <v>6702.64</v>
      </c>
      <c r="DI63" s="9">
        <f t="shared" si="3"/>
        <v>2.1511498995178052E-2</v>
      </c>
      <c r="DJ63" s="7">
        <v>2.1511498995178052E-2</v>
      </c>
      <c r="DK63" s="7">
        <v>0.10479866955706291</v>
      </c>
      <c r="DL63" s="7">
        <v>0.24417461919448535</v>
      </c>
      <c r="DM63" s="7">
        <v>0.20947359722208653</v>
      </c>
      <c r="DN63" s="7"/>
      <c r="DO63" s="10">
        <f t="shared" si="7"/>
        <v>0.5799583849688128</v>
      </c>
    </row>
    <row r="64" spans="1:119">
      <c r="A64" s="4">
        <v>2012</v>
      </c>
      <c r="B64" s="17">
        <v>4001.1289999999999</v>
      </c>
      <c r="C64" s="17">
        <v>4084.65</v>
      </c>
      <c r="D64" s="17">
        <v>4198.5810000000001</v>
      </c>
      <c r="E64" s="17">
        <v>4200.0780000000004</v>
      </c>
      <c r="F64" s="17">
        <v>4194.7479999999996</v>
      </c>
      <c r="G64" s="17">
        <v>4184.5969999999998</v>
      </c>
      <c r="H64" s="17">
        <v>4171.6319999999996</v>
      </c>
      <c r="I64" s="17">
        <v>4156.4880000000003</v>
      </c>
      <c r="J64" s="17">
        <v>4139.799</v>
      </c>
      <c r="K64" s="17">
        <v>4130.4319999999998</v>
      </c>
      <c r="L64" s="17">
        <v>4133.1409999999996</v>
      </c>
      <c r="M64" s="17">
        <v>4145.8140000000003</v>
      </c>
      <c r="N64" s="17">
        <v>4156.8019999999997</v>
      </c>
      <c r="O64" s="17">
        <v>4162.6890000000003</v>
      </c>
      <c r="P64" s="17">
        <v>4192.5940000000001</v>
      </c>
      <c r="Q64" s="17">
        <v>4257.9960000000001</v>
      </c>
      <c r="R64" s="17">
        <v>4343.2629999999999</v>
      </c>
      <c r="S64" s="17">
        <v>4423.4719999999998</v>
      </c>
      <c r="T64" s="17">
        <v>4506.2380000000003</v>
      </c>
      <c r="U64" s="17">
        <v>4557.3010000000004</v>
      </c>
      <c r="V64" s="17">
        <v>4557.9170000000004</v>
      </c>
      <c r="W64" s="17">
        <v>4524.2349999999997</v>
      </c>
      <c r="X64" s="17">
        <v>4492.1559999999999</v>
      </c>
      <c r="Y64" s="17">
        <v>4455.7150000000001</v>
      </c>
      <c r="Z64" s="17">
        <v>4416.0190000000002</v>
      </c>
      <c r="AA64" s="17">
        <v>4377.6180000000004</v>
      </c>
      <c r="AB64" s="17">
        <v>4339.1670000000004</v>
      </c>
      <c r="AC64" s="17">
        <v>4296.357</v>
      </c>
      <c r="AD64" s="17">
        <v>4251.9610000000002</v>
      </c>
      <c r="AE64" s="17">
        <v>4205.2669999999998</v>
      </c>
      <c r="AF64" s="17">
        <v>4156.125</v>
      </c>
      <c r="AG64" s="17">
        <v>4107.2879999999996</v>
      </c>
      <c r="AH64" s="17">
        <v>4061.2849999999999</v>
      </c>
      <c r="AI64" s="17">
        <v>4017.163</v>
      </c>
      <c r="AJ64" s="17">
        <v>3985.7570000000001</v>
      </c>
      <c r="AK64" s="17">
        <v>3972.5889999999999</v>
      </c>
      <c r="AL64" s="17">
        <v>3973.3539999999998</v>
      </c>
      <c r="AM64" s="17">
        <v>3977.8110000000001</v>
      </c>
      <c r="AN64" s="17">
        <v>3987.502</v>
      </c>
      <c r="AO64" s="17">
        <v>4004.259</v>
      </c>
      <c r="AP64" s="17">
        <v>4027.8049999999998</v>
      </c>
      <c r="AQ64" s="17">
        <v>4057.623</v>
      </c>
      <c r="AR64" s="17">
        <v>4089.6529999999998</v>
      </c>
      <c r="AS64" s="17">
        <v>4120.1189999999997</v>
      </c>
      <c r="AT64" s="17">
        <v>4165.6530000000002</v>
      </c>
      <c r="AU64" s="17">
        <v>4232.6390000000001</v>
      </c>
      <c r="AV64" s="17">
        <v>4310.451</v>
      </c>
      <c r="AW64" s="17">
        <v>4381.6689999999999</v>
      </c>
      <c r="AX64" s="17">
        <v>4449.2790000000005</v>
      </c>
      <c r="AY64" s="17">
        <v>4495.826</v>
      </c>
      <c r="AZ64" s="17">
        <v>4510.6769999999997</v>
      </c>
      <c r="BA64" s="17">
        <v>4500.2290000000003</v>
      </c>
      <c r="BB64" s="17">
        <v>4483.8720000000003</v>
      </c>
      <c r="BC64" s="17">
        <v>4460.5540000000001</v>
      </c>
      <c r="BD64" s="17">
        <v>4412.6000000000004</v>
      </c>
      <c r="BE64" s="17">
        <v>4334.049</v>
      </c>
      <c r="BF64" s="17">
        <v>4232.8010000000004</v>
      </c>
      <c r="BG64" s="17">
        <v>4121.5789999999997</v>
      </c>
      <c r="BH64" s="17">
        <v>3996.4780000000001</v>
      </c>
      <c r="BI64" s="17">
        <v>3874.5309999999999</v>
      </c>
      <c r="BJ64" s="17">
        <v>3765.0770000000002</v>
      </c>
      <c r="BK64" s="17">
        <v>3660.0010000000002</v>
      </c>
      <c r="BL64" s="17">
        <v>3546.3679999999999</v>
      </c>
      <c r="BM64" s="17">
        <v>3432.183</v>
      </c>
      <c r="BN64" s="17">
        <v>3291.558</v>
      </c>
      <c r="BO64" s="17">
        <v>3112.0630000000001</v>
      </c>
      <c r="BP64" s="17">
        <v>2909.51</v>
      </c>
      <c r="BQ64" s="17">
        <v>2710.9630000000002</v>
      </c>
      <c r="BR64" s="17">
        <v>2509.5970000000002</v>
      </c>
      <c r="BS64" s="17">
        <v>2332.7420000000002</v>
      </c>
      <c r="BT64" s="17">
        <v>2196.3000000000002</v>
      </c>
      <c r="BU64" s="17">
        <v>2087.7069999999999</v>
      </c>
      <c r="BV64" s="17">
        <v>1978.212</v>
      </c>
      <c r="BW64" s="17">
        <v>1873.223</v>
      </c>
      <c r="BX64" s="17">
        <v>1772.787</v>
      </c>
      <c r="BY64" s="17">
        <v>1673.9369999999999</v>
      </c>
      <c r="BZ64" s="17">
        <v>1578.1759999999999</v>
      </c>
      <c r="CA64" s="17">
        <v>1488.0940000000001</v>
      </c>
      <c r="CB64" s="17">
        <v>1400.921</v>
      </c>
      <c r="CC64" s="17">
        <v>1323.4480000000001</v>
      </c>
      <c r="CD64" s="17">
        <v>1258.579</v>
      </c>
      <c r="CE64" s="17">
        <v>1201.248</v>
      </c>
      <c r="CF64" s="17">
        <v>1145.1869999999999</v>
      </c>
      <c r="CG64" s="17">
        <v>1093.694</v>
      </c>
      <c r="CH64" s="17">
        <v>1028.5719999999999</v>
      </c>
      <c r="CI64" s="17">
        <v>940.77700000000004</v>
      </c>
      <c r="CJ64" s="17">
        <v>839.178</v>
      </c>
      <c r="CK64" s="17">
        <v>738.20699999999999</v>
      </c>
      <c r="CL64" s="17">
        <v>647.17100000000005</v>
      </c>
      <c r="CM64" s="17">
        <v>566.745</v>
      </c>
      <c r="CN64" s="17">
        <v>482.11900000000003</v>
      </c>
      <c r="CO64" s="17">
        <v>393.26299999999998</v>
      </c>
      <c r="CP64" s="17">
        <v>313.64299999999997</v>
      </c>
      <c r="CQ64" s="17">
        <v>261.55599999999998</v>
      </c>
      <c r="CR64" s="17">
        <v>221.45599999999999</v>
      </c>
      <c r="CS64" s="17">
        <v>170.89599999999999</v>
      </c>
      <c r="CT64" s="17">
        <v>109.878</v>
      </c>
      <c r="CU64" s="17">
        <v>81.587000000000003</v>
      </c>
      <c r="CV64" s="17">
        <v>58.881999999999998</v>
      </c>
      <c r="CW64" s="17">
        <v>33.293999999999997</v>
      </c>
      <c r="CX64" s="17">
        <v>56.01</v>
      </c>
      <c r="CY64" s="3">
        <f t="shared" si="4"/>
        <v>314043.88499999989</v>
      </c>
      <c r="CZ64" s="3">
        <f>SUM(AX64:BP64)</f>
        <v>75589.235000000001</v>
      </c>
      <c r="DA64" s="3">
        <f t="shared" si="5"/>
        <v>0.24069640776479384</v>
      </c>
      <c r="DB64" s="3">
        <f>SUM(AH64:AW64)</f>
        <v>65365.332000000002</v>
      </c>
      <c r="DC64" s="3">
        <f t="shared" si="8"/>
        <v>0.20814075714290703</v>
      </c>
      <c r="DD64" s="3">
        <f>SUM(T64:AG64)</f>
        <v>61243.364000000001</v>
      </c>
      <c r="DE64" s="3">
        <f t="shared" si="9"/>
        <v>0.19501530494695041</v>
      </c>
      <c r="DF64" s="3">
        <f>SUM(BQ64:CI64)</f>
        <v>31594.163999999997</v>
      </c>
      <c r="DG64" s="3">
        <f t="shared" si="2"/>
        <v>0.10060429611613042</v>
      </c>
      <c r="DH64">
        <f>SUM(CI64:CX64)</f>
        <v>5914.6619999999984</v>
      </c>
      <c r="DI64" s="9">
        <f t="shared" si="3"/>
        <v>1.8833870941317644E-2</v>
      </c>
      <c r="DJ64" s="7">
        <v>1.8833870941317644E-2</v>
      </c>
      <c r="DK64" s="7">
        <v>0.10060429611613042</v>
      </c>
      <c r="DL64" s="7">
        <v>0.24069640776479384</v>
      </c>
      <c r="DM64" s="7">
        <v>0.20814075714290703</v>
      </c>
      <c r="DN64" s="7"/>
      <c r="DO64" s="10">
        <f t="shared" si="7"/>
        <v>0.5682753319651489</v>
      </c>
    </row>
    <row r="65" spans="1:119">
      <c r="A65" s="4">
        <v>2013</v>
      </c>
      <c r="B65" s="17">
        <v>3895.8820000000001</v>
      </c>
      <c r="C65" s="17">
        <v>4015.134</v>
      </c>
      <c r="D65" s="17">
        <v>4103.6149999999998</v>
      </c>
      <c r="E65" s="17">
        <v>4197.2449999999999</v>
      </c>
      <c r="F65" s="17">
        <v>4204.1679999999997</v>
      </c>
      <c r="G65" s="17">
        <v>4201.8149999999996</v>
      </c>
      <c r="H65" s="17">
        <v>4192.7209999999995</v>
      </c>
      <c r="I65" s="17">
        <v>4179.4179999999997</v>
      </c>
      <c r="J65" s="17">
        <v>4162.3819999999996</v>
      </c>
      <c r="K65" s="17">
        <v>4142.0870000000004</v>
      </c>
      <c r="L65" s="17">
        <v>4131.3599999999997</v>
      </c>
      <c r="M65" s="17">
        <v>4136.8540000000003</v>
      </c>
      <c r="N65" s="17">
        <v>4154.924</v>
      </c>
      <c r="O65" s="17">
        <v>4170.3620000000001</v>
      </c>
      <c r="P65" s="17">
        <v>4180.3109999999997</v>
      </c>
      <c r="Q65" s="17">
        <v>4214.2569999999996</v>
      </c>
      <c r="R65" s="17">
        <v>4283.4570000000003</v>
      </c>
      <c r="S65" s="17">
        <v>4372.2150000000001</v>
      </c>
      <c r="T65" s="17">
        <v>4455.8580000000002</v>
      </c>
      <c r="U65" s="17">
        <v>4542.0590000000002</v>
      </c>
      <c r="V65" s="17">
        <v>4595.3010000000004</v>
      </c>
      <c r="W65" s="17">
        <v>4596.268</v>
      </c>
      <c r="X65" s="17">
        <v>4561.6409999999996</v>
      </c>
      <c r="Y65" s="17">
        <v>4528.4830000000002</v>
      </c>
      <c r="Z65" s="17">
        <v>4490.6620000000003</v>
      </c>
      <c r="AA65" s="17">
        <v>4449.3379999999997</v>
      </c>
      <c r="AB65" s="17">
        <v>4409.2250000000004</v>
      </c>
      <c r="AC65" s="17">
        <v>4368.9589999999998</v>
      </c>
      <c r="AD65" s="17">
        <v>4324.0659999999998</v>
      </c>
      <c r="AE65" s="17">
        <v>4277.357</v>
      </c>
      <c r="AF65" s="17">
        <v>4228.4560000000001</v>
      </c>
      <c r="AG65" s="17">
        <v>4177.3680000000004</v>
      </c>
      <c r="AH65" s="17">
        <v>4126.7539999999999</v>
      </c>
      <c r="AI65" s="17">
        <v>4078.8919999999998</v>
      </c>
      <c r="AJ65" s="17">
        <v>4032.8629999999998</v>
      </c>
      <c r="AK65" s="17">
        <v>3999.6590000000001</v>
      </c>
      <c r="AL65" s="17">
        <v>3984.8490000000002</v>
      </c>
      <c r="AM65" s="17">
        <v>3984.078</v>
      </c>
      <c r="AN65" s="17">
        <v>3986.9879999999998</v>
      </c>
      <c r="AO65" s="17">
        <v>3995.1260000000002</v>
      </c>
      <c r="AP65" s="17">
        <v>4010.3470000000002</v>
      </c>
      <c r="AQ65" s="17">
        <v>4032.37</v>
      </c>
      <c r="AR65" s="17">
        <v>4060.6550000000002</v>
      </c>
      <c r="AS65" s="17">
        <v>4091.14</v>
      </c>
      <c r="AT65" s="17">
        <v>4120.0659999999998</v>
      </c>
      <c r="AU65" s="17">
        <v>4163.9080000000004</v>
      </c>
      <c r="AV65" s="17">
        <v>4228.973</v>
      </c>
      <c r="AW65" s="17">
        <v>4304.7089999999998</v>
      </c>
      <c r="AX65" s="17">
        <v>4373.8609999999999</v>
      </c>
      <c r="AY65" s="17">
        <v>4439.4049999999997</v>
      </c>
      <c r="AZ65" s="17">
        <v>4483.848</v>
      </c>
      <c r="BA65" s="17">
        <v>4496.5550000000003</v>
      </c>
      <c r="BB65" s="17">
        <v>4483.9560000000001</v>
      </c>
      <c r="BC65" s="17">
        <v>4465.4549999999999</v>
      </c>
      <c r="BD65" s="17">
        <v>4439.9870000000001</v>
      </c>
      <c r="BE65" s="17">
        <v>4390.03</v>
      </c>
      <c r="BF65" s="17">
        <v>4309.7</v>
      </c>
      <c r="BG65" s="17">
        <v>4206.8280000000004</v>
      </c>
      <c r="BH65" s="17">
        <v>4094.0189999999998</v>
      </c>
      <c r="BI65" s="17">
        <v>3967.4110000000001</v>
      </c>
      <c r="BJ65" s="17">
        <v>3843.9250000000002</v>
      </c>
      <c r="BK65" s="17">
        <v>3732.8330000000001</v>
      </c>
      <c r="BL65" s="17">
        <v>3626.0949999999998</v>
      </c>
      <c r="BM65" s="17">
        <v>3510.855</v>
      </c>
      <c r="BN65" s="17">
        <v>3395.04</v>
      </c>
      <c r="BO65" s="17">
        <v>3253.1039999999998</v>
      </c>
      <c r="BP65" s="17">
        <v>3072.7759999999998</v>
      </c>
      <c r="BQ65" s="17">
        <v>2869.6729999999998</v>
      </c>
      <c r="BR65" s="17">
        <v>2670.511</v>
      </c>
      <c r="BS65" s="17">
        <v>2468.5369999999998</v>
      </c>
      <c r="BT65" s="17">
        <v>2290.826</v>
      </c>
      <c r="BU65" s="17">
        <v>2153.1170000000002</v>
      </c>
      <c r="BV65" s="17">
        <v>2042.9570000000001</v>
      </c>
      <c r="BW65" s="17">
        <v>1931.8610000000001</v>
      </c>
      <c r="BX65" s="17">
        <v>1825.173</v>
      </c>
      <c r="BY65" s="17">
        <v>1722.943</v>
      </c>
      <c r="BZ65" s="17">
        <v>1622.2280000000001</v>
      </c>
      <c r="CA65" s="17">
        <v>1524.501</v>
      </c>
      <c r="CB65" s="17">
        <v>1432.5</v>
      </c>
      <c r="CC65" s="17">
        <v>1343.6679999999999</v>
      </c>
      <c r="CD65" s="17">
        <v>1263.7339999999999</v>
      </c>
      <c r="CE65" s="17">
        <v>1195.1690000000001</v>
      </c>
      <c r="CF65" s="17">
        <v>1133.537</v>
      </c>
      <c r="CG65" s="17">
        <v>1073.6479999999999</v>
      </c>
      <c r="CH65" s="17">
        <v>1018.611</v>
      </c>
      <c r="CI65" s="17">
        <v>951.14300000000003</v>
      </c>
      <c r="CJ65" s="17">
        <v>862.77499999999998</v>
      </c>
      <c r="CK65" s="17">
        <v>762.02499999999998</v>
      </c>
      <c r="CL65" s="17">
        <v>660.10699999999997</v>
      </c>
      <c r="CM65" s="17">
        <v>572.41399999999999</v>
      </c>
      <c r="CN65" s="17">
        <v>499.67500000000001</v>
      </c>
      <c r="CO65" s="17">
        <v>418.26400000000001</v>
      </c>
      <c r="CP65" s="17">
        <v>328.16399999999999</v>
      </c>
      <c r="CQ65" s="17">
        <v>256.12</v>
      </c>
      <c r="CR65" s="17">
        <v>215.08099999999999</v>
      </c>
      <c r="CS65" s="17">
        <v>180.63300000000001</v>
      </c>
      <c r="CT65" s="17">
        <v>137.809</v>
      </c>
      <c r="CU65" s="17">
        <v>86.606999999999999</v>
      </c>
      <c r="CV65" s="17">
        <v>62.722000000000001</v>
      </c>
      <c r="CW65" s="17">
        <v>35.231999999999999</v>
      </c>
      <c r="CX65" s="17">
        <v>58.265999999999998</v>
      </c>
      <c r="CY65" s="3">
        <f t="shared" si="4"/>
        <v>316400.53900000005</v>
      </c>
      <c r="CZ65" s="3">
        <f>SUM(AY65:BQ65)</f>
        <v>75081.49500000001</v>
      </c>
      <c r="DA65" s="3">
        <f t="shared" si="5"/>
        <v>0.23729888462674206</v>
      </c>
      <c r="DB65" s="3">
        <f>SUM(AI65:AX65)</f>
        <v>65448.484000000004</v>
      </c>
      <c r="DC65" s="3">
        <f t="shared" si="8"/>
        <v>0.20685326329358747</v>
      </c>
      <c r="DD65" s="3">
        <f>SUM(T65:AH65)</f>
        <v>66131.794999999998</v>
      </c>
      <c r="DE65" s="3">
        <f t="shared" si="9"/>
        <v>0.20901290247169899</v>
      </c>
      <c r="DF65" s="3">
        <f>SUM(BR65:CJ65)</f>
        <v>30527.439000000009</v>
      </c>
      <c r="DG65" s="3">
        <f t="shared" si="2"/>
        <v>9.6483524005627583E-2</v>
      </c>
      <c r="DH65">
        <f>SUM(CJ65:CX65)</f>
        <v>5135.8939999999993</v>
      </c>
      <c r="DI65" s="9">
        <f t="shared" si="3"/>
        <v>1.6232254269326635E-2</v>
      </c>
      <c r="DJ65" s="7">
        <v>1.6232254269326635E-2</v>
      </c>
      <c r="DK65" s="7">
        <v>9.6483524005627583E-2</v>
      </c>
      <c r="DL65" s="7">
        <v>0.23729888462674206</v>
      </c>
      <c r="DM65" s="7">
        <v>0.20685326329358747</v>
      </c>
      <c r="DN65" s="7"/>
      <c r="DO65" s="10">
        <f t="shared" si="7"/>
        <v>0.55686792619528369</v>
      </c>
    </row>
    <row r="66" spans="1:119">
      <c r="A66" s="4">
        <v>2014</v>
      </c>
      <c r="B66" s="17">
        <v>3811.8139999999999</v>
      </c>
      <c r="C66" s="17">
        <v>3951.875</v>
      </c>
      <c r="D66" s="17">
        <v>4058.2649999999999</v>
      </c>
      <c r="E66" s="17">
        <v>4134.9139999999998</v>
      </c>
      <c r="F66" s="17">
        <v>4194.3469999999998</v>
      </c>
      <c r="G66" s="17">
        <v>4206.6930000000002</v>
      </c>
      <c r="H66" s="17">
        <v>4207.3190000000004</v>
      </c>
      <c r="I66" s="17">
        <v>4199.2839999999997</v>
      </c>
      <c r="J66" s="17">
        <v>4185.6480000000001</v>
      </c>
      <c r="K66" s="17">
        <v>4166.7259999999997</v>
      </c>
      <c r="L66" s="17">
        <v>4142.8329999999996</v>
      </c>
      <c r="M66" s="17">
        <v>4130.75</v>
      </c>
      <c r="N66" s="17">
        <v>4139.027</v>
      </c>
      <c r="O66" s="17">
        <v>4162.4880000000003</v>
      </c>
      <c r="P66" s="17">
        <v>4182.37</v>
      </c>
      <c r="Q66" s="17">
        <v>4196.375</v>
      </c>
      <c r="R66" s="17">
        <v>4234.3490000000002</v>
      </c>
      <c r="S66" s="17">
        <v>4307.3220000000001</v>
      </c>
      <c r="T66" s="17">
        <v>4399.5379999999996</v>
      </c>
      <c r="U66" s="17">
        <v>4486.5820000000003</v>
      </c>
      <c r="V66" s="17">
        <v>4576.1869999999999</v>
      </c>
      <c r="W66" s="17">
        <v>4631.5870000000004</v>
      </c>
      <c r="X66" s="17">
        <v>4632.9040000000005</v>
      </c>
      <c r="Y66" s="17">
        <v>4597.3469999999998</v>
      </c>
      <c r="Z66" s="17">
        <v>4563.1220000000003</v>
      </c>
      <c r="AA66" s="17">
        <v>4523.9350000000004</v>
      </c>
      <c r="AB66" s="17">
        <v>4480.9970000000003</v>
      </c>
      <c r="AC66" s="17">
        <v>4439.1869999999999</v>
      </c>
      <c r="AD66" s="17">
        <v>4397.125</v>
      </c>
      <c r="AE66" s="17">
        <v>4350.1620000000003</v>
      </c>
      <c r="AF66" s="17">
        <v>4301.1589999999997</v>
      </c>
      <c r="AG66" s="17">
        <v>4250.0709999999999</v>
      </c>
      <c r="AH66" s="17">
        <v>4197.0540000000001</v>
      </c>
      <c r="AI66" s="17">
        <v>4144.6840000000002</v>
      </c>
      <c r="AJ66" s="17">
        <v>4094.98</v>
      </c>
      <c r="AK66" s="17">
        <v>4047.0610000000001</v>
      </c>
      <c r="AL66" s="17">
        <v>4012.0709999999999</v>
      </c>
      <c r="AM66" s="17">
        <v>3995.6260000000002</v>
      </c>
      <c r="AN66" s="17">
        <v>3993.3180000000002</v>
      </c>
      <c r="AO66" s="17">
        <v>3994.6790000000001</v>
      </c>
      <c r="AP66" s="17">
        <v>4001.26</v>
      </c>
      <c r="AQ66" s="17">
        <v>4014.9409999999998</v>
      </c>
      <c r="AR66" s="17">
        <v>4035.433</v>
      </c>
      <c r="AS66" s="17">
        <v>4062.1750000000002</v>
      </c>
      <c r="AT66" s="17">
        <v>4091.1030000000001</v>
      </c>
      <c r="AU66" s="17">
        <v>4118.4799999999996</v>
      </c>
      <c r="AV66" s="17">
        <v>4160.6130000000003</v>
      </c>
      <c r="AW66" s="17">
        <v>4223.732</v>
      </c>
      <c r="AX66" s="17">
        <v>4297.3639999999996</v>
      </c>
      <c r="AY66" s="17">
        <v>4364.4260000000004</v>
      </c>
      <c r="AZ66" s="17">
        <v>4427.8810000000003</v>
      </c>
      <c r="BA66" s="17">
        <v>4470.1989999999996</v>
      </c>
      <c r="BB66" s="17">
        <v>4480.759</v>
      </c>
      <c r="BC66" s="17">
        <v>4466.0119999999997</v>
      </c>
      <c r="BD66" s="17">
        <v>4445.375</v>
      </c>
      <c r="BE66" s="17">
        <v>4417.7690000000002</v>
      </c>
      <c r="BF66" s="17">
        <v>4365.8270000000002</v>
      </c>
      <c r="BG66" s="17">
        <v>4283.7460000000001</v>
      </c>
      <c r="BH66" s="17">
        <v>4179.29</v>
      </c>
      <c r="BI66" s="17">
        <v>4064.9360000000001</v>
      </c>
      <c r="BJ66" s="17">
        <v>3936.8679999999999</v>
      </c>
      <c r="BK66" s="17">
        <v>3811.8870000000002</v>
      </c>
      <c r="BL66" s="17">
        <v>3699.2</v>
      </c>
      <c r="BM66" s="17">
        <v>3590.8389999999999</v>
      </c>
      <c r="BN66" s="17">
        <v>3474.0360000000001</v>
      </c>
      <c r="BO66" s="17">
        <v>3356.634</v>
      </c>
      <c r="BP66" s="17">
        <v>3213.44</v>
      </c>
      <c r="BQ66" s="17">
        <v>3032.3440000000001</v>
      </c>
      <c r="BR66" s="17">
        <v>2828.768</v>
      </c>
      <c r="BS66" s="17">
        <v>2629.0659999999998</v>
      </c>
      <c r="BT66" s="17">
        <v>2426.5590000000002</v>
      </c>
      <c r="BU66" s="17">
        <v>2248.058</v>
      </c>
      <c r="BV66" s="17">
        <v>2109.1329999999998</v>
      </c>
      <c r="BW66" s="17">
        <v>1997.4490000000001</v>
      </c>
      <c r="BX66" s="17">
        <v>1884.7929999999999</v>
      </c>
      <c r="BY66" s="17">
        <v>1776.4459999999999</v>
      </c>
      <c r="BZ66" s="17">
        <v>1672.4590000000001</v>
      </c>
      <c r="CA66" s="17">
        <v>1569.9179999999999</v>
      </c>
      <c r="CB66" s="17">
        <v>1470.2619999999999</v>
      </c>
      <c r="CC66" s="17">
        <v>1376.375</v>
      </c>
      <c r="CD66" s="17">
        <v>1285.9159999999999</v>
      </c>
      <c r="CE66" s="17">
        <v>1203.5519999999999</v>
      </c>
      <c r="CF66" s="17">
        <v>1131.318</v>
      </c>
      <c r="CG66" s="17">
        <v>1065.4059999999999</v>
      </c>
      <c r="CH66" s="17">
        <v>1001.715</v>
      </c>
      <c r="CI66" s="17">
        <v>943.15300000000002</v>
      </c>
      <c r="CJ66" s="17">
        <v>873.36500000000001</v>
      </c>
      <c r="CK66" s="17">
        <v>784.45799999999997</v>
      </c>
      <c r="CL66" s="17">
        <v>684.59299999999996</v>
      </c>
      <c r="CM66" s="17">
        <v>581.76499999999999</v>
      </c>
      <c r="CN66" s="17">
        <v>497.44900000000001</v>
      </c>
      <c r="CO66" s="17">
        <v>432.42200000000003</v>
      </c>
      <c r="CP66" s="17">
        <v>354.25900000000001</v>
      </c>
      <c r="CQ66" s="17">
        <v>262.94900000000001</v>
      </c>
      <c r="CR66" s="17">
        <v>198.505</v>
      </c>
      <c r="CS66" s="17">
        <v>168.53</v>
      </c>
      <c r="CT66" s="17">
        <v>139.74600000000001</v>
      </c>
      <c r="CU66" s="17">
        <v>104.672</v>
      </c>
      <c r="CV66" s="17">
        <v>63.308</v>
      </c>
      <c r="CW66" s="17">
        <v>37.47</v>
      </c>
      <c r="CX66" s="17">
        <v>61.241</v>
      </c>
      <c r="CY66" s="3">
        <f t="shared" si="4"/>
        <v>318673.42200000014</v>
      </c>
      <c r="CZ66" s="3">
        <f>SUM(AZ66:BR66)</f>
        <v>74545.81</v>
      </c>
      <c r="DA66" s="3">
        <f t="shared" si="5"/>
        <v>0.23392540718378443</v>
      </c>
      <c r="DB66" s="3">
        <f>SUM(AJ66:AY66)</f>
        <v>65507.26200000001</v>
      </c>
      <c r="DC66" s="3">
        <f t="shared" si="8"/>
        <v>0.20556236409323142</v>
      </c>
      <c r="DD66" s="3">
        <f>SUM(T66:AI66)</f>
        <v>70971.641000000003</v>
      </c>
      <c r="DE66" s="3">
        <f t="shared" si="9"/>
        <v>0.22270963343783334</v>
      </c>
      <c r="DF66" s="3">
        <f>SUM(BS66:CK66)</f>
        <v>29449.400999999998</v>
      </c>
      <c r="DG66" s="3">
        <f t="shared" si="2"/>
        <v>9.2412479255957483E-2</v>
      </c>
      <c r="DH66">
        <f>SUM(CK66:CX66)</f>
        <v>4371.3670000000002</v>
      </c>
      <c r="DI66" s="9">
        <f t="shared" si="3"/>
        <v>1.3717388078884089E-2</v>
      </c>
      <c r="DJ66" s="7">
        <v>1.3717388078884089E-2</v>
      </c>
      <c r="DK66" s="7">
        <v>9.2412479255957483E-2</v>
      </c>
      <c r="DL66" s="7">
        <v>0.23392540718378443</v>
      </c>
      <c r="DM66" s="7">
        <v>0.20556236409323142</v>
      </c>
      <c r="DN66" s="7">
        <v>0.22270963343783334</v>
      </c>
      <c r="DO66" s="10">
        <f t="shared" si="7"/>
        <v>0.76832727204969076</v>
      </c>
    </row>
    <row r="67" spans="1:119">
      <c r="A67" s="4">
        <v>2015</v>
      </c>
      <c r="B67" s="17">
        <v>3763.0520000000001</v>
      </c>
      <c r="C67" s="17">
        <v>3905.357</v>
      </c>
      <c r="D67" s="17">
        <v>4015.585</v>
      </c>
      <c r="E67" s="17">
        <v>4097.32</v>
      </c>
      <c r="F67" s="17">
        <v>4154.1480000000001</v>
      </c>
      <c r="G67" s="17">
        <v>4189.6490000000003</v>
      </c>
      <c r="H67" s="17">
        <v>4207.4089999999997</v>
      </c>
      <c r="I67" s="17">
        <v>4211.0119999999997</v>
      </c>
      <c r="J67" s="17">
        <v>4204.0389999999998</v>
      </c>
      <c r="K67" s="17">
        <v>4190.076</v>
      </c>
      <c r="L67" s="17">
        <v>4169.2780000000002</v>
      </c>
      <c r="M67" s="17">
        <v>4141.8</v>
      </c>
      <c r="N67" s="17">
        <v>4128.3680000000004</v>
      </c>
      <c r="O67" s="17">
        <v>4139.42</v>
      </c>
      <c r="P67" s="17">
        <v>4168.2569999999996</v>
      </c>
      <c r="Q67" s="17">
        <v>4192.5709999999999</v>
      </c>
      <c r="R67" s="17">
        <v>4210.6229999999996</v>
      </c>
      <c r="S67" s="17">
        <v>4252.6059999999998</v>
      </c>
      <c r="T67" s="17">
        <v>4329.317</v>
      </c>
      <c r="U67" s="17">
        <v>4424.9470000000001</v>
      </c>
      <c r="V67" s="17">
        <v>4515.3530000000001</v>
      </c>
      <c r="W67" s="17">
        <v>4608.3209999999999</v>
      </c>
      <c r="X67" s="17">
        <v>4665.8519999999999</v>
      </c>
      <c r="Y67" s="17">
        <v>4667.5200000000004</v>
      </c>
      <c r="Z67" s="17">
        <v>4631.0479999999998</v>
      </c>
      <c r="AA67" s="17">
        <v>4595.7719999999999</v>
      </c>
      <c r="AB67" s="17">
        <v>4555.2359999999999</v>
      </c>
      <c r="AC67" s="17">
        <v>4510.7070000000003</v>
      </c>
      <c r="AD67" s="17">
        <v>4467.2179999999998</v>
      </c>
      <c r="AE67" s="17">
        <v>4423.3779999999997</v>
      </c>
      <c r="AF67" s="17">
        <v>4374.37</v>
      </c>
      <c r="AG67" s="17">
        <v>4323.0950000000003</v>
      </c>
      <c r="AH67" s="17">
        <v>4269.8429999999998</v>
      </c>
      <c r="AI67" s="17">
        <v>4214.9229999999998</v>
      </c>
      <c r="AJ67" s="17">
        <v>4160.82</v>
      </c>
      <c r="AK67" s="17">
        <v>4109.2969999999996</v>
      </c>
      <c r="AL67" s="17">
        <v>4059.51</v>
      </c>
      <c r="AM67" s="17">
        <v>4022.7510000000002</v>
      </c>
      <c r="AN67" s="17">
        <v>4004.6790000000001</v>
      </c>
      <c r="AO67" s="17">
        <v>4000.8380000000002</v>
      </c>
      <c r="AP67" s="17">
        <v>4000.6509999999998</v>
      </c>
      <c r="AQ67" s="17">
        <v>4005.674</v>
      </c>
      <c r="AR67" s="17">
        <v>4017.8090000000002</v>
      </c>
      <c r="AS67" s="17">
        <v>4036.7620000000002</v>
      </c>
      <c r="AT67" s="17">
        <v>4061.951</v>
      </c>
      <c r="AU67" s="17">
        <v>4089.3130000000001</v>
      </c>
      <c r="AV67" s="17">
        <v>4115.1279999999997</v>
      </c>
      <c r="AW67" s="17">
        <v>4155.5339999999997</v>
      </c>
      <c r="AX67" s="17">
        <v>4216.683</v>
      </c>
      <c r="AY67" s="17">
        <v>4288.183</v>
      </c>
      <c r="AZ67" s="17">
        <v>4353.1270000000004</v>
      </c>
      <c r="BA67" s="17">
        <v>4414.4650000000001</v>
      </c>
      <c r="BB67" s="17">
        <v>4454.6459999999997</v>
      </c>
      <c r="BC67" s="17">
        <v>4463.0550000000003</v>
      </c>
      <c r="BD67" s="17">
        <v>4446.17</v>
      </c>
      <c r="BE67" s="17">
        <v>4423.4070000000002</v>
      </c>
      <c r="BF67" s="17">
        <v>4393.674</v>
      </c>
      <c r="BG67" s="17">
        <v>4339.7740000000003</v>
      </c>
      <c r="BH67" s="17">
        <v>4255.9790000000003</v>
      </c>
      <c r="BI67" s="17">
        <v>4149.9859999999999</v>
      </c>
      <c r="BJ67" s="17">
        <v>4034.136</v>
      </c>
      <c r="BK67" s="17">
        <v>3904.665</v>
      </c>
      <c r="BL67" s="17">
        <v>3778.2449999999999</v>
      </c>
      <c r="BM67" s="17">
        <v>3664.0120000000002</v>
      </c>
      <c r="BN67" s="17">
        <v>3554.076</v>
      </c>
      <c r="BO67" s="17">
        <v>3435.761</v>
      </c>
      <c r="BP67" s="17">
        <v>3316.8249999999998</v>
      </c>
      <c r="BQ67" s="17">
        <v>3172.4349999999999</v>
      </c>
      <c r="BR67" s="17">
        <v>2990.652</v>
      </c>
      <c r="BS67" s="17">
        <v>2786.6889999999999</v>
      </c>
      <c r="BT67" s="17">
        <v>2586.5329999999999</v>
      </c>
      <c r="BU67" s="17">
        <v>2383.5819999999999</v>
      </c>
      <c r="BV67" s="17">
        <v>2204.3670000000002</v>
      </c>
      <c r="BW67" s="17">
        <v>2064.2869999999998</v>
      </c>
      <c r="BX67" s="17">
        <v>1951.126</v>
      </c>
      <c r="BY67" s="17">
        <v>1836.96</v>
      </c>
      <c r="BZ67" s="17">
        <v>1727.001</v>
      </c>
      <c r="CA67" s="17">
        <v>1621.3050000000001</v>
      </c>
      <c r="CB67" s="17">
        <v>1516.9829999999999</v>
      </c>
      <c r="CC67" s="17">
        <v>1415.442</v>
      </c>
      <c r="CD67" s="17">
        <v>1319.711</v>
      </c>
      <c r="CE67" s="17">
        <v>1227.6669999999999</v>
      </c>
      <c r="CF67" s="17">
        <v>1142.9110000000001</v>
      </c>
      <c r="CG67" s="17">
        <v>1067.0409999999999</v>
      </c>
      <c r="CH67" s="17">
        <v>996.88199999999995</v>
      </c>
      <c r="CI67" s="17">
        <v>929.41800000000001</v>
      </c>
      <c r="CJ67" s="17">
        <v>867.36099999999999</v>
      </c>
      <c r="CK67" s="17">
        <v>795.28499999999997</v>
      </c>
      <c r="CL67" s="17">
        <v>705.87599999999998</v>
      </c>
      <c r="CM67" s="17">
        <v>606.93899999999996</v>
      </c>
      <c r="CN67" s="17">
        <v>503.24599999999998</v>
      </c>
      <c r="CO67" s="17">
        <v>422.339</v>
      </c>
      <c r="CP67" s="17">
        <v>365.04700000000003</v>
      </c>
      <c r="CQ67" s="17">
        <v>290.161</v>
      </c>
      <c r="CR67" s="17">
        <v>197.68100000000001</v>
      </c>
      <c r="CS67" s="17">
        <v>140.858</v>
      </c>
      <c r="CT67" s="17">
        <v>121.949</v>
      </c>
      <c r="CU67" s="17">
        <v>98.837000000000003</v>
      </c>
      <c r="CV67" s="17">
        <v>71.521000000000001</v>
      </c>
      <c r="CW67" s="17">
        <v>40.000999999999998</v>
      </c>
      <c r="CX67" s="17">
        <v>65.162999999999997</v>
      </c>
      <c r="CY67" s="3">
        <f t="shared" si="4"/>
        <v>320878.31200000003</v>
      </c>
      <c r="CZ67" s="3">
        <f>SUM(BA67:BS67)</f>
        <v>73978.652000000002</v>
      </c>
      <c r="DA67" s="3">
        <f t="shared" si="5"/>
        <v>0.23055048980686482</v>
      </c>
      <c r="DB67" s="3">
        <f>SUM(AK67:AZ67)</f>
        <v>65537.89</v>
      </c>
      <c r="DC67" s="3">
        <f t="shared" si="8"/>
        <v>0.20424530904413382</v>
      </c>
      <c r="DD67" s="3">
        <f>SUM(U67:AJ67)</f>
        <v>71408.402999999991</v>
      </c>
      <c r="DE67" s="3">
        <f t="shared" si="9"/>
        <v>0.22254044704648029</v>
      </c>
      <c r="DF67" s="3">
        <f>SUM(BT67:CL67)</f>
        <v>28359.738000000005</v>
      </c>
      <c r="DG67" s="3">
        <f t="shared" ref="DG67:DG72" si="10">DF67/CY67</f>
        <v>8.8381598068242154E-2</v>
      </c>
      <c r="DH67">
        <f>SUM(CL67:CX67)</f>
        <v>3629.6180000000008</v>
      </c>
      <c r="DI67" s="9">
        <f t="shared" si="3"/>
        <v>1.1311509267725145E-2</v>
      </c>
      <c r="DJ67" s="7">
        <v>1.1311509267725145E-2</v>
      </c>
      <c r="DK67" s="7">
        <v>8.8381598068242154E-2</v>
      </c>
      <c r="DL67" s="7">
        <v>0.23055048980686482</v>
      </c>
      <c r="DM67" s="7">
        <v>0.20424530904413382</v>
      </c>
      <c r="DN67" s="7">
        <v>0.22254044704648029</v>
      </c>
      <c r="DO67" s="10">
        <f t="shared" si="7"/>
        <v>0.75702935323344622</v>
      </c>
    </row>
    <row r="68" spans="1:119">
      <c r="A68" s="4">
        <v>2016</v>
      </c>
      <c r="B68" s="17">
        <v>3764.4259999999999</v>
      </c>
      <c r="C68" s="17">
        <v>3801.2040000000002</v>
      </c>
      <c r="D68" s="17">
        <v>3921.1990000000001</v>
      </c>
      <c r="E68" s="17">
        <v>4017.0940000000001</v>
      </c>
      <c r="F68" s="17">
        <v>4091.2539999999999</v>
      </c>
      <c r="G68" s="17">
        <v>4146.0479999999998</v>
      </c>
      <c r="H68" s="17">
        <v>4184.9059999999999</v>
      </c>
      <c r="I68" s="17">
        <v>4211.2610000000004</v>
      </c>
      <c r="J68" s="17">
        <v>4222.1629999999996</v>
      </c>
      <c r="K68" s="17">
        <v>4217.8540000000003</v>
      </c>
      <c r="L68" s="17">
        <v>4203.8909999999996</v>
      </c>
      <c r="M68" s="17">
        <v>4185.6210000000001</v>
      </c>
      <c r="N68" s="17">
        <v>4162.0050000000001</v>
      </c>
      <c r="O68" s="17">
        <v>4152.4319999999998</v>
      </c>
      <c r="P68" s="17">
        <v>4167.1379999999999</v>
      </c>
      <c r="Q68" s="17">
        <v>4199.3450000000003</v>
      </c>
      <c r="R68" s="17">
        <v>4226.9620000000004</v>
      </c>
      <c r="S68" s="17">
        <v>4248.32</v>
      </c>
      <c r="T68" s="17">
        <v>4292.3530000000001</v>
      </c>
      <c r="U68" s="17">
        <v>4369.2870000000003</v>
      </c>
      <c r="V68" s="17">
        <v>4463.8500000000004</v>
      </c>
      <c r="W68" s="17">
        <v>4553.0619999999999</v>
      </c>
      <c r="X68" s="17">
        <v>4644.5420000000004</v>
      </c>
      <c r="Y68" s="17">
        <v>4700.3559999999998</v>
      </c>
      <c r="Z68" s="17">
        <v>4700.2470000000003</v>
      </c>
      <c r="AA68" s="17">
        <v>4661.9219999999996</v>
      </c>
      <c r="AB68" s="17">
        <v>4624.5290000000005</v>
      </c>
      <c r="AC68" s="17">
        <v>4581.6679999999997</v>
      </c>
      <c r="AD68" s="17">
        <v>4534.915</v>
      </c>
      <c r="AE68" s="17">
        <v>4489.4470000000001</v>
      </c>
      <c r="AF68" s="17">
        <v>4443.7960000000003</v>
      </c>
      <c r="AG68" s="17">
        <v>4392.9160000000002</v>
      </c>
      <c r="AH68" s="17">
        <v>4339.7380000000003</v>
      </c>
      <c r="AI68" s="17">
        <v>4284.7280000000001</v>
      </c>
      <c r="AJ68" s="17">
        <v>4228.2539999999999</v>
      </c>
      <c r="AK68" s="17">
        <v>4172.74</v>
      </c>
      <c r="AL68" s="17">
        <v>4119.8100000000004</v>
      </c>
      <c r="AM68" s="17">
        <v>4068.6260000000002</v>
      </c>
      <c r="AN68" s="17">
        <v>4030.5259999999998</v>
      </c>
      <c r="AO68" s="17">
        <v>4011.1689999999999</v>
      </c>
      <c r="AP68" s="17">
        <v>4006.07</v>
      </c>
      <c r="AQ68" s="17">
        <v>4004.6010000000001</v>
      </c>
      <c r="AR68" s="17">
        <v>4008.3159999999998</v>
      </c>
      <c r="AS68" s="17">
        <v>4019.06</v>
      </c>
      <c r="AT68" s="17">
        <v>4036.5030000000002</v>
      </c>
      <c r="AU68" s="17">
        <v>4060.07</v>
      </c>
      <c r="AV68" s="17">
        <v>4085.7629999999999</v>
      </c>
      <c r="AW68" s="17">
        <v>4109.875</v>
      </c>
      <c r="AX68" s="17">
        <v>4148.3580000000002</v>
      </c>
      <c r="AY68" s="17">
        <v>4207.2860000000001</v>
      </c>
      <c r="AZ68" s="17">
        <v>4276.3549999999996</v>
      </c>
      <c r="BA68" s="17">
        <v>4338.8519999999999</v>
      </c>
      <c r="BB68" s="17">
        <v>4397.7259999999997</v>
      </c>
      <c r="BC68" s="17">
        <v>4435.3850000000002</v>
      </c>
      <c r="BD68" s="17">
        <v>4441.2349999999997</v>
      </c>
      <c r="BE68" s="17">
        <v>4421.7889999999998</v>
      </c>
      <c r="BF68" s="17">
        <v>4396.4530000000004</v>
      </c>
      <c r="BG68" s="17">
        <v>4364.107</v>
      </c>
      <c r="BH68" s="17">
        <v>4307.8429999999998</v>
      </c>
      <c r="BI68" s="17">
        <v>4222.0690000000004</v>
      </c>
      <c r="BJ68" s="17">
        <v>4114.3440000000001</v>
      </c>
      <c r="BK68" s="17">
        <v>3996.7829999999999</v>
      </c>
      <c r="BL68" s="17">
        <v>3865.7159999999999</v>
      </c>
      <c r="BM68" s="17">
        <v>3737.5070000000001</v>
      </c>
      <c r="BN68" s="17">
        <v>3621.1379999999999</v>
      </c>
      <c r="BO68" s="17">
        <v>3508.8870000000002</v>
      </c>
      <c r="BP68" s="17">
        <v>3388.35</v>
      </c>
      <c r="BQ68" s="17">
        <v>3267.1610000000001</v>
      </c>
      <c r="BR68" s="17">
        <v>3120.951</v>
      </c>
      <c r="BS68" s="17">
        <v>2938.0129999999999</v>
      </c>
      <c r="BT68" s="17">
        <v>2733.308</v>
      </c>
      <c r="BU68" s="17">
        <v>2532.36</v>
      </c>
      <c r="BV68" s="17">
        <v>2328.6889999999999</v>
      </c>
      <c r="BW68" s="17">
        <v>2148.442</v>
      </c>
      <c r="BX68" s="17">
        <v>2006.787</v>
      </c>
      <c r="BY68" s="17">
        <v>1891.702</v>
      </c>
      <c r="BZ68" s="17">
        <v>1775.75</v>
      </c>
      <c r="CA68" s="17">
        <v>1664.107</v>
      </c>
      <c r="CB68" s="17">
        <v>1556.636</v>
      </c>
      <c r="CC68" s="17">
        <v>1450.425</v>
      </c>
      <c r="CD68" s="17">
        <v>1346.9839999999999</v>
      </c>
      <c r="CE68" s="17">
        <v>1249.6500000000001</v>
      </c>
      <c r="CF68" s="17">
        <v>1156.442</v>
      </c>
      <c r="CG68" s="17">
        <v>1070.403</v>
      </c>
      <c r="CH68" s="17">
        <v>992.95100000000002</v>
      </c>
      <c r="CI68" s="17">
        <v>921.31500000000005</v>
      </c>
      <c r="CJ68" s="17">
        <v>851.82799999999997</v>
      </c>
      <c r="CK68" s="17">
        <v>791.99400000000003</v>
      </c>
      <c r="CL68" s="17">
        <v>722.75</v>
      </c>
      <c r="CM68" s="17">
        <v>635.23500000000001</v>
      </c>
      <c r="CN68" s="17">
        <v>535.69799999999998</v>
      </c>
      <c r="CO68" s="17">
        <v>439.48700000000002</v>
      </c>
      <c r="CP68" s="17">
        <v>370.22</v>
      </c>
      <c r="CQ68" s="17">
        <v>318.63499999999999</v>
      </c>
      <c r="CR68" s="17">
        <v>251.72900000000001</v>
      </c>
      <c r="CS68" s="17">
        <v>169.50200000000001</v>
      </c>
      <c r="CT68" s="17">
        <v>129.73500000000001</v>
      </c>
      <c r="CU68" s="17">
        <v>105.41800000000001</v>
      </c>
      <c r="CV68" s="17">
        <v>76.477000000000004</v>
      </c>
      <c r="CW68" s="17">
        <v>42.914000000000001</v>
      </c>
      <c r="CX68" s="17">
        <v>70.248999999999995</v>
      </c>
      <c r="CY68" s="3">
        <f t="shared" si="4"/>
        <v>323015.99199999985</v>
      </c>
      <c r="CZ68" s="3">
        <f>SUM(BB68:BT68)</f>
        <v>73278.765000000014</v>
      </c>
      <c r="DA68" s="3">
        <f t="shared" si="5"/>
        <v>0.2268580095563815</v>
      </c>
      <c r="DB68" s="3">
        <f>SUM(AL68:BA68)</f>
        <v>65531.239999999991</v>
      </c>
      <c r="DC68" s="3">
        <f t="shared" si="8"/>
        <v>0.20287305156086519</v>
      </c>
      <c r="DD68" s="3">
        <f>SUM(V68:AK68)</f>
        <v>71816.710000000006</v>
      </c>
      <c r="DE68" s="3">
        <f t="shared" si="9"/>
        <v>0.22233174758728366</v>
      </c>
      <c r="DF68" s="3">
        <f>SUM(BU68:CM68)</f>
        <v>27094.45</v>
      </c>
      <c r="DG68" s="3">
        <f t="shared" si="10"/>
        <v>8.3879593181256526E-2</v>
      </c>
      <c r="DH68">
        <f>SUM(CM68:CX68)</f>
        <v>3145.299</v>
      </c>
      <c r="DI68" s="9">
        <f t="shared" si="3"/>
        <v>9.7372857007030217E-3</v>
      </c>
      <c r="DJ68" s="7">
        <v>9.7372857007030217E-3</v>
      </c>
      <c r="DK68" s="7">
        <v>8.3879593181256526E-2</v>
      </c>
      <c r="DL68" s="7">
        <v>0.2268580095563815</v>
      </c>
      <c r="DM68" s="7">
        <v>0.20287305156086519</v>
      </c>
      <c r="DN68" s="7">
        <v>0.22233174758728366</v>
      </c>
      <c r="DO68" s="10">
        <f t="shared" si="7"/>
        <v>0.74567968758648995</v>
      </c>
    </row>
    <row r="69" spans="1:119">
      <c r="A69" s="4">
        <v>2017</v>
      </c>
      <c r="B69" s="17">
        <v>3802.2240000000002</v>
      </c>
      <c r="C69" s="17">
        <v>3886.0309999999999</v>
      </c>
      <c r="D69" s="17">
        <v>3836.636</v>
      </c>
      <c r="E69" s="17">
        <v>3934.2089999999998</v>
      </c>
      <c r="F69" s="17">
        <v>4015.6819999999998</v>
      </c>
      <c r="G69" s="17">
        <v>4082.203</v>
      </c>
      <c r="H69" s="17">
        <v>4134.9219999999996</v>
      </c>
      <c r="I69" s="17">
        <v>4177.1120000000001</v>
      </c>
      <c r="J69" s="17">
        <v>4212.0540000000001</v>
      </c>
      <c r="K69" s="17">
        <v>4230.2569999999996</v>
      </c>
      <c r="L69" s="17">
        <v>4228.6180000000004</v>
      </c>
      <c r="M69" s="17">
        <v>4214.6660000000002</v>
      </c>
      <c r="N69" s="17">
        <v>4198.9380000000001</v>
      </c>
      <c r="O69" s="17">
        <v>4179.2079999999996</v>
      </c>
      <c r="P69" s="17">
        <v>4173.5050000000001</v>
      </c>
      <c r="Q69" s="17">
        <v>4191.8580000000002</v>
      </c>
      <c r="R69" s="17">
        <v>4227.415</v>
      </c>
      <c r="S69" s="17">
        <v>4258.32</v>
      </c>
      <c r="T69" s="17">
        <v>4282.973</v>
      </c>
      <c r="U69" s="17">
        <v>4329.0259999999998</v>
      </c>
      <c r="V69" s="17">
        <v>4406.1279999999997</v>
      </c>
      <c r="W69" s="17">
        <v>4499.5540000000001</v>
      </c>
      <c r="X69" s="17">
        <v>4587.5039999999999</v>
      </c>
      <c r="Y69" s="17">
        <v>4677.4269999999997</v>
      </c>
      <c r="Z69" s="17">
        <v>4731.4809999999998</v>
      </c>
      <c r="AA69" s="17">
        <v>4729.5959999999995</v>
      </c>
      <c r="AB69" s="17">
        <v>4689.4399999999996</v>
      </c>
      <c r="AC69" s="17">
        <v>4649.9579999999996</v>
      </c>
      <c r="AD69" s="17">
        <v>4604.8</v>
      </c>
      <c r="AE69" s="17">
        <v>4555.8540000000003</v>
      </c>
      <c r="AF69" s="17">
        <v>4508.4390000000003</v>
      </c>
      <c r="AG69" s="17">
        <v>4461.009</v>
      </c>
      <c r="AH69" s="17">
        <v>4408.2920000000004</v>
      </c>
      <c r="AI69" s="17">
        <v>4353.2479999999996</v>
      </c>
      <c r="AJ69" s="17">
        <v>4296.518</v>
      </c>
      <c r="AK69" s="17">
        <v>4238.5290000000005</v>
      </c>
      <c r="AL69" s="17">
        <v>4181.6440000000002</v>
      </c>
      <c r="AM69" s="17">
        <v>4127.3440000000001</v>
      </c>
      <c r="AN69" s="17">
        <v>4074.797</v>
      </c>
      <c r="AO69" s="17">
        <v>4035.3820000000001</v>
      </c>
      <c r="AP69" s="17">
        <v>4014.7550000000001</v>
      </c>
      <c r="AQ69" s="17">
        <v>4008.4</v>
      </c>
      <c r="AR69" s="17">
        <v>4005.6489999999999</v>
      </c>
      <c r="AS69" s="17">
        <v>4008.0509999999999</v>
      </c>
      <c r="AT69" s="17">
        <v>4017.395</v>
      </c>
      <c r="AU69" s="17">
        <v>4033.3139999999999</v>
      </c>
      <c r="AV69" s="17">
        <v>4055.239</v>
      </c>
      <c r="AW69" s="17">
        <v>4079.24</v>
      </c>
      <c r="AX69" s="17">
        <v>4101.63</v>
      </c>
      <c r="AY69" s="17">
        <v>4138.1589999999997</v>
      </c>
      <c r="AZ69" s="17">
        <v>4194.8209999999999</v>
      </c>
      <c r="BA69" s="17">
        <v>4261.4049999999997</v>
      </c>
      <c r="BB69" s="17">
        <v>4321.41</v>
      </c>
      <c r="BC69" s="17">
        <v>4377.7709999999997</v>
      </c>
      <c r="BD69" s="17">
        <v>4412.8810000000003</v>
      </c>
      <c r="BE69" s="17">
        <v>4416.1660000000002</v>
      </c>
      <c r="BF69" s="17">
        <v>4394.1679999999997</v>
      </c>
      <c r="BG69" s="17">
        <v>4366.277</v>
      </c>
      <c r="BH69" s="17">
        <v>4331.3389999999999</v>
      </c>
      <c r="BI69" s="17">
        <v>4272.75</v>
      </c>
      <c r="BJ69" s="17">
        <v>4185.0550000000003</v>
      </c>
      <c r="BK69" s="17">
        <v>4075.6759999999999</v>
      </c>
      <c r="BL69" s="17">
        <v>3956.4879999999998</v>
      </c>
      <c r="BM69" s="17">
        <v>3823.9169999999999</v>
      </c>
      <c r="BN69" s="17">
        <v>3694.0140000000001</v>
      </c>
      <c r="BO69" s="17">
        <v>3575.59</v>
      </c>
      <c r="BP69" s="17">
        <v>3461.1030000000001</v>
      </c>
      <c r="BQ69" s="17">
        <v>3338.431</v>
      </c>
      <c r="BR69" s="17">
        <v>3215.0740000000001</v>
      </c>
      <c r="BS69" s="17">
        <v>3067.1480000000001</v>
      </c>
      <c r="BT69" s="17">
        <v>2883.1880000000001</v>
      </c>
      <c r="BU69" s="17">
        <v>2677.8879999999999</v>
      </c>
      <c r="BV69" s="17">
        <v>2476.2919999999999</v>
      </c>
      <c r="BW69" s="17">
        <v>2272.0509999999999</v>
      </c>
      <c r="BX69" s="17">
        <v>2090.9</v>
      </c>
      <c r="BY69" s="17">
        <v>1947.768</v>
      </c>
      <c r="BZ69" s="17">
        <v>1830.8430000000001</v>
      </c>
      <c r="CA69" s="17">
        <v>1713.184</v>
      </c>
      <c r="CB69" s="17">
        <v>1599.9359999999999</v>
      </c>
      <c r="CC69" s="17">
        <v>1490.768</v>
      </c>
      <c r="CD69" s="17">
        <v>1382.74</v>
      </c>
      <c r="CE69" s="17">
        <v>1277.4739999999999</v>
      </c>
      <c r="CF69" s="17">
        <v>1178.606</v>
      </c>
      <c r="CG69" s="17">
        <v>1084.3</v>
      </c>
      <c r="CH69" s="17">
        <v>997.04</v>
      </c>
      <c r="CI69" s="17">
        <v>918.06</v>
      </c>
      <c r="CJ69" s="17">
        <v>844.99900000000002</v>
      </c>
      <c r="CK69" s="17">
        <v>773.53599999999994</v>
      </c>
      <c r="CL69" s="17">
        <v>715.971</v>
      </c>
      <c r="CM69" s="17">
        <v>649.61300000000006</v>
      </c>
      <c r="CN69" s="17">
        <v>564.05799999999999</v>
      </c>
      <c r="CO69" s="17">
        <v>463.99200000000002</v>
      </c>
      <c r="CP69" s="17">
        <v>375.339</v>
      </c>
      <c r="CQ69" s="17">
        <v>317.779</v>
      </c>
      <c r="CR69" s="17">
        <v>271.94400000000002</v>
      </c>
      <c r="CS69" s="17">
        <v>213.07499999999999</v>
      </c>
      <c r="CT69" s="17">
        <v>141.172</v>
      </c>
      <c r="CU69" s="17">
        <v>112.179</v>
      </c>
      <c r="CV69" s="17">
        <v>81.637</v>
      </c>
      <c r="CW69" s="17">
        <v>46.073999999999998</v>
      </c>
      <c r="CX69" s="17">
        <v>76.234999999999999</v>
      </c>
      <c r="CY69" s="3">
        <f t="shared" si="4"/>
        <v>325084.75800000015</v>
      </c>
      <c r="CZ69" s="3">
        <f>SUM(BC69:BU69)</f>
        <v>72524.923999999999</v>
      </c>
      <c r="DA69" s="3">
        <f t="shared" si="5"/>
        <v>0.22309543039234084</v>
      </c>
      <c r="DB69" s="3">
        <f>SUM(AM69:BB69)</f>
        <v>65476.990999999995</v>
      </c>
      <c r="DC69" s="3">
        <f t="shared" si="8"/>
        <v>0.20141513678718817</v>
      </c>
      <c r="DD69" s="3">
        <f>SUM(W69:AL69)</f>
        <v>72173.292999999991</v>
      </c>
      <c r="DE69" s="3">
        <f t="shared" si="9"/>
        <v>0.22201377094400704</v>
      </c>
      <c r="DF69" s="3">
        <f>SUM(BV69:CN69)</f>
        <v>25808.139000000003</v>
      </c>
      <c r="DG69" s="3">
        <f t="shared" si="10"/>
        <v>7.938895431080159E-2</v>
      </c>
      <c r="DH69">
        <f>SUM(CN69:CX69)</f>
        <v>2663.4840000000004</v>
      </c>
      <c r="DI69" s="9">
        <f t="shared" si="3"/>
        <v>8.1931986488274523E-3</v>
      </c>
      <c r="DJ69" s="7">
        <v>8.1931986488274523E-3</v>
      </c>
      <c r="DK69" s="7">
        <v>7.938895431080159E-2</v>
      </c>
      <c r="DL69" s="7">
        <v>0.22309543039234084</v>
      </c>
      <c r="DM69" s="7">
        <v>0.20141513678718817</v>
      </c>
      <c r="DN69" s="7">
        <v>0.22201377094400704</v>
      </c>
      <c r="DO69" s="10">
        <f t="shared" si="7"/>
        <v>0.73410649108316517</v>
      </c>
    </row>
    <row r="70" spans="1:119">
      <c r="A70" s="4">
        <v>2018</v>
      </c>
      <c r="B70" s="17">
        <v>3864.2849999999999</v>
      </c>
      <c r="C70" s="17">
        <v>3898.5920000000001</v>
      </c>
      <c r="D70" s="17">
        <v>3933.1109999999999</v>
      </c>
      <c r="E70" s="17">
        <v>3870.2139999999999</v>
      </c>
      <c r="F70" s="17">
        <v>3945.319</v>
      </c>
      <c r="G70" s="17">
        <v>4012.3310000000001</v>
      </c>
      <c r="H70" s="17">
        <v>4071.181</v>
      </c>
      <c r="I70" s="17">
        <v>4121.7979999999998</v>
      </c>
      <c r="J70" s="17">
        <v>4167.3010000000004</v>
      </c>
      <c r="K70" s="17">
        <v>4210.8119999999999</v>
      </c>
      <c r="L70" s="17">
        <v>4236.3069999999998</v>
      </c>
      <c r="M70" s="17">
        <v>4237.3379999999997</v>
      </c>
      <c r="N70" s="17">
        <v>4223.4040000000005</v>
      </c>
      <c r="O70" s="17">
        <v>4210.2280000000001</v>
      </c>
      <c r="P70" s="17">
        <v>4194.3909999999996</v>
      </c>
      <c r="Q70" s="17">
        <v>4192.5619999999999</v>
      </c>
      <c r="R70" s="17">
        <v>4214.5540000000001</v>
      </c>
      <c r="S70" s="17">
        <v>4253.4440000000004</v>
      </c>
      <c r="T70" s="17">
        <v>4287.6220000000003</v>
      </c>
      <c r="U70" s="17">
        <v>4315.558</v>
      </c>
      <c r="V70" s="17">
        <v>4363.6099999999997</v>
      </c>
      <c r="W70" s="17">
        <v>4440.8410000000003</v>
      </c>
      <c r="X70" s="17">
        <v>4533.085</v>
      </c>
      <c r="Y70" s="17">
        <v>4619.7309999999998</v>
      </c>
      <c r="Z70" s="17">
        <v>4708.0540000000001</v>
      </c>
      <c r="AA70" s="17">
        <v>4760.3220000000001</v>
      </c>
      <c r="AB70" s="17">
        <v>4756.66</v>
      </c>
      <c r="AC70" s="17">
        <v>4714.6949999999997</v>
      </c>
      <c r="AD70" s="17">
        <v>4673.1400000000003</v>
      </c>
      <c r="AE70" s="17">
        <v>4625.7079999999996</v>
      </c>
      <c r="AF70" s="17">
        <v>4574.5929999999998</v>
      </c>
      <c r="AG70" s="17">
        <v>4525.2520000000004</v>
      </c>
      <c r="AH70" s="17">
        <v>4476.0680000000002</v>
      </c>
      <c r="AI70" s="17">
        <v>4421.54</v>
      </c>
      <c r="AJ70" s="17">
        <v>4364.6580000000004</v>
      </c>
      <c r="AK70" s="17">
        <v>4306.2340000000004</v>
      </c>
      <c r="AL70" s="17">
        <v>4246.759</v>
      </c>
      <c r="AM70" s="17">
        <v>4188.5290000000005</v>
      </c>
      <c r="AN70" s="17">
        <v>4132.8879999999999</v>
      </c>
      <c r="AO70" s="17">
        <v>4079.0039999999999</v>
      </c>
      <c r="AP70" s="17">
        <v>4038.2919999999999</v>
      </c>
      <c r="AQ70" s="17">
        <v>4016.4059999999999</v>
      </c>
      <c r="AR70" s="17">
        <v>4008.7959999999998</v>
      </c>
      <c r="AS70" s="17">
        <v>4004.7649999999999</v>
      </c>
      <c r="AT70" s="17">
        <v>4005.8539999999998</v>
      </c>
      <c r="AU70" s="17">
        <v>4013.7919999999999</v>
      </c>
      <c r="AV70" s="17">
        <v>4028.18</v>
      </c>
      <c r="AW70" s="17">
        <v>4048.451</v>
      </c>
      <c r="AX70" s="17">
        <v>4070.75</v>
      </c>
      <c r="AY70" s="17">
        <v>4091.4059999999999</v>
      </c>
      <c r="AZ70" s="17">
        <v>4125.9639999999999</v>
      </c>
      <c r="BA70" s="17">
        <v>4180.33</v>
      </c>
      <c r="BB70" s="17">
        <v>4244.3990000000003</v>
      </c>
      <c r="BC70" s="17">
        <v>4301.8819999999996</v>
      </c>
      <c r="BD70" s="17">
        <v>4355.7039999999997</v>
      </c>
      <c r="BE70" s="17">
        <v>4388.2470000000003</v>
      </c>
      <c r="BF70" s="17">
        <v>4388.9660000000003</v>
      </c>
      <c r="BG70" s="17">
        <v>4364.43</v>
      </c>
      <c r="BH70" s="17">
        <v>4333.9949999999999</v>
      </c>
      <c r="BI70" s="17">
        <v>4296.4830000000002</v>
      </c>
      <c r="BJ70" s="17">
        <v>4235.5969999999998</v>
      </c>
      <c r="BK70" s="17">
        <v>4146.0259999999998</v>
      </c>
      <c r="BL70" s="17">
        <v>4035.0450000000001</v>
      </c>
      <c r="BM70" s="17">
        <v>3914.2890000000002</v>
      </c>
      <c r="BN70" s="17">
        <v>3780.28</v>
      </c>
      <c r="BO70" s="17">
        <v>3648.7429999999999</v>
      </c>
      <c r="BP70" s="17">
        <v>3528.3220000000001</v>
      </c>
      <c r="BQ70" s="17">
        <v>3411.6550000000002</v>
      </c>
      <c r="BR70" s="17">
        <v>3286.9059999999999</v>
      </c>
      <c r="BS70" s="17">
        <v>3161.442</v>
      </c>
      <c r="BT70" s="17">
        <v>3011.8710000000001</v>
      </c>
      <c r="BU70" s="17">
        <v>2826.9769999999999</v>
      </c>
      <c r="BV70" s="17">
        <v>2621.183</v>
      </c>
      <c r="BW70" s="17">
        <v>2419.0369999999998</v>
      </c>
      <c r="BX70" s="17">
        <v>2214.3220000000001</v>
      </c>
      <c r="BY70" s="17">
        <v>2032.356</v>
      </c>
      <c r="BZ70" s="17">
        <v>1887.817</v>
      </c>
      <c r="CA70" s="17">
        <v>1769.106</v>
      </c>
      <c r="CB70" s="17">
        <v>1649.797</v>
      </c>
      <c r="CC70" s="17">
        <v>1534.9970000000001</v>
      </c>
      <c r="CD70" s="17">
        <v>1424.184</v>
      </c>
      <c r="CE70" s="17">
        <v>1314.394</v>
      </c>
      <c r="CF70" s="17">
        <v>1207.3530000000001</v>
      </c>
      <c r="CG70" s="17">
        <v>1106.999</v>
      </c>
      <c r="CH70" s="17">
        <v>1011.641</v>
      </c>
      <c r="CI70" s="17">
        <v>923.20100000000002</v>
      </c>
      <c r="CJ70" s="17">
        <v>842.73299999999995</v>
      </c>
      <c r="CK70" s="17">
        <v>768.28099999999995</v>
      </c>
      <c r="CL70" s="17">
        <v>694.875</v>
      </c>
      <c r="CM70" s="17">
        <v>639.60799999999995</v>
      </c>
      <c r="CN70" s="17">
        <v>576.16899999999998</v>
      </c>
      <c r="CO70" s="17">
        <v>492.613</v>
      </c>
      <c r="CP70" s="17">
        <v>392.06599999999997</v>
      </c>
      <c r="CQ70" s="17">
        <v>311.01299999999998</v>
      </c>
      <c r="CR70" s="17">
        <v>265.18700000000001</v>
      </c>
      <c r="CS70" s="17">
        <v>225.12299999999999</v>
      </c>
      <c r="CT70" s="17">
        <v>174.31899999999999</v>
      </c>
      <c r="CU70" s="17">
        <v>112.77500000000001</v>
      </c>
      <c r="CV70" s="17">
        <v>86.853999999999999</v>
      </c>
      <c r="CW70" s="17">
        <v>49.386000000000003</v>
      </c>
      <c r="CX70" s="17">
        <v>82.906000000000006</v>
      </c>
      <c r="CY70" s="3">
        <f t="shared" si="4"/>
        <v>327096.26300000009</v>
      </c>
      <c r="CZ70" s="3">
        <f>SUM(BD70:BV70)</f>
        <v>71736.161000000007</v>
      </c>
      <c r="DA70" s="3">
        <f t="shared" si="5"/>
        <v>0.21931207755803675</v>
      </c>
      <c r="DB70" s="3">
        <f>SUM(AN70:BC70)</f>
        <v>65391.159</v>
      </c>
      <c r="DC70" s="3">
        <f t="shared" si="8"/>
        <v>0.19991411213401719</v>
      </c>
      <c r="DD70" s="3">
        <f>SUM(X70:AM70)</f>
        <v>72495.028000000006</v>
      </c>
      <c r="DE70" s="3">
        <f t="shared" si="9"/>
        <v>0.22163208877748622</v>
      </c>
      <c r="DF70" s="3">
        <f>SUM(BW70:CO70)</f>
        <v>24509.483</v>
      </c>
      <c r="DG70" s="3">
        <f t="shared" si="10"/>
        <v>7.4930489193635305E-2</v>
      </c>
      <c r="DH70">
        <f>SUM(CO70:CX70)</f>
        <v>2192.2419999999997</v>
      </c>
      <c r="DI70" s="9">
        <f t="shared" si="3"/>
        <v>6.7021309870482961E-3</v>
      </c>
      <c r="DJ70" s="7">
        <v>6.7021309870482961E-3</v>
      </c>
      <c r="DK70" s="7">
        <v>7.4930489193635305E-2</v>
      </c>
      <c r="DL70" s="7">
        <v>0.21931207755803675</v>
      </c>
      <c r="DM70" s="7">
        <v>0.19991411213401719</v>
      </c>
      <c r="DN70" s="7">
        <v>0.22163208877748622</v>
      </c>
      <c r="DO70" s="10">
        <f t="shared" si="7"/>
        <v>0.72249089865022376</v>
      </c>
    </row>
    <row r="71" spans="1:119">
      <c r="A71" s="4">
        <v>2019</v>
      </c>
      <c r="B71" s="17">
        <v>3931.9670000000001</v>
      </c>
      <c r="C71" s="17">
        <v>3919.5</v>
      </c>
      <c r="D71" s="17">
        <v>3919.4609999999998</v>
      </c>
      <c r="E71" s="17">
        <v>3930.1579999999999</v>
      </c>
      <c r="F71" s="17">
        <v>3903.01</v>
      </c>
      <c r="G71" s="17">
        <v>3955.6439999999998</v>
      </c>
      <c r="H71" s="17">
        <v>4008.192</v>
      </c>
      <c r="I71" s="17">
        <v>4059.364</v>
      </c>
      <c r="J71" s="17">
        <v>4107.8720000000003</v>
      </c>
      <c r="K71" s="17">
        <v>4156.6769999999997</v>
      </c>
      <c r="L71" s="17">
        <v>4208.7420000000002</v>
      </c>
      <c r="M71" s="17">
        <v>4241.5200000000004</v>
      </c>
      <c r="N71" s="17">
        <v>4245.22</v>
      </c>
      <c r="O71" s="17">
        <v>4231.3059999999996</v>
      </c>
      <c r="P71" s="17">
        <v>4220.6809999999996</v>
      </c>
      <c r="Q71" s="17">
        <v>4208.74</v>
      </c>
      <c r="R71" s="17">
        <v>4210.7809999999999</v>
      </c>
      <c r="S71" s="17">
        <v>4236.4040000000005</v>
      </c>
      <c r="T71" s="17">
        <v>4278.6180000000004</v>
      </c>
      <c r="U71" s="17">
        <v>4316.0590000000002</v>
      </c>
      <c r="V71" s="17">
        <v>4347.2719999999999</v>
      </c>
      <c r="W71" s="17">
        <v>4397.3100000000004</v>
      </c>
      <c r="X71" s="17">
        <v>4474.6570000000002</v>
      </c>
      <c r="Y71" s="17">
        <v>4565.701</v>
      </c>
      <c r="Z71" s="17">
        <v>4651.027</v>
      </c>
      <c r="AA71" s="17">
        <v>4737.732</v>
      </c>
      <c r="AB71" s="17">
        <v>4788.2049999999999</v>
      </c>
      <c r="AC71" s="17">
        <v>4782.7690000000002</v>
      </c>
      <c r="AD71" s="17">
        <v>4739.0039999999999</v>
      </c>
      <c r="AE71" s="17">
        <v>4695.3879999999999</v>
      </c>
      <c r="AF71" s="17">
        <v>4645.6909999999998</v>
      </c>
      <c r="AG71" s="17">
        <v>4592.4189999999999</v>
      </c>
      <c r="AH71" s="17">
        <v>4541.165</v>
      </c>
      <c r="AI71" s="17">
        <v>4490.2370000000001</v>
      </c>
      <c r="AJ71" s="17">
        <v>4433.9089999999997</v>
      </c>
      <c r="AK71" s="17">
        <v>4375.2</v>
      </c>
      <c r="AL71" s="17">
        <v>4315.098</v>
      </c>
      <c r="AM71" s="17">
        <v>4254.1490000000003</v>
      </c>
      <c r="AN71" s="17">
        <v>4194.5870000000004</v>
      </c>
      <c r="AO71" s="17">
        <v>4137.6139999999996</v>
      </c>
      <c r="AP71" s="17">
        <v>4082.4050000000002</v>
      </c>
      <c r="AQ71" s="17">
        <v>4040.4059999999999</v>
      </c>
      <c r="AR71" s="17">
        <v>4017.2640000000001</v>
      </c>
      <c r="AS71" s="17">
        <v>4008.404</v>
      </c>
      <c r="AT71" s="17">
        <v>4003.0940000000001</v>
      </c>
      <c r="AU71" s="17">
        <v>4002.87</v>
      </c>
      <c r="AV71" s="17">
        <v>4009.404</v>
      </c>
      <c r="AW71" s="17">
        <v>4022.2559999999999</v>
      </c>
      <c r="AX71" s="17">
        <v>4040.8719999999998</v>
      </c>
      <c r="AY71" s="17">
        <v>4061.4650000000001</v>
      </c>
      <c r="AZ71" s="17">
        <v>4080.3829999999998</v>
      </c>
      <c r="BA71" s="17">
        <v>4112.9639999999999</v>
      </c>
      <c r="BB71" s="17">
        <v>4165.027</v>
      </c>
      <c r="BC71" s="17">
        <v>4226.5690000000004</v>
      </c>
      <c r="BD71" s="17">
        <v>4281.5209999999997</v>
      </c>
      <c r="BE71" s="17">
        <v>4332.7950000000001</v>
      </c>
      <c r="BF71" s="17">
        <v>4362.7690000000002</v>
      </c>
      <c r="BG71" s="17">
        <v>4360.9219999999996</v>
      </c>
      <c r="BH71" s="17">
        <v>4333.8519999999999</v>
      </c>
      <c r="BI71" s="17">
        <v>4300.884</v>
      </c>
      <c r="BJ71" s="17">
        <v>4260.8059999999996</v>
      </c>
      <c r="BK71" s="17">
        <v>4197.6379999999999</v>
      </c>
      <c r="BL71" s="17">
        <v>4106.2079999999996</v>
      </c>
      <c r="BM71" s="17">
        <v>3993.65</v>
      </c>
      <c r="BN71" s="17">
        <v>3871.35</v>
      </c>
      <c r="BO71" s="17">
        <v>3735.9290000000001</v>
      </c>
      <c r="BP71" s="17">
        <v>3602.7860000000001</v>
      </c>
      <c r="BQ71" s="17">
        <v>3480.3919999999998</v>
      </c>
      <c r="BR71" s="17">
        <v>3361.57</v>
      </c>
      <c r="BS71" s="17">
        <v>3234.7689999999998</v>
      </c>
      <c r="BT71" s="17">
        <v>3107.2249999999999</v>
      </c>
      <c r="BU71" s="17">
        <v>2956.0390000000002</v>
      </c>
      <c r="BV71" s="17">
        <v>2770.2489999999998</v>
      </c>
      <c r="BW71" s="17">
        <v>2564.0010000000002</v>
      </c>
      <c r="BX71" s="17">
        <v>2361.3440000000001</v>
      </c>
      <c r="BY71" s="17">
        <v>2156.1970000000001</v>
      </c>
      <c r="BZ71" s="17">
        <v>1973.453</v>
      </c>
      <c r="CA71" s="17">
        <v>1827.5350000000001</v>
      </c>
      <c r="CB71" s="17">
        <v>1707.0619999999999</v>
      </c>
      <c r="CC71" s="17">
        <v>1586.1289999999999</v>
      </c>
      <c r="CD71" s="17">
        <v>1469.8019999999999</v>
      </c>
      <c r="CE71" s="17">
        <v>1357.365</v>
      </c>
      <c r="CF71" s="17">
        <v>1245.835</v>
      </c>
      <c r="CG71" s="17">
        <v>1137.0419999999999</v>
      </c>
      <c r="CH71" s="17">
        <v>1035.221</v>
      </c>
      <c r="CI71" s="17">
        <v>938.83199999999999</v>
      </c>
      <c r="CJ71" s="17">
        <v>849.23099999999999</v>
      </c>
      <c r="CK71" s="17">
        <v>767.29</v>
      </c>
      <c r="CL71" s="17">
        <v>691.46199999999999</v>
      </c>
      <c r="CM71" s="17">
        <v>616.13099999999997</v>
      </c>
      <c r="CN71" s="17">
        <v>563.17100000000005</v>
      </c>
      <c r="CO71" s="17">
        <v>502.66</v>
      </c>
      <c r="CP71" s="17">
        <v>421.11900000000003</v>
      </c>
      <c r="CQ71" s="17">
        <v>320.10899999999998</v>
      </c>
      <c r="CR71" s="17">
        <v>246.66800000000001</v>
      </c>
      <c r="CS71" s="17">
        <v>212.578</v>
      </c>
      <c r="CT71" s="17">
        <v>178.28899999999999</v>
      </c>
      <c r="CU71" s="17">
        <v>135.554</v>
      </c>
      <c r="CV71" s="17">
        <v>84.373999999999995</v>
      </c>
      <c r="CW71" s="17">
        <v>52.726999999999997</v>
      </c>
      <c r="CX71" s="17">
        <v>89.948999999999998</v>
      </c>
      <c r="CY71" s="3">
        <f t="shared" si="4"/>
        <v>329064.91699999996</v>
      </c>
      <c r="CZ71" s="19">
        <f>SUM(BE71:BW71)</f>
        <v>70933.834000000003</v>
      </c>
      <c r="DA71" s="3">
        <f t="shared" si="5"/>
        <v>0.21556182484199618</v>
      </c>
      <c r="DB71" s="3">
        <f>SUM(AO71:BD71)</f>
        <v>65292.518000000011</v>
      </c>
      <c r="DC71" s="3">
        <f t="shared" si="8"/>
        <v>0.19841835038282132</v>
      </c>
      <c r="DD71" s="3">
        <f>SUM(Y71:AN71)</f>
        <v>72802.281000000003</v>
      </c>
      <c r="DE71" s="3">
        <f t="shared" si="9"/>
        <v>0.2212398746840582</v>
      </c>
      <c r="DF71" s="3">
        <f>SUM(BX71:CP71)</f>
        <v>23206.881000000001</v>
      </c>
      <c r="DG71" s="3">
        <f t="shared" si="10"/>
        <v>7.0523716753433191E-2</v>
      </c>
      <c r="DH71">
        <f>SUM(CP71:CX71)</f>
        <v>1741.3670000000004</v>
      </c>
      <c r="DI71" s="9">
        <f t="shared" si="3"/>
        <v>5.2918646444464349E-3</v>
      </c>
      <c r="DJ71" s="7">
        <v>5.2918646444464349E-3</v>
      </c>
      <c r="DK71" s="7">
        <v>7.0523716753433191E-2</v>
      </c>
      <c r="DL71" s="7">
        <v>0.21556182484199618</v>
      </c>
      <c r="DM71" s="7">
        <v>0.19841835038282132</v>
      </c>
      <c r="DN71" s="7">
        <v>0.2212398746840582</v>
      </c>
      <c r="DO71" s="10">
        <f t="shared" si="7"/>
        <v>0.7110356313067554</v>
      </c>
    </row>
    <row r="72" spans="1:119">
      <c r="A72" s="4">
        <v>2020</v>
      </c>
      <c r="B72" s="17">
        <v>3990.8180000000002</v>
      </c>
      <c r="C72" s="17">
        <v>3943.8530000000001</v>
      </c>
      <c r="D72" s="17">
        <v>3917.33</v>
      </c>
      <c r="E72" s="17">
        <v>3908.7440000000001</v>
      </c>
      <c r="F72" s="17">
        <v>3915.587</v>
      </c>
      <c r="G72" s="17">
        <v>3935.3519999999999</v>
      </c>
      <c r="H72" s="17">
        <v>3965.5340000000001</v>
      </c>
      <c r="I72" s="17">
        <v>4003.6260000000002</v>
      </c>
      <c r="J72" s="17">
        <v>4047.123</v>
      </c>
      <c r="K72" s="17">
        <v>4093.5169999999998</v>
      </c>
      <c r="L72" s="17">
        <v>4145.6149999999998</v>
      </c>
      <c r="M72" s="17">
        <v>4206.2209999999995</v>
      </c>
      <c r="N72" s="17">
        <v>4246.2709999999997</v>
      </c>
      <c r="O72" s="17">
        <v>4252.6360000000004</v>
      </c>
      <c r="P72" s="17">
        <v>4238.7439999999997</v>
      </c>
      <c r="Q72" s="17">
        <v>4230.6710000000003</v>
      </c>
      <c r="R72" s="17">
        <v>4222.6210000000001</v>
      </c>
      <c r="S72" s="17">
        <v>4228.53</v>
      </c>
      <c r="T72" s="17">
        <v>4257.7790000000005</v>
      </c>
      <c r="U72" s="17">
        <v>4303.3069999999998</v>
      </c>
      <c r="V72" s="17">
        <v>4344.0039999999999</v>
      </c>
      <c r="W72" s="17">
        <v>4378.4859999999999</v>
      </c>
      <c r="X72" s="17">
        <v>4430.5039999999999</v>
      </c>
      <c r="Y72" s="17">
        <v>4507.9579999999996</v>
      </c>
      <c r="Z72" s="17">
        <v>4597.7929999999997</v>
      </c>
      <c r="AA72" s="17">
        <v>4681.7920000000004</v>
      </c>
      <c r="AB72" s="17">
        <v>4766.8720000000003</v>
      </c>
      <c r="AC72" s="17">
        <v>4815.5469999999996</v>
      </c>
      <c r="AD72" s="17">
        <v>4808.3389999999999</v>
      </c>
      <c r="AE72" s="17">
        <v>4762.78</v>
      </c>
      <c r="AF72" s="17">
        <v>4717.1099999999997</v>
      </c>
      <c r="AG72" s="17">
        <v>4665.1549999999997</v>
      </c>
      <c r="AH72" s="17">
        <v>4609.7340000000004</v>
      </c>
      <c r="AI72" s="17">
        <v>4556.5730000000003</v>
      </c>
      <c r="AJ72" s="17">
        <v>4503.9070000000002</v>
      </c>
      <c r="AK72" s="17">
        <v>4445.7889999999998</v>
      </c>
      <c r="AL72" s="17">
        <v>4385.26</v>
      </c>
      <c r="AM72" s="17">
        <v>4323.4859999999999</v>
      </c>
      <c r="AN72" s="17">
        <v>4261.0709999999999</v>
      </c>
      <c r="AO72" s="17">
        <v>4200.1850000000004</v>
      </c>
      <c r="AP72" s="17">
        <v>4141.8890000000001</v>
      </c>
      <c r="AQ72" s="17">
        <v>4085.3620000000001</v>
      </c>
      <c r="AR72" s="17">
        <v>4042.0819999999999</v>
      </c>
      <c r="AS72" s="17">
        <v>4017.6880000000001</v>
      </c>
      <c r="AT72" s="17">
        <v>4007.578</v>
      </c>
      <c r="AU72" s="17">
        <v>4000.991</v>
      </c>
      <c r="AV72" s="17">
        <v>3999.4560000000001</v>
      </c>
      <c r="AW72" s="17">
        <v>4004.585</v>
      </c>
      <c r="AX72" s="17">
        <v>4015.9029999999998</v>
      </c>
      <c r="AY72" s="17">
        <v>4032.8629999999998</v>
      </c>
      <c r="AZ72" s="17">
        <v>4051.75</v>
      </c>
      <c r="BA72" s="17">
        <v>4068.931</v>
      </c>
      <c r="BB72" s="17">
        <v>4099.5339999999997</v>
      </c>
      <c r="BC72" s="17">
        <v>4149.29</v>
      </c>
      <c r="BD72" s="17">
        <v>4208.3019999999997</v>
      </c>
      <c r="BE72" s="17">
        <v>4260.7179999999998</v>
      </c>
      <c r="BF72" s="17">
        <v>4309.4399999999996</v>
      </c>
      <c r="BG72" s="17">
        <v>4336.8419999999996</v>
      </c>
      <c r="BH72" s="17">
        <v>4332.4340000000002</v>
      </c>
      <c r="BI72" s="17">
        <v>4302.8360000000002</v>
      </c>
      <c r="BJ72" s="17">
        <v>4267.3389999999999</v>
      </c>
      <c r="BK72" s="17">
        <v>4224.701</v>
      </c>
      <c r="BL72" s="17">
        <v>4159.26</v>
      </c>
      <c r="BM72" s="17">
        <v>4065.9830000000002</v>
      </c>
      <c r="BN72" s="17">
        <v>3951.86</v>
      </c>
      <c r="BO72" s="17">
        <v>3828.0320000000002</v>
      </c>
      <c r="BP72" s="17">
        <v>3691.2150000000001</v>
      </c>
      <c r="BQ72" s="17">
        <v>3556.482</v>
      </c>
      <c r="BR72" s="17">
        <v>3432.1309999999999</v>
      </c>
      <c r="BS72" s="17">
        <v>3311.1669999999999</v>
      </c>
      <c r="BT72" s="17">
        <v>3182.3319999999999</v>
      </c>
      <c r="BU72" s="17">
        <v>3052.723</v>
      </c>
      <c r="BV72" s="17">
        <v>2899.94</v>
      </c>
      <c r="BW72" s="17">
        <v>2713.2739999999999</v>
      </c>
      <c r="BX72" s="17">
        <v>2506.5940000000001</v>
      </c>
      <c r="BY72" s="17">
        <v>2303.4490000000001</v>
      </c>
      <c r="BZ72" s="17">
        <v>2097.8919999999998</v>
      </c>
      <c r="CA72" s="17">
        <v>1914.3889999999999</v>
      </c>
      <c r="CB72" s="17">
        <v>1767.1110000000001</v>
      </c>
      <c r="CC72" s="17">
        <v>1644.893</v>
      </c>
      <c r="CD72" s="17">
        <v>1522.35</v>
      </c>
      <c r="CE72" s="17">
        <v>1404.508</v>
      </c>
      <c r="CF72" s="17">
        <v>1290.463</v>
      </c>
      <c r="CG72" s="17">
        <v>1177.2070000000001</v>
      </c>
      <c r="CH72" s="17">
        <v>1066.674</v>
      </c>
      <c r="CI72" s="17">
        <v>963.4</v>
      </c>
      <c r="CJ72" s="17">
        <v>865.99</v>
      </c>
      <c r="CK72" s="17">
        <v>775.23800000000006</v>
      </c>
      <c r="CL72" s="17">
        <v>691.83500000000004</v>
      </c>
      <c r="CM72" s="17">
        <v>614.64099999999996</v>
      </c>
      <c r="CN72" s="17">
        <v>537.39300000000003</v>
      </c>
      <c r="CO72" s="17">
        <v>486.74400000000003</v>
      </c>
      <c r="CP72" s="17">
        <v>429.166</v>
      </c>
      <c r="CQ72" s="17">
        <v>349.64600000000002</v>
      </c>
      <c r="CR72" s="17">
        <v>248.18700000000001</v>
      </c>
      <c r="CS72" s="17">
        <v>182.358</v>
      </c>
      <c r="CT72" s="17">
        <v>159.995</v>
      </c>
      <c r="CU72" s="17">
        <v>131.47900000000001</v>
      </c>
      <c r="CV72" s="17">
        <v>96.811999999999998</v>
      </c>
      <c r="CW72" s="17">
        <v>55.991999999999997</v>
      </c>
      <c r="CX72" s="17">
        <v>97.103999999999999</v>
      </c>
      <c r="CY72" s="3">
        <f t="shared" si="4"/>
        <v>331002.647</v>
      </c>
      <c r="CZ72" s="19">
        <f>SUM(BF72:BX72)</f>
        <v>70124.585000000006</v>
      </c>
      <c r="DA72" s="3">
        <f t="shared" si="5"/>
        <v>0.21185505806544203</v>
      </c>
      <c r="DB72" s="3">
        <f>SUM(AP72:BE72)</f>
        <v>65186.921999999999</v>
      </c>
      <c r="DC72" s="3">
        <f t="shared" si="8"/>
        <v>0.19693776648257438</v>
      </c>
      <c r="DD72" s="3">
        <f>SUM(Z72:AO72)</f>
        <v>73101.392999999982</v>
      </c>
      <c r="DE72" s="3">
        <f t="shared" si="9"/>
        <v>0.22084836378967079</v>
      </c>
      <c r="DF72" s="3">
        <f>SUM(BY72:CQ72)</f>
        <v>21902.989000000005</v>
      </c>
      <c r="DG72" s="3">
        <f t="shared" si="10"/>
        <v>6.6171643032208155E-2</v>
      </c>
      <c r="DH72">
        <f>SUM(CQ72:CX72)</f>
        <v>1321.5729999999999</v>
      </c>
      <c r="DI72" s="9">
        <f t="shared" si="3"/>
        <v>3.9926357446923976E-3</v>
      </c>
      <c r="DJ72" s="7">
        <v>3.9926357446923976E-3</v>
      </c>
      <c r="DK72" s="7">
        <v>6.6171643032208155E-2</v>
      </c>
      <c r="DL72" s="7">
        <v>0.21185505806544203</v>
      </c>
      <c r="DM72" s="7">
        <v>0.19693776648257438</v>
      </c>
      <c r="DN72" s="7">
        <v>0.22084836378967079</v>
      </c>
      <c r="DO72" s="10">
        <f t="shared" si="7"/>
        <v>0.6998054671145878</v>
      </c>
    </row>
    <row r="73" spans="1:119" customFormat="1">
      <c r="A73" s="15">
        <v>2021</v>
      </c>
      <c r="B73" s="18">
        <v>4041.3960000000002</v>
      </c>
      <c r="C73" s="18">
        <v>3988.5070000000001</v>
      </c>
      <c r="D73" s="18">
        <v>3947.66</v>
      </c>
      <c r="E73" s="18">
        <v>3924.587</v>
      </c>
      <c r="F73" s="18">
        <v>3917.337</v>
      </c>
      <c r="G73" s="18">
        <v>3923.9549999999999</v>
      </c>
      <c r="H73" s="18">
        <v>3941.7919999999999</v>
      </c>
      <c r="I73" s="18">
        <v>3968.1930000000002</v>
      </c>
      <c r="J73" s="18">
        <v>4004.7150000000001</v>
      </c>
      <c r="K73" s="18">
        <v>4050.8130000000001</v>
      </c>
      <c r="L73" s="18">
        <v>4102.4279999999999</v>
      </c>
      <c r="M73" s="18">
        <v>4158.7250000000004</v>
      </c>
      <c r="N73" s="18">
        <v>4223.08</v>
      </c>
      <c r="O73" s="18">
        <v>4266.9070000000002</v>
      </c>
      <c r="P73" s="18">
        <v>4276.9009999999998</v>
      </c>
      <c r="Q73" s="18">
        <v>4266.3879999999999</v>
      </c>
      <c r="R73" s="18">
        <v>4261.6149999999998</v>
      </c>
      <c r="S73" s="18">
        <v>4256.8689999999997</v>
      </c>
      <c r="T73" s="18">
        <v>4264.7960000000003</v>
      </c>
      <c r="U73" s="18">
        <v>4294.192</v>
      </c>
      <c r="V73" s="18">
        <v>4338.5479999999998</v>
      </c>
      <c r="W73" s="18">
        <v>4377.9560000000001</v>
      </c>
      <c r="X73" s="18">
        <v>4410.866</v>
      </c>
      <c r="Y73" s="18">
        <v>4461.0649999999996</v>
      </c>
      <c r="Z73" s="18">
        <v>4536.6109999999999</v>
      </c>
      <c r="AA73" s="18">
        <v>4624.451</v>
      </c>
      <c r="AB73" s="18">
        <v>4706.2039999999997</v>
      </c>
      <c r="AC73" s="18">
        <v>4788.8239999999996</v>
      </c>
      <c r="AD73" s="18">
        <v>4835.2139999999999</v>
      </c>
      <c r="AE73" s="18">
        <v>4826.0789999999997</v>
      </c>
      <c r="AF73" s="18">
        <v>4778.8379999999997</v>
      </c>
      <c r="AG73" s="18">
        <v>4731.4219999999996</v>
      </c>
      <c r="AH73" s="18">
        <v>4677.7079999999996</v>
      </c>
      <c r="AI73" s="18">
        <v>4620.6509999999998</v>
      </c>
      <c r="AJ73" s="18">
        <v>4566.0069999999996</v>
      </c>
      <c r="AK73" s="18">
        <v>4511.973</v>
      </c>
      <c r="AL73" s="18">
        <v>4452.5140000000001</v>
      </c>
      <c r="AM73" s="18">
        <v>4390.6679999999997</v>
      </c>
      <c r="AN73" s="18">
        <v>4327.6350000000002</v>
      </c>
      <c r="AO73" s="18">
        <v>4264.0169999999998</v>
      </c>
      <c r="AP73" s="18">
        <v>4201.96</v>
      </c>
      <c r="AQ73" s="18">
        <v>4142.4799999999996</v>
      </c>
      <c r="AR73" s="18">
        <v>4084.7570000000001</v>
      </c>
      <c r="AS73" s="18">
        <v>4040.2310000000002</v>
      </c>
      <c r="AT73" s="18">
        <v>4014.5189999999998</v>
      </c>
      <c r="AU73" s="18">
        <v>4003.0169999999998</v>
      </c>
      <c r="AV73" s="18">
        <v>3994.9769999999999</v>
      </c>
      <c r="AW73" s="18">
        <v>3991.9189999999999</v>
      </c>
      <c r="AX73" s="18">
        <v>3995.4059999999999</v>
      </c>
      <c r="AY73" s="18">
        <v>4004.9360000000001</v>
      </c>
      <c r="AZ73" s="18">
        <v>4019.971</v>
      </c>
      <c r="BA73" s="18">
        <v>4036.8580000000002</v>
      </c>
      <c r="BB73" s="18">
        <v>4051.9830000000002</v>
      </c>
      <c r="BC73" s="18">
        <v>4080.3020000000001</v>
      </c>
      <c r="BD73" s="18">
        <v>4127.4769999999999</v>
      </c>
      <c r="BE73" s="18">
        <v>4183.701</v>
      </c>
      <c r="BF73" s="18">
        <v>4233.2950000000001</v>
      </c>
      <c r="BG73" s="18">
        <v>4279.1379999999999</v>
      </c>
      <c r="BH73" s="18">
        <v>4303.6819999999998</v>
      </c>
      <c r="BI73" s="18">
        <v>4296.4989999999998</v>
      </c>
      <c r="BJ73" s="18">
        <v>4264.1859999999997</v>
      </c>
      <c r="BK73" s="18">
        <v>4225.93</v>
      </c>
      <c r="BL73" s="18">
        <v>4180.4889999999996</v>
      </c>
      <c r="BM73" s="18">
        <v>4112.3689999999997</v>
      </c>
      <c r="BN73" s="18">
        <v>4016.6080000000002</v>
      </c>
      <c r="BO73" s="18">
        <v>3900.1170000000002</v>
      </c>
      <c r="BP73" s="18">
        <v>3773.973</v>
      </c>
      <c r="BQ73" s="18">
        <v>3635.0050000000001</v>
      </c>
      <c r="BR73" s="18">
        <v>3497.8020000000001</v>
      </c>
      <c r="BS73" s="18">
        <v>3370.4450000000002</v>
      </c>
      <c r="BT73" s="18">
        <v>3246.2159999999999</v>
      </c>
      <c r="BU73" s="18">
        <v>3114.288</v>
      </c>
      <c r="BV73" s="18">
        <v>2981.5949999999998</v>
      </c>
      <c r="BW73" s="18">
        <v>2826.4360000000001</v>
      </c>
      <c r="BX73" s="18">
        <v>2638.4659999999999</v>
      </c>
      <c r="BY73" s="18">
        <v>2431.2069999999999</v>
      </c>
      <c r="BZ73" s="18">
        <v>2227.5729999999999</v>
      </c>
      <c r="CA73" s="18">
        <v>2021.846</v>
      </c>
      <c r="CB73" s="18">
        <v>1837.836</v>
      </c>
      <c r="CC73" s="18">
        <v>1689.36</v>
      </c>
      <c r="CD73" s="18">
        <v>1565.627</v>
      </c>
      <c r="CE73" s="18">
        <v>1441.991</v>
      </c>
      <c r="CF73" s="18">
        <v>1323.3340000000001</v>
      </c>
      <c r="CG73" s="18">
        <v>1209.0899999999999</v>
      </c>
      <c r="CH73" s="18">
        <v>1096.4960000000001</v>
      </c>
      <c r="CI73" s="18">
        <v>987.32799999999997</v>
      </c>
      <c r="CJ73" s="18">
        <v>884.24400000000003</v>
      </c>
      <c r="CK73" s="18">
        <v>790.65899999999999</v>
      </c>
      <c r="CL73" s="18">
        <v>705.43100000000004</v>
      </c>
      <c r="CM73" s="18">
        <v>623.56399999999996</v>
      </c>
      <c r="CN73" s="18">
        <v>544.14800000000002</v>
      </c>
      <c r="CO73" s="18">
        <v>471.42899999999997</v>
      </c>
      <c r="CP73" s="18">
        <v>426.30599999999998</v>
      </c>
      <c r="CQ73" s="18">
        <v>374.13600000000002</v>
      </c>
      <c r="CR73" s="18">
        <v>302.90899999999999</v>
      </c>
      <c r="CS73" s="18">
        <v>212.62</v>
      </c>
      <c r="CT73" s="18">
        <v>166.411</v>
      </c>
      <c r="CU73" s="18">
        <v>137.249</v>
      </c>
      <c r="CV73" s="18">
        <v>101.52200000000001</v>
      </c>
      <c r="CW73" s="18">
        <v>59.23</v>
      </c>
      <c r="CX73" s="18">
        <v>104.38800000000001</v>
      </c>
      <c r="CY73" s="3">
        <f t="shared" si="4"/>
        <v>332915.07399999996</v>
      </c>
      <c r="DF73" s="3"/>
    </row>
    <row r="74" spans="1:119" customFormat="1">
      <c r="A74" s="15">
        <v>2022</v>
      </c>
      <c r="B74" s="18">
        <v>4083.0430000000001</v>
      </c>
      <c r="C74" s="18">
        <v>4009.9319999999998</v>
      </c>
      <c r="D74" s="18">
        <v>3985.7049999999999</v>
      </c>
      <c r="E74" s="18">
        <v>3950.9839999999999</v>
      </c>
      <c r="F74" s="18">
        <v>3931.364</v>
      </c>
      <c r="G74" s="18">
        <v>3925.45</v>
      </c>
      <c r="H74" s="18">
        <v>3931.8449999999998</v>
      </c>
      <c r="I74" s="18">
        <v>3947.75</v>
      </c>
      <c r="J74" s="18">
        <v>3970.364</v>
      </c>
      <c r="K74" s="18">
        <v>4005.3110000000001</v>
      </c>
      <c r="L74" s="18">
        <v>4054.0050000000001</v>
      </c>
      <c r="M74" s="18">
        <v>4110.8370000000004</v>
      </c>
      <c r="N74" s="18">
        <v>4171.3289999999997</v>
      </c>
      <c r="O74" s="18">
        <v>4239.4260000000004</v>
      </c>
      <c r="P74" s="18">
        <v>4287.027</v>
      </c>
      <c r="Q74" s="18">
        <v>4300.6509999999998</v>
      </c>
      <c r="R74" s="18">
        <v>4293.5200000000004</v>
      </c>
      <c r="S74" s="18">
        <v>4292.05</v>
      </c>
      <c r="T74" s="18">
        <v>4290.6080000000002</v>
      </c>
      <c r="U74" s="18">
        <v>4300.5550000000003</v>
      </c>
      <c r="V74" s="18">
        <v>4330.0940000000001</v>
      </c>
      <c r="W74" s="18">
        <v>4373.2719999999999</v>
      </c>
      <c r="X74" s="18">
        <v>4411.3850000000002</v>
      </c>
      <c r="Y74" s="18">
        <v>4442.7179999999998</v>
      </c>
      <c r="Z74" s="18">
        <v>4491.0889999999999</v>
      </c>
      <c r="AA74" s="18">
        <v>4564.72</v>
      </c>
      <c r="AB74" s="18">
        <v>4650.5540000000001</v>
      </c>
      <c r="AC74" s="18">
        <v>4730.0479999999998</v>
      </c>
      <c r="AD74" s="18">
        <v>4810.1959999999999</v>
      </c>
      <c r="AE74" s="18">
        <v>4854.2950000000001</v>
      </c>
      <c r="AF74" s="18">
        <v>4843.2340000000004</v>
      </c>
      <c r="AG74" s="18">
        <v>4794.3149999999996</v>
      </c>
      <c r="AH74" s="18">
        <v>4745.1589999999997</v>
      </c>
      <c r="AI74" s="18">
        <v>4689.6930000000002</v>
      </c>
      <c r="AJ74" s="18">
        <v>4631.0050000000001</v>
      </c>
      <c r="AK74" s="18">
        <v>4574.884</v>
      </c>
      <c r="AL74" s="18">
        <v>4519.4880000000003</v>
      </c>
      <c r="AM74" s="18">
        <v>4458.6940000000004</v>
      </c>
      <c r="AN74" s="18">
        <v>4395.5379999999996</v>
      </c>
      <c r="AO74" s="18">
        <v>4331.2520000000004</v>
      </c>
      <c r="AP74" s="18">
        <v>4266.4409999999998</v>
      </c>
      <c r="AQ74" s="18">
        <v>4203.2179999999998</v>
      </c>
      <c r="AR74" s="18">
        <v>4142.5640000000003</v>
      </c>
      <c r="AS74" s="18">
        <v>4083.6480000000001</v>
      </c>
      <c r="AT74" s="18">
        <v>4037.8820000000001</v>
      </c>
      <c r="AU74" s="18">
        <v>4010.8560000000002</v>
      </c>
      <c r="AV74" s="18">
        <v>3997.962</v>
      </c>
      <c r="AW74" s="18">
        <v>3988.4690000000001</v>
      </c>
      <c r="AX74" s="18">
        <v>3983.8879999999999</v>
      </c>
      <c r="AY74" s="18">
        <v>3985.7330000000002</v>
      </c>
      <c r="AZ74" s="18">
        <v>3993.473</v>
      </c>
      <c r="BA74" s="18">
        <v>4006.58</v>
      </c>
      <c r="BB74" s="18">
        <v>4021.462</v>
      </c>
      <c r="BC74" s="18">
        <v>4034.53</v>
      </c>
      <c r="BD74" s="18">
        <v>4060.56</v>
      </c>
      <c r="BE74" s="18">
        <v>4105.1459999999997</v>
      </c>
      <c r="BF74" s="18">
        <v>4158.576</v>
      </c>
      <c r="BG74" s="18">
        <v>4205.34</v>
      </c>
      <c r="BH74" s="18">
        <v>4248.2969999999996</v>
      </c>
      <c r="BI74" s="18">
        <v>4269.9790000000003</v>
      </c>
      <c r="BJ74" s="18">
        <v>4260.0209999999997</v>
      </c>
      <c r="BK74" s="18">
        <v>4224.9939999999997</v>
      </c>
      <c r="BL74" s="18">
        <v>4183.9830000000002</v>
      </c>
      <c r="BM74" s="18">
        <v>4135.7420000000002</v>
      </c>
      <c r="BN74" s="18">
        <v>4064.9520000000002</v>
      </c>
      <c r="BO74" s="18">
        <v>3966.7159999999999</v>
      </c>
      <c r="BP74" s="18">
        <v>3847.8710000000001</v>
      </c>
      <c r="BQ74" s="18">
        <v>3719.4290000000001</v>
      </c>
      <c r="BR74" s="18">
        <v>3578.3249999999998</v>
      </c>
      <c r="BS74" s="18">
        <v>3438.6660000000002</v>
      </c>
      <c r="BT74" s="18">
        <v>3308.317</v>
      </c>
      <c r="BU74" s="18">
        <v>3180.8389999999999</v>
      </c>
      <c r="BV74" s="18">
        <v>3045.8319999999999</v>
      </c>
      <c r="BW74" s="18">
        <v>2910.07</v>
      </c>
      <c r="BX74" s="18">
        <v>2752.5520000000001</v>
      </c>
      <c r="BY74" s="18">
        <v>2563.3020000000001</v>
      </c>
      <c r="BZ74" s="18">
        <v>2355.4879999999998</v>
      </c>
      <c r="CA74" s="18">
        <v>2151.3910000000001</v>
      </c>
      <c r="CB74" s="18">
        <v>1945.519</v>
      </c>
      <c r="CC74" s="18">
        <v>1761.0239999999999</v>
      </c>
      <c r="CD74" s="18">
        <v>1611.366</v>
      </c>
      <c r="CE74" s="18">
        <v>1486.133</v>
      </c>
      <c r="CF74" s="18">
        <v>1361.4179999999999</v>
      </c>
      <c r="CG74" s="18">
        <v>1241.962</v>
      </c>
      <c r="CH74" s="18">
        <v>1127.5329999999999</v>
      </c>
      <c r="CI74" s="18">
        <v>1015.614</v>
      </c>
      <c r="CJ74" s="18">
        <v>907.82500000000005</v>
      </c>
      <c r="CK74" s="18">
        <v>804.94500000000005</v>
      </c>
      <c r="CL74" s="18">
        <v>715.19799999999998</v>
      </c>
      <c r="CM74" s="18">
        <v>635.505</v>
      </c>
      <c r="CN74" s="18">
        <v>555.18499999999995</v>
      </c>
      <c r="CO74" s="18">
        <v>473.55799999999999</v>
      </c>
      <c r="CP74" s="18">
        <v>405.37599999999998</v>
      </c>
      <c r="CQ74" s="18">
        <v>365.78800000000001</v>
      </c>
      <c r="CR74" s="18">
        <v>319.03699999999998</v>
      </c>
      <c r="CS74" s="18">
        <v>256.11200000000002</v>
      </c>
      <c r="CT74" s="18">
        <v>177.012</v>
      </c>
      <c r="CU74" s="18">
        <v>142.602</v>
      </c>
      <c r="CV74" s="18">
        <v>105.988</v>
      </c>
      <c r="CW74" s="18">
        <v>62.38</v>
      </c>
      <c r="CX74" s="18">
        <v>111.705</v>
      </c>
      <c r="CY74" s="3">
        <f t="shared" si="4"/>
        <v>334805.26800000004</v>
      </c>
      <c r="DF74" s="3"/>
    </row>
    <row r="75" spans="1:119" customFormat="1">
      <c r="A75" s="15">
        <v>2023</v>
      </c>
      <c r="B75" s="18">
        <v>4114.9489999999996</v>
      </c>
      <c r="C75" s="18">
        <v>4045.4650000000001</v>
      </c>
      <c r="D75" s="18">
        <v>3993.3960000000002</v>
      </c>
      <c r="E75" s="18">
        <v>3982.38</v>
      </c>
      <c r="F75" s="18">
        <v>3953.7910000000002</v>
      </c>
      <c r="G75" s="18">
        <v>3937.6280000000002</v>
      </c>
      <c r="H75" s="18">
        <v>3933.0520000000001</v>
      </c>
      <c r="I75" s="18">
        <v>3939.221</v>
      </c>
      <c r="J75" s="18">
        <v>3953.1909999999998</v>
      </c>
      <c r="K75" s="18">
        <v>3972.0149999999999</v>
      </c>
      <c r="L75" s="18">
        <v>4005.3829999999998</v>
      </c>
      <c r="M75" s="18">
        <v>4056.6680000000001</v>
      </c>
      <c r="N75" s="18">
        <v>4118.71</v>
      </c>
      <c r="O75" s="18">
        <v>4183.3890000000001</v>
      </c>
      <c r="P75" s="18">
        <v>4255.2219999999998</v>
      </c>
      <c r="Q75" s="18">
        <v>4306.59</v>
      </c>
      <c r="R75" s="18">
        <v>4323.8429999999998</v>
      </c>
      <c r="S75" s="18">
        <v>4320.0959999999995</v>
      </c>
      <c r="T75" s="18">
        <v>4321.9279999999999</v>
      </c>
      <c r="U75" s="18">
        <v>4323.7939999999999</v>
      </c>
      <c r="V75" s="18">
        <v>4335.7579999999998</v>
      </c>
      <c r="W75" s="18">
        <v>4365.4369999999999</v>
      </c>
      <c r="X75" s="18">
        <v>4407.4319999999998</v>
      </c>
      <c r="Y75" s="18">
        <v>4444.2439999999997</v>
      </c>
      <c r="Z75" s="18">
        <v>4473.9949999999999</v>
      </c>
      <c r="AA75" s="18">
        <v>4520.5320000000002</v>
      </c>
      <c r="AB75" s="18">
        <v>4592.2370000000001</v>
      </c>
      <c r="AC75" s="18">
        <v>4676.0519999999997</v>
      </c>
      <c r="AD75" s="18">
        <v>4753.2790000000005</v>
      </c>
      <c r="AE75" s="18">
        <v>4830.9440000000004</v>
      </c>
      <c r="AF75" s="18">
        <v>4872.7460000000001</v>
      </c>
      <c r="AG75" s="18">
        <v>4859.76</v>
      </c>
      <c r="AH75" s="18">
        <v>4809.1679999999997</v>
      </c>
      <c r="AI75" s="18">
        <v>4758.277</v>
      </c>
      <c r="AJ75" s="18">
        <v>4701.0649999999996</v>
      </c>
      <c r="AK75" s="18">
        <v>4640.7539999999999</v>
      </c>
      <c r="AL75" s="18">
        <v>4583.1639999999998</v>
      </c>
      <c r="AM75" s="18">
        <v>4526.4120000000003</v>
      </c>
      <c r="AN75" s="18">
        <v>4464.2910000000002</v>
      </c>
      <c r="AO75" s="18">
        <v>4399.835</v>
      </c>
      <c r="AP75" s="18">
        <v>4334.3040000000001</v>
      </c>
      <c r="AQ75" s="18">
        <v>4268.3059999999996</v>
      </c>
      <c r="AR75" s="18">
        <v>4203.9260000000004</v>
      </c>
      <c r="AS75" s="18">
        <v>4142.1059999999998</v>
      </c>
      <c r="AT75" s="18">
        <v>4082.0059999999999</v>
      </c>
      <c r="AU75" s="18">
        <v>4035.0039999999999</v>
      </c>
      <c r="AV75" s="18">
        <v>4006.6669999999999</v>
      </c>
      <c r="AW75" s="18">
        <v>3992.3820000000001</v>
      </c>
      <c r="AX75" s="18">
        <v>3981.4369999999999</v>
      </c>
      <c r="AY75" s="18">
        <v>3975.3339999999998</v>
      </c>
      <c r="AZ75" s="18">
        <v>3975.5340000000001</v>
      </c>
      <c r="BA75" s="18">
        <v>3981.4830000000002</v>
      </c>
      <c r="BB75" s="18">
        <v>3992.66</v>
      </c>
      <c r="BC75" s="18">
        <v>4005.5369999999998</v>
      </c>
      <c r="BD75" s="18">
        <v>4016.5439999999999</v>
      </c>
      <c r="BE75" s="18">
        <v>4040.2820000000002</v>
      </c>
      <c r="BF75" s="18">
        <v>4082.2739999999999</v>
      </c>
      <c r="BG75" s="18">
        <v>4132.8999999999996</v>
      </c>
      <c r="BH75" s="18">
        <v>4176.8270000000002</v>
      </c>
      <c r="BI75" s="18">
        <v>4216.8919999999998</v>
      </c>
      <c r="BJ75" s="18">
        <v>4235.7079999999996</v>
      </c>
      <c r="BK75" s="18">
        <v>4222.9750000000004</v>
      </c>
      <c r="BL75" s="18">
        <v>4185.241</v>
      </c>
      <c r="BM75" s="18">
        <v>4141.4790000000003</v>
      </c>
      <c r="BN75" s="18">
        <v>4090.444</v>
      </c>
      <c r="BO75" s="18">
        <v>4016.991</v>
      </c>
      <c r="BP75" s="18">
        <v>3916.2930000000001</v>
      </c>
      <c r="BQ75" s="18">
        <v>3795.1089999999999</v>
      </c>
      <c r="BR75" s="18">
        <v>3664.384</v>
      </c>
      <c r="BS75" s="18">
        <v>3521.1640000000002</v>
      </c>
      <c r="BT75" s="18">
        <v>3379.067</v>
      </c>
      <c r="BU75" s="18">
        <v>3245.7429999999999</v>
      </c>
      <c r="BV75" s="18">
        <v>3115.03</v>
      </c>
      <c r="BW75" s="18">
        <v>2976.962</v>
      </c>
      <c r="BX75" s="18">
        <v>2838.1480000000001</v>
      </c>
      <c r="BY75" s="18">
        <v>2678.2919999999999</v>
      </c>
      <c r="BZ75" s="18">
        <v>2487.7840000000001</v>
      </c>
      <c r="CA75" s="18">
        <v>2279.4430000000002</v>
      </c>
      <c r="CB75" s="18">
        <v>2074.9090000000001</v>
      </c>
      <c r="CC75" s="18">
        <v>1868.9179999999999</v>
      </c>
      <c r="CD75" s="18">
        <v>1683.963</v>
      </c>
      <c r="CE75" s="18">
        <v>1533.144</v>
      </c>
      <c r="CF75" s="18">
        <v>1406.4269999999999</v>
      </c>
      <c r="CG75" s="18">
        <v>1280.6500000000001</v>
      </c>
      <c r="CH75" s="18">
        <v>1160.4079999999999</v>
      </c>
      <c r="CI75" s="18">
        <v>1045.809</v>
      </c>
      <c r="CJ75" s="18">
        <v>934.58199999999999</v>
      </c>
      <c r="CK75" s="18">
        <v>828.18700000000001</v>
      </c>
      <c r="CL75" s="18">
        <v>725.52099999999996</v>
      </c>
      <c r="CM75" s="18">
        <v>639.625</v>
      </c>
      <c r="CN75" s="18">
        <v>565.47900000000004</v>
      </c>
      <c r="CO75" s="18">
        <v>486.71899999999999</v>
      </c>
      <c r="CP75" s="18">
        <v>402.88799999999998</v>
      </c>
      <c r="CQ75" s="18">
        <v>339.25299999999999</v>
      </c>
      <c r="CR75" s="18">
        <v>305.20800000000003</v>
      </c>
      <c r="CS75" s="18">
        <v>263.88200000000001</v>
      </c>
      <c r="CT75" s="18">
        <v>209.27099999999999</v>
      </c>
      <c r="CU75" s="18">
        <v>141.37200000000001</v>
      </c>
      <c r="CV75" s="18">
        <v>109.986</v>
      </c>
      <c r="CW75" s="18">
        <v>65.325000000000003</v>
      </c>
      <c r="CX75" s="18">
        <v>118.95</v>
      </c>
      <c r="CY75" s="3">
        <f t="shared" si="4"/>
        <v>336679.23099999997</v>
      </c>
      <c r="DF75" s="3"/>
    </row>
    <row r="76" spans="1:119" customFormat="1">
      <c r="A76" s="15">
        <v>2024</v>
      </c>
      <c r="B76" s="18">
        <v>4137.5600000000004</v>
      </c>
      <c r="C76" s="18">
        <v>4077.7280000000001</v>
      </c>
      <c r="D76" s="18">
        <v>4029.4090000000001</v>
      </c>
      <c r="E76" s="18">
        <v>3992.0590000000002</v>
      </c>
      <c r="F76" s="18">
        <v>3978.308</v>
      </c>
      <c r="G76" s="18">
        <v>3955.8560000000002</v>
      </c>
      <c r="H76" s="18">
        <v>3943.154</v>
      </c>
      <c r="I76" s="18">
        <v>3939.915</v>
      </c>
      <c r="J76" s="18">
        <v>3945.86</v>
      </c>
      <c r="K76" s="18">
        <v>3957.8919999999998</v>
      </c>
      <c r="L76" s="18">
        <v>3972.922</v>
      </c>
      <c r="M76" s="18">
        <v>4004.7040000000002</v>
      </c>
      <c r="N76" s="18">
        <v>4058.569</v>
      </c>
      <c r="O76" s="18">
        <v>4125.8100000000004</v>
      </c>
      <c r="P76" s="18">
        <v>4194.665</v>
      </c>
      <c r="Q76" s="18">
        <v>4270.2169999999996</v>
      </c>
      <c r="R76" s="18">
        <v>4325.3440000000001</v>
      </c>
      <c r="S76" s="18">
        <v>4346.2219999999998</v>
      </c>
      <c r="T76" s="18">
        <v>4345.8580000000002</v>
      </c>
      <c r="U76" s="18">
        <v>4350.9939999999997</v>
      </c>
      <c r="V76" s="18">
        <v>4356.1639999999998</v>
      </c>
      <c r="W76" s="18">
        <v>4370.1440000000002</v>
      </c>
      <c r="X76" s="18">
        <v>4399.9579999999996</v>
      </c>
      <c r="Y76" s="18">
        <v>4440.76</v>
      </c>
      <c r="Z76" s="18">
        <v>4476.2650000000003</v>
      </c>
      <c r="AA76" s="18">
        <v>4504.43</v>
      </c>
      <c r="AB76" s="18">
        <v>4549.1239999999998</v>
      </c>
      <c r="AC76" s="18">
        <v>4618.8900000000003</v>
      </c>
      <c r="AD76" s="18">
        <v>4700.6710000000003</v>
      </c>
      <c r="AE76" s="18">
        <v>4775.6149999999998</v>
      </c>
      <c r="AF76" s="18">
        <v>4850.7820000000002</v>
      </c>
      <c r="AG76" s="18">
        <v>4890.28</v>
      </c>
      <c r="AH76" s="18">
        <v>4875.3710000000001</v>
      </c>
      <c r="AI76" s="18">
        <v>4823.1170000000002</v>
      </c>
      <c r="AJ76" s="18">
        <v>4770.5029999999997</v>
      </c>
      <c r="AK76" s="18">
        <v>4711.5550000000003</v>
      </c>
      <c r="AL76" s="18">
        <v>4649.6319999999996</v>
      </c>
      <c r="AM76" s="18">
        <v>4590.5829999999996</v>
      </c>
      <c r="AN76" s="18">
        <v>4532.4870000000001</v>
      </c>
      <c r="AO76" s="18">
        <v>4469.049</v>
      </c>
      <c r="AP76" s="18">
        <v>4403.3040000000001</v>
      </c>
      <c r="AQ76" s="18">
        <v>4336.5410000000002</v>
      </c>
      <c r="AR76" s="18">
        <v>4269.3689999999997</v>
      </c>
      <c r="AS76" s="18">
        <v>4203.8450000000003</v>
      </c>
      <c r="AT76" s="18">
        <v>4140.8670000000002</v>
      </c>
      <c r="AU76" s="18">
        <v>4079.5940000000001</v>
      </c>
      <c r="AV76" s="18">
        <v>4031.3670000000002</v>
      </c>
      <c r="AW76" s="18">
        <v>4001.7240000000002</v>
      </c>
      <c r="AX76" s="18">
        <v>3986.0509999999999</v>
      </c>
      <c r="AY76" s="18">
        <v>3973.6570000000002</v>
      </c>
      <c r="AZ76" s="18">
        <v>3966.0329999999999</v>
      </c>
      <c r="BA76" s="18">
        <v>3964.5889999999999</v>
      </c>
      <c r="BB76" s="18">
        <v>3968.7460000000001</v>
      </c>
      <c r="BC76" s="18">
        <v>3977.991</v>
      </c>
      <c r="BD76" s="18">
        <v>3988.86</v>
      </c>
      <c r="BE76" s="18">
        <v>3997.8049999999998</v>
      </c>
      <c r="BF76" s="18">
        <v>4019.2469999999998</v>
      </c>
      <c r="BG76" s="18">
        <v>4058.636</v>
      </c>
      <c r="BH76" s="18">
        <v>4106.4489999999996</v>
      </c>
      <c r="BI76" s="18">
        <v>4147.5320000000002</v>
      </c>
      <c r="BJ76" s="18">
        <v>4184.6959999999999</v>
      </c>
      <c r="BK76" s="18">
        <v>4200.6440000000002</v>
      </c>
      <c r="BL76" s="18">
        <v>4185.1390000000001</v>
      </c>
      <c r="BM76" s="18">
        <v>4144.7030000000004</v>
      </c>
      <c r="BN76" s="18">
        <v>4098.1980000000003</v>
      </c>
      <c r="BO76" s="18">
        <v>4044.38</v>
      </c>
      <c r="BP76" s="18">
        <v>3968.277</v>
      </c>
      <c r="BQ76" s="18">
        <v>3865.136</v>
      </c>
      <c r="BR76" s="18">
        <v>3741.6350000000002</v>
      </c>
      <c r="BS76" s="18">
        <v>3608.652</v>
      </c>
      <c r="BT76" s="18">
        <v>3463.34</v>
      </c>
      <c r="BU76" s="18">
        <v>3318.8330000000001</v>
      </c>
      <c r="BV76" s="18">
        <v>3182.56</v>
      </c>
      <c r="BW76" s="18">
        <v>3048.636</v>
      </c>
      <c r="BX76" s="18">
        <v>2907.5340000000001</v>
      </c>
      <c r="BY76" s="18">
        <v>2765.694</v>
      </c>
      <c r="BZ76" s="18">
        <v>2603.529</v>
      </c>
      <c r="CA76" s="18">
        <v>2411.8020000000001</v>
      </c>
      <c r="CB76" s="18">
        <v>2202.971</v>
      </c>
      <c r="CC76" s="18">
        <v>1998.039</v>
      </c>
      <c r="CD76" s="18">
        <v>1791.9690000000001</v>
      </c>
      <c r="CE76" s="18">
        <v>1606.5889999999999</v>
      </c>
      <c r="CF76" s="18">
        <v>1454.636</v>
      </c>
      <c r="CG76" s="18">
        <v>1326.46</v>
      </c>
      <c r="CH76" s="18">
        <v>1199.646</v>
      </c>
      <c r="CI76" s="18">
        <v>1078.6410000000001</v>
      </c>
      <c r="CJ76" s="18">
        <v>963.89499999999998</v>
      </c>
      <c r="CK76" s="18">
        <v>853.37900000000002</v>
      </c>
      <c r="CL76" s="18">
        <v>748.39599999999996</v>
      </c>
      <c r="CM76" s="18">
        <v>645.96600000000001</v>
      </c>
      <c r="CN76" s="18">
        <v>563.93700000000001</v>
      </c>
      <c r="CO76" s="18">
        <v>495.351</v>
      </c>
      <c r="CP76" s="18">
        <v>418.16399999999999</v>
      </c>
      <c r="CQ76" s="18">
        <v>332.14699999999999</v>
      </c>
      <c r="CR76" s="18">
        <v>273.07299999999998</v>
      </c>
      <c r="CS76" s="18">
        <v>244.57400000000001</v>
      </c>
      <c r="CT76" s="18">
        <v>208.68100000000001</v>
      </c>
      <c r="CU76" s="18">
        <v>162.393</v>
      </c>
      <c r="CV76" s="18">
        <v>105.708</v>
      </c>
      <c r="CW76" s="18">
        <v>67.911000000000001</v>
      </c>
      <c r="CX76" s="18">
        <v>126.015</v>
      </c>
      <c r="CY76" s="3">
        <f t="shared" si="4"/>
        <v>338542.56200000003</v>
      </c>
      <c r="DF76" s="3"/>
    </row>
    <row r="77" spans="1:119" customFormat="1">
      <c r="A77" s="15">
        <v>2025</v>
      </c>
      <c r="B77" s="18">
        <v>4151.5510000000004</v>
      </c>
      <c r="C77" s="18">
        <v>4103.9539999999997</v>
      </c>
      <c r="D77" s="18">
        <v>4062.07</v>
      </c>
      <c r="E77" s="18">
        <v>4026.1709999999998</v>
      </c>
      <c r="F77" s="18">
        <v>3996.529</v>
      </c>
      <c r="G77" s="18">
        <v>3973.415</v>
      </c>
      <c r="H77" s="18">
        <v>3957.1019999999999</v>
      </c>
      <c r="I77" s="18">
        <v>3947.86</v>
      </c>
      <c r="J77" s="18">
        <v>3945.96</v>
      </c>
      <c r="K77" s="18">
        <v>3951.6759999999999</v>
      </c>
      <c r="L77" s="18">
        <v>3961.77</v>
      </c>
      <c r="M77" s="18">
        <v>3973.0059999999999</v>
      </c>
      <c r="N77" s="18">
        <v>4003.1959999999999</v>
      </c>
      <c r="O77" s="18">
        <v>4059.6289999999999</v>
      </c>
      <c r="P77" s="18">
        <v>4132.0519999999997</v>
      </c>
      <c r="Q77" s="18">
        <v>4205.0659999999998</v>
      </c>
      <c r="R77" s="18">
        <v>4284.32</v>
      </c>
      <c r="S77" s="18">
        <v>4343.1930000000002</v>
      </c>
      <c r="T77" s="18">
        <v>4367.6880000000001</v>
      </c>
      <c r="U77" s="18">
        <v>4370.7070000000003</v>
      </c>
      <c r="V77" s="18">
        <v>4379.143</v>
      </c>
      <c r="W77" s="18">
        <v>4387.6139999999996</v>
      </c>
      <c r="X77" s="18">
        <v>4403.607</v>
      </c>
      <c r="Y77" s="18">
        <v>4433.5479999999998</v>
      </c>
      <c r="Z77" s="18">
        <v>4473.1499999999996</v>
      </c>
      <c r="AA77" s="18">
        <v>4507.3419999999996</v>
      </c>
      <c r="AB77" s="18">
        <v>4533.9139999999998</v>
      </c>
      <c r="AC77" s="18">
        <v>4576.7579999999998</v>
      </c>
      <c r="AD77" s="18">
        <v>4644.5709999999999</v>
      </c>
      <c r="AE77" s="18">
        <v>4724.3019999999997</v>
      </c>
      <c r="AF77" s="18">
        <v>4796.9489999999996</v>
      </c>
      <c r="AG77" s="18">
        <v>4869.6049999999996</v>
      </c>
      <c r="AH77" s="18">
        <v>4906.7920000000004</v>
      </c>
      <c r="AI77" s="18">
        <v>4889.9639999999999</v>
      </c>
      <c r="AJ77" s="18">
        <v>4836.0590000000002</v>
      </c>
      <c r="AK77" s="18">
        <v>4781.7309999999998</v>
      </c>
      <c r="AL77" s="18">
        <v>4721.0630000000001</v>
      </c>
      <c r="AM77" s="18">
        <v>4657.54</v>
      </c>
      <c r="AN77" s="18">
        <v>4597.0450000000001</v>
      </c>
      <c r="AO77" s="18">
        <v>4537.6170000000002</v>
      </c>
      <c r="AP77" s="18">
        <v>4472.8770000000004</v>
      </c>
      <c r="AQ77" s="18">
        <v>4405.8559999999998</v>
      </c>
      <c r="AR77" s="18">
        <v>4337.875</v>
      </c>
      <c r="AS77" s="18">
        <v>4269.5420000000004</v>
      </c>
      <c r="AT77" s="18">
        <v>4202.8879999999999</v>
      </c>
      <c r="AU77" s="18">
        <v>4138.768</v>
      </c>
      <c r="AV77" s="18">
        <v>4076.3359999999998</v>
      </c>
      <c r="AW77" s="18">
        <v>4026.893</v>
      </c>
      <c r="AX77" s="18">
        <v>3995.95</v>
      </c>
      <c r="AY77" s="18">
        <v>3978.8919999999998</v>
      </c>
      <c r="AZ77" s="18">
        <v>3965.0520000000001</v>
      </c>
      <c r="BA77" s="18">
        <v>3955.9090000000001</v>
      </c>
      <c r="BB77" s="18">
        <v>3952.8220000000001</v>
      </c>
      <c r="BC77" s="18">
        <v>3955.1880000000001</v>
      </c>
      <c r="BD77" s="18">
        <v>3962.502</v>
      </c>
      <c r="BE77" s="18">
        <v>3971.3620000000001</v>
      </c>
      <c r="BF77" s="18">
        <v>3978.2440000000001</v>
      </c>
      <c r="BG77" s="18">
        <v>3997.386</v>
      </c>
      <c r="BH77" s="18">
        <v>4034.1660000000002</v>
      </c>
      <c r="BI77" s="18">
        <v>4079.1579999999999</v>
      </c>
      <c r="BJ77" s="18">
        <v>4117.3869999999997</v>
      </c>
      <c r="BK77" s="18">
        <v>4151.6450000000004</v>
      </c>
      <c r="BL77" s="18">
        <v>4164.7209999999995</v>
      </c>
      <c r="BM77" s="18">
        <v>4146.4489999999996</v>
      </c>
      <c r="BN77" s="18">
        <v>4103.3190000000004</v>
      </c>
      <c r="BO77" s="18">
        <v>4054.0819999999999</v>
      </c>
      <c r="BP77" s="18">
        <v>3997.49</v>
      </c>
      <c r="BQ77" s="18">
        <v>3918.7559999999999</v>
      </c>
      <c r="BR77" s="18">
        <v>3813.194</v>
      </c>
      <c r="BS77" s="18">
        <v>3687.4029999999998</v>
      </c>
      <c r="BT77" s="18">
        <v>3552.1889999999999</v>
      </c>
      <c r="BU77" s="18">
        <v>3404.819</v>
      </c>
      <c r="BV77" s="18">
        <v>3257.931</v>
      </c>
      <c r="BW77" s="18">
        <v>3118.7370000000001</v>
      </c>
      <c r="BX77" s="18">
        <v>2981.634</v>
      </c>
      <c r="BY77" s="18">
        <v>2837.5259999999998</v>
      </c>
      <c r="BZ77" s="18">
        <v>2692.692</v>
      </c>
      <c r="CA77" s="18">
        <v>2528.2530000000002</v>
      </c>
      <c r="CB77" s="18">
        <v>2335.3449999999998</v>
      </c>
      <c r="CC77" s="18">
        <v>2126.0709999999999</v>
      </c>
      <c r="CD77" s="18">
        <v>1920.7819999999999</v>
      </c>
      <c r="CE77" s="18">
        <v>1714.6759999999999</v>
      </c>
      <c r="CF77" s="18">
        <v>1528.91</v>
      </c>
      <c r="CG77" s="18">
        <v>1375.857</v>
      </c>
      <c r="CH77" s="18">
        <v>1246.249</v>
      </c>
      <c r="CI77" s="18">
        <v>1118.424</v>
      </c>
      <c r="CJ77" s="18">
        <v>996.68399999999997</v>
      </c>
      <c r="CK77" s="18">
        <v>881.81399999999996</v>
      </c>
      <c r="CL77" s="18">
        <v>772.03300000000002</v>
      </c>
      <c r="CM77" s="18">
        <v>668.48500000000001</v>
      </c>
      <c r="CN77" s="18">
        <v>566.31200000000001</v>
      </c>
      <c r="CO77" s="18">
        <v>488.16500000000002</v>
      </c>
      <c r="CP77" s="18">
        <v>425.15199999999999</v>
      </c>
      <c r="CQ77" s="18">
        <v>349.55399999999997</v>
      </c>
      <c r="CR77" s="18">
        <v>261.36900000000003</v>
      </c>
      <c r="CS77" s="18">
        <v>206.86600000000001</v>
      </c>
      <c r="CT77" s="18">
        <v>183.917</v>
      </c>
      <c r="CU77" s="18">
        <v>153.46299999999999</v>
      </c>
      <c r="CV77" s="18">
        <v>115.503</v>
      </c>
      <c r="CW77" s="18">
        <v>70.039000000000001</v>
      </c>
      <c r="CX77" s="18">
        <v>132.81200000000001</v>
      </c>
      <c r="CY77" s="3">
        <f t="shared" si="4"/>
        <v>340399.60400000005</v>
      </c>
      <c r="DF77" s="3"/>
    </row>
    <row r="78" spans="1:119" customFormat="1">
      <c r="A78" s="15">
        <v>2026</v>
      </c>
      <c r="B78" s="18">
        <v>4158.3779999999997</v>
      </c>
      <c r="C78" s="18">
        <v>4151.6779999999999</v>
      </c>
      <c r="D78" s="18">
        <v>4108.3419999999996</v>
      </c>
      <c r="E78" s="18">
        <v>4068.7139999999999</v>
      </c>
      <c r="F78" s="18">
        <v>4033.5210000000002</v>
      </c>
      <c r="G78" s="18">
        <v>4003.4839999999999</v>
      </c>
      <c r="H78" s="18">
        <v>3978.7190000000001</v>
      </c>
      <c r="I78" s="18">
        <v>3959.34</v>
      </c>
      <c r="J78" s="18">
        <v>3949.1170000000002</v>
      </c>
      <c r="K78" s="18">
        <v>3949.9929999999999</v>
      </c>
      <c r="L78" s="18">
        <v>3960.864</v>
      </c>
      <c r="M78" s="18">
        <v>3975.306</v>
      </c>
      <c r="N78" s="18">
        <v>3990.55</v>
      </c>
      <c r="O78" s="18">
        <v>4024.7849999999999</v>
      </c>
      <c r="P78" s="18">
        <v>4085.105</v>
      </c>
      <c r="Q78" s="18">
        <v>4161.152</v>
      </c>
      <c r="R78" s="18">
        <v>4237.7079999999996</v>
      </c>
      <c r="S78" s="18">
        <v>4320.5110000000004</v>
      </c>
      <c r="T78" s="18">
        <v>4381.5619999999999</v>
      </c>
      <c r="U78" s="18">
        <v>4406.2340000000004</v>
      </c>
      <c r="V78" s="18">
        <v>4408.0209999999997</v>
      </c>
      <c r="W78" s="18">
        <v>4415.0969999999998</v>
      </c>
      <c r="X78" s="18">
        <v>4421.8990000000003</v>
      </c>
      <c r="Y78" s="18">
        <v>4435.9790000000003</v>
      </c>
      <c r="Z78" s="18">
        <v>4463.9530000000004</v>
      </c>
      <c r="AA78" s="18">
        <v>4501.51</v>
      </c>
      <c r="AB78" s="18">
        <v>4533.3819999999996</v>
      </c>
      <c r="AC78" s="18">
        <v>4557.4160000000002</v>
      </c>
      <c r="AD78" s="18">
        <v>4597.848</v>
      </c>
      <c r="AE78" s="18">
        <v>4663.5339999999997</v>
      </c>
      <c r="AF78" s="18">
        <v>4741.34</v>
      </c>
      <c r="AG78" s="18">
        <v>4812.0060000000003</v>
      </c>
      <c r="AH78" s="18">
        <v>4882.6629999999996</v>
      </c>
      <c r="AI78" s="18">
        <v>4918.0190000000002</v>
      </c>
      <c r="AJ78" s="18">
        <v>4899.5919999999996</v>
      </c>
      <c r="AK78" s="18">
        <v>4844.2560000000003</v>
      </c>
      <c r="AL78" s="18">
        <v>4788.5280000000002</v>
      </c>
      <c r="AM78" s="18">
        <v>4726.5</v>
      </c>
      <c r="AN78" s="18">
        <v>4661.6760000000004</v>
      </c>
      <c r="AO78" s="18">
        <v>4599.9229999999998</v>
      </c>
      <c r="AP78" s="18">
        <v>4539.2690000000002</v>
      </c>
      <c r="AQ78" s="18">
        <v>4473.3220000000001</v>
      </c>
      <c r="AR78" s="18">
        <v>4405.0969999999998</v>
      </c>
      <c r="AS78" s="18">
        <v>4335.9030000000002</v>
      </c>
      <c r="AT78" s="18">
        <v>4266.335</v>
      </c>
      <c r="AU78" s="18">
        <v>4198.41</v>
      </c>
      <c r="AV78" s="18">
        <v>4132.9840000000004</v>
      </c>
      <c r="AW78" s="18">
        <v>4069.2020000000002</v>
      </c>
      <c r="AX78" s="18">
        <v>4018.3130000000001</v>
      </c>
      <c r="AY78" s="18">
        <v>3985.799</v>
      </c>
      <c r="AZ78" s="18">
        <v>3967.0569999999998</v>
      </c>
      <c r="BA78" s="18">
        <v>3951.453</v>
      </c>
      <c r="BB78" s="18">
        <v>3940.451</v>
      </c>
      <c r="BC78" s="18">
        <v>3935.4110000000001</v>
      </c>
      <c r="BD78" s="18">
        <v>3935.7289999999998</v>
      </c>
      <c r="BE78" s="18">
        <v>3940.89</v>
      </c>
      <c r="BF78" s="18">
        <v>3947.4940000000001</v>
      </c>
      <c r="BG78" s="18">
        <v>3952.0340000000001</v>
      </c>
      <c r="BH78" s="18">
        <v>3968.6289999999999</v>
      </c>
      <c r="BI78" s="18">
        <v>4002.6039999999998</v>
      </c>
      <c r="BJ78" s="18">
        <v>4044.5929999999998</v>
      </c>
      <c r="BK78" s="18">
        <v>4079.7510000000002</v>
      </c>
      <c r="BL78" s="18">
        <v>4110.8549999999996</v>
      </c>
      <c r="BM78" s="18">
        <v>4120.7110000000002</v>
      </c>
      <c r="BN78" s="18">
        <v>4099.1769999999997</v>
      </c>
      <c r="BO78" s="18">
        <v>4052.7469999999998</v>
      </c>
      <c r="BP78" s="18">
        <v>4000.154</v>
      </c>
      <c r="BQ78" s="18">
        <v>3940.1579999999999</v>
      </c>
      <c r="BR78" s="18">
        <v>3858.018</v>
      </c>
      <c r="BS78" s="18">
        <v>3749.0720000000001</v>
      </c>
      <c r="BT78" s="18">
        <v>3619.9140000000002</v>
      </c>
      <c r="BU78" s="18">
        <v>3481.4560000000001</v>
      </c>
      <c r="BV78" s="18">
        <v>3331.1109999999999</v>
      </c>
      <c r="BW78" s="18">
        <v>3180.8589999999999</v>
      </c>
      <c r="BX78" s="18">
        <v>3037.6460000000002</v>
      </c>
      <c r="BY78" s="18">
        <v>2896.279</v>
      </c>
      <c r="BZ78" s="18">
        <v>2748.28</v>
      </c>
      <c r="CA78" s="18">
        <v>2599.739</v>
      </c>
      <c r="CB78" s="18">
        <v>2432.7429999999999</v>
      </c>
      <c r="CC78" s="18">
        <v>2238.9490000000001</v>
      </c>
      <c r="CD78" s="18">
        <v>2030.0260000000001</v>
      </c>
      <c r="CE78" s="18">
        <v>1825.3910000000001</v>
      </c>
      <c r="CF78" s="18">
        <v>1620.4549999999999</v>
      </c>
      <c r="CG78" s="18">
        <v>1436.134</v>
      </c>
      <c r="CH78" s="18">
        <v>1284.588</v>
      </c>
      <c r="CI78" s="18">
        <v>1156.7329999999999</v>
      </c>
      <c r="CJ78" s="18">
        <v>1029.296</v>
      </c>
      <c r="CK78" s="18">
        <v>912.53899999999999</v>
      </c>
      <c r="CL78" s="18">
        <v>804.84799999999996</v>
      </c>
      <c r="CM78" s="18">
        <v>698.005</v>
      </c>
      <c r="CN78" s="18">
        <v>592.92499999999995</v>
      </c>
      <c r="CO78" s="18">
        <v>497.11399999999998</v>
      </c>
      <c r="CP78" s="18">
        <v>428.892</v>
      </c>
      <c r="CQ78" s="18">
        <v>371.79500000000002</v>
      </c>
      <c r="CR78" s="18">
        <v>303.64400000000001</v>
      </c>
      <c r="CS78" s="18">
        <v>224.43899999999999</v>
      </c>
      <c r="CT78" s="18">
        <v>185.57300000000001</v>
      </c>
      <c r="CU78" s="18">
        <v>154.77199999999999</v>
      </c>
      <c r="CV78" s="18">
        <v>116.819</v>
      </c>
      <c r="CW78" s="18">
        <v>71.712000000000003</v>
      </c>
      <c r="CX78" s="18">
        <v>139.47200000000001</v>
      </c>
      <c r="CY78" s="3">
        <f t="shared" si="4"/>
        <v>342251.97499999992</v>
      </c>
      <c r="DF78" s="3"/>
    </row>
    <row r="79" spans="1:119" customFormat="1">
      <c r="A79" s="15">
        <v>2027</v>
      </c>
      <c r="B79" s="18">
        <v>4155.424</v>
      </c>
      <c r="C79" s="18">
        <v>4140.8649999999998</v>
      </c>
      <c r="D79" s="18">
        <v>4151.8159999999998</v>
      </c>
      <c r="E79" s="18">
        <v>4112.741</v>
      </c>
      <c r="F79" s="18">
        <v>4075.3710000000001</v>
      </c>
      <c r="G79" s="18">
        <v>4040.8820000000001</v>
      </c>
      <c r="H79" s="18">
        <v>4010.45</v>
      </c>
      <c r="I79" s="18">
        <v>3984.0329999999999</v>
      </c>
      <c r="J79" s="18">
        <v>3961.5880000000002</v>
      </c>
      <c r="K79" s="18">
        <v>3950.386</v>
      </c>
      <c r="L79" s="18">
        <v>3954.038</v>
      </c>
      <c r="M79" s="18">
        <v>3970.0650000000001</v>
      </c>
      <c r="N79" s="18">
        <v>3988.8560000000002</v>
      </c>
      <c r="O79" s="18">
        <v>4008.1120000000001</v>
      </c>
      <c r="P79" s="18">
        <v>4046.39</v>
      </c>
      <c r="Q79" s="18">
        <v>4110.6009999999997</v>
      </c>
      <c r="R79" s="18">
        <v>4190.2730000000001</v>
      </c>
      <c r="S79" s="18">
        <v>4270.3729999999996</v>
      </c>
      <c r="T79" s="18">
        <v>4356.7269999999999</v>
      </c>
      <c r="U79" s="18">
        <v>4419.9539999999997</v>
      </c>
      <c r="V79" s="18">
        <v>4444.8050000000003</v>
      </c>
      <c r="W79" s="18">
        <v>4445.3590000000004</v>
      </c>
      <c r="X79" s="18">
        <v>4451.0749999999998</v>
      </c>
      <c r="Y79" s="18">
        <v>4456.2070000000003</v>
      </c>
      <c r="Z79" s="18">
        <v>4468.375</v>
      </c>
      <c r="AA79" s="18">
        <v>4494.38</v>
      </c>
      <c r="AB79" s="18">
        <v>4529.8909999999996</v>
      </c>
      <c r="AC79" s="18">
        <v>4559.442</v>
      </c>
      <c r="AD79" s="18">
        <v>4580.9359999999997</v>
      </c>
      <c r="AE79" s="18">
        <v>4618.9549999999999</v>
      </c>
      <c r="AF79" s="18">
        <v>4682.5140000000001</v>
      </c>
      <c r="AG79" s="18">
        <v>4758.3950000000004</v>
      </c>
      <c r="AH79" s="18">
        <v>4827.08</v>
      </c>
      <c r="AI79" s="18">
        <v>4895.7370000000001</v>
      </c>
      <c r="AJ79" s="18">
        <v>4929.2610000000004</v>
      </c>
      <c r="AK79" s="18">
        <v>4909.2340000000004</v>
      </c>
      <c r="AL79" s="18">
        <v>4852.4669999999996</v>
      </c>
      <c r="AM79" s="18">
        <v>4795.3370000000004</v>
      </c>
      <c r="AN79" s="18">
        <v>4731.95</v>
      </c>
      <c r="AO79" s="18">
        <v>4665.8230000000003</v>
      </c>
      <c r="AP79" s="18">
        <v>4602.8119999999999</v>
      </c>
      <c r="AQ79" s="18">
        <v>4540.933</v>
      </c>
      <c r="AR79" s="18">
        <v>4473.7759999999998</v>
      </c>
      <c r="AS79" s="18">
        <v>4404.3450000000003</v>
      </c>
      <c r="AT79" s="18">
        <v>4333.9390000000003</v>
      </c>
      <c r="AU79" s="18">
        <v>4263.1350000000002</v>
      </c>
      <c r="AV79" s="18">
        <v>4193.9390000000003</v>
      </c>
      <c r="AW79" s="18">
        <v>4127.2039999999997</v>
      </c>
      <c r="AX79" s="18">
        <v>4062.0709999999999</v>
      </c>
      <c r="AY79" s="18">
        <v>4009.7339999999999</v>
      </c>
      <c r="AZ79" s="18">
        <v>3975.65</v>
      </c>
      <c r="BA79" s="18">
        <v>3955.223</v>
      </c>
      <c r="BB79" s="18">
        <v>3937.8539999999998</v>
      </c>
      <c r="BC79" s="18">
        <v>3924.9929999999999</v>
      </c>
      <c r="BD79" s="18">
        <v>3917.9989999999998</v>
      </c>
      <c r="BE79" s="18">
        <v>3916.27</v>
      </c>
      <c r="BF79" s="18">
        <v>3919.2779999999998</v>
      </c>
      <c r="BG79" s="18">
        <v>3923.6239999999998</v>
      </c>
      <c r="BH79" s="18">
        <v>3925.8220000000001</v>
      </c>
      <c r="BI79" s="18">
        <v>3939.8690000000001</v>
      </c>
      <c r="BJ79" s="18">
        <v>3971.0369999999998</v>
      </c>
      <c r="BK79" s="18">
        <v>4010.0239999999999</v>
      </c>
      <c r="BL79" s="18">
        <v>4042.1080000000002</v>
      </c>
      <c r="BM79" s="18">
        <v>4070.0549999999998</v>
      </c>
      <c r="BN79" s="18">
        <v>4076.69</v>
      </c>
      <c r="BO79" s="18">
        <v>4051.8939999999998</v>
      </c>
      <c r="BP79" s="18">
        <v>4002.1619999999998</v>
      </c>
      <c r="BQ79" s="18">
        <v>3946.21</v>
      </c>
      <c r="BR79" s="18">
        <v>3882.806</v>
      </c>
      <c r="BS79" s="18">
        <v>3797.259</v>
      </c>
      <c r="BT79" s="18">
        <v>3684.9290000000001</v>
      </c>
      <c r="BU79" s="18">
        <v>3552.4009999999998</v>
      </c>
      <c r="BV79" s="18">
        <v>3410.6970000000001</v>
      </c>
      <c r="BW79" s="18">
        <v>3257.3760000000002</v>
      </c>
      <c r="BX79" s="18">
        <v>3103.7570000000001</v>
      </c>
      <c r="BY79" s="18">
        <v>2956.5250000000001</v>
      </c>
      <c r="BZ79" s="18">
        <v>2810.8910000000001</v>
      </c>
      <c r="CA79" s="18">
        <v>2658.9969999999998</v>
      </c>
      <c r="CB79" s="18">
        <v>2506.748</v>
      </c>
      <c r="CC79" s="18">
        <v>2337.1930000000002</v>
      </c>
      <c r="CD79" s="18">
        <v>2142.5140000000001</v>
      </c>
      <c r="CE79" s="18">
        <v>1933.941</v>
      </c>
      <c r="CF79" s="18">
        <v>1729.9590000000001</v>
      </c>
      <c r="CG79" s="18">
        <v>1526.1949999999999</v>
      </c>
      <c r="CH79" s="18">
        <v>1343.317</v>
      </c>
      <c r="CI79" s="18">
        <v>1193.2809999999999</v>
      </c>
      <c r="CJ79" s="18">
        <v>1067.1780000000001</v>
      </c>
      <c r="CK79" s="18">
        <v>940.13</v>
      </c>
      <c r="CL79" s="18">
        <v>828.35699999999997</v>
      </c>
      <c r="CM79" s="18">
        <v>727.84799999999996</v>
      </c>
      <c r="CN79" s="18">
        <v>623.94500000000005</v>
      </c>
      <c r="CO79" s="18">
        <v>517.33399999999995</v>
      </c>
      <c r="CP79" s="18">
        <v>427.88499999999999</v>
      </c>
      <c r="CQ79" s="18">
        <v>369.59199999999998</v>
      </c>
      <c r="CR79" s="18">
        <v>318.41399999999999</v>
      </c>
      <c r="CS79" s="18">
        <v>257.71300000000002</v>
      </c>
      <c r="CT79" s="18">
        <v>187.49</v>
      </c>
      <c r="CU79" s="18">
        <v>155.06399999999999</v>
      </c>
      <c r="CV79" s="18">
        <v>117.29300000000001</v>
      </c>
      <c r="CW79" s="18">
        <v>72.965999999999994</v>
      </c>
      <c r="CX79" s="18">
        <v>145.886</v>
      </c>
      <c r="CY79" s="3">
        <f t="shared" si="4"/>
        <v>344100.69900000002</v>
      </c>
      <c r="DF79" s="3"/>
    </row>
    <row r="80" spans="1:119" customFormat="1">
      <c r="A80" s="15">
        <v>2028</v>
      </c>
      <c r="B80" s="18">
        <v>4145.9920000000002</v>
      </c>
      <c r="C80" s="18">
        <v>4150.393</v>
      </c>
      <c r="D80" s="18">
        <v>4144.2830000000004</v>
      </c>
      <c r="E80" s="18">
        <v>4151.5050000000001</v>
      </c>
      <c r="F80" s="18">
        <v>4116.6980000000003</v>
      </c>
      <c r="G80" s="18">
        <v>4081.5889999999999</v>
      </c>
      <c r="H80" s="18">
        <v>4047.808</v>
      </c>
      <c r="I80" s="18">
        <v>4016.9850000000001</v>
      </c>
      <c r="J80" s="18">
        <v>3988.9180000000001</v>
      </c>
      <c r="K80" s="18">
        <v>3963.4090000000001</v>
      </c>
      <c r="L80" s="18">
        <v>3951.2269999999999</v>
      </c>
      <c r="M80" s="18">
        <v>3957.6550000000002</v>
      </c>
      <c r="N80" s="18">
        <v>3978.8389999999999</v>
      </c>
      <c r="O80" s="18">
        <v>4001.9789999999998</v>
      </c>
      <c r="P80" s="18">
        <v>4025.2449999999999</v>
      </c>
      <c r="Q80" s="18">
        <v>4067.5639999999999</v>
      </c>
      <c r="R80" s="18">
        <v>4135.6580000000004</v>
      </c>
      <c r="S80" s="18">
        <v>4218.9480000000003</v>
      </c>
      <c r="T80" s="18">
        <v>4302.585</v>
      </c>
      <c r="U80" s="18">
        <v>4392.4790000000003</v>
      </c>
      <c r="V80" s="18">
        <v>4457.88</v>
      </c>
      <c r="W80" s="18">
        <v>4482.9040000000005</v>
      </c>
      <c r="X80" s="18">
        <v>4482.2250000000004</v>
      </c>
      <c r="Y80" s="18">
        <v>4486.58</v>
      </c>
      <c r="Z80" s="18">
        <v>4490.0410000000002</v>
      </c>
      <c r="AA80" s="18">
        <v>4500.2929999999997</v>
      </c>
      <c r="AB80" s="18">
        <v>4524.3270000000002</v>
      </c>
      <c r="AC80" s="18">
        <v>4557.7870000000003</v>
      </c>
      <c r="AD80" s="18">
        <v>4585.0129999999999</v>
      </c>
      <c r="AE80" s="18">
        <v>4603.9639999999999</v>
      </c>
      <c r="AF80" s="18">
        <v>4639.5659999999998</v>
      </c>
      <c r="AG80" s="18">
        <v>4700.991</v>
      </c>
      <c r="AH80" s="18">
        <v>4774.9359999999997</v>
      </c>
      <c r="AI80" s="18">
        <v>4841.6329999999998</v>
      </c>
      <c r="AJ80" s="18">
        <v>4908.2839999999997</v>
      </c>
      <c r="AK80" s="18">
        <v>4939.9719999999998</v>
      </c>
      <c r="AL80" s="18">
        <v>4918.3469999999998</v>
      </c>
      <c r="AM80" s="18">
        <v>4860.1540000000005</v>
      </c>
      <c r="AN80" s="18">
        <v>4801.6279999999997</v>
      </c>
      <c r="AO80" s="18">
        <v>4736.8879999999999</v>
      </c>
      <c r="AP80" s="18">
        <v>4669.4660000000003</v>
      </c>
      <c r="AQ80" s="18">
        <v>4605.2030000000004</v>
      </c>
      <c r="AR80" s="18">
        <v>4542.1030000000001</v>
      </c>
      <c r="AS80" s="18">
        <v>4473.7420000000002</v>
      </c>
      <c r="AT80" s="18">
        <v>4403.1139999999996</v>
      </c>
      <c r="AU80" s="18">
        <v>4331.5</v>
      </c>
      <c r="AV80" s="18">
        <v>4259.4669999999996</v>
      </c>
      <c r="AW80" s="18">
        <v>4189.0079999999998</v>
      </c>
      <c r="AX80" s="18">
        <v>4120.9709999999995</v>
      </c>
      <c r="AY80" s="18">
        <v>4054.4940000000001</v>
      </c>
      <c r="AZ80" s="18">
        <v>4000.7159999999999</v>
      </c>
      <c r="BA80" s="18">
        <v>3965.0619999999999</v>
      </c>
      <c r="BB80" s="18">
        <v>3942.953</v>
      </c>
      <c r="BC80" s="18">
        <v>3923.8209999999999</v>
      </c>
      <c r="BD80" s="18">
        <v>3909.1</v>
      </c>
      <c r="BE80" s="18">
        <v>3900.1529999999998</v>
      </c>
      <c r="BF80" s="18">
        <v>3896.3760000000002</v>
      </c>
      <c r="BG80" s="18">
        <v>3897.23</v>
      </c>
      <c r="BH80" s="18">
        <v>3899.3180000000002</v>
      </c>
      <c r="BI80" s="18">
        <v>3899.174</v>
      </c>
      <c r="BJ80" s="18">
        <v>3910.6709999999998</v>
      </c>
      <c r="BK80" s="18">
        <v>3939.0279999999998</v>
      </c>
      <c r="BL80" s="18">
        <v>3975.0050000000001</v>
      </c>
      <c r="BM80" s="18">
        <v>4004.0120000000002</v>
      </c>
      <c r="BN80" s="18">
        <v>4028.799</v>
      </c>
      <c r="BO80" s="18">
        <v>4032.21</v>
      </c>
      <c r="BP80" s="18">
        <v>4004.1509999999998</v>
      </c>
      <c r="BQ80" s="18">
        <v>3951.1219999999998</v>
      </c>
      <c r="BR80" s="18">
        <v>3891.8139999999999</v>
      </c>
      <c r="BS80" s="18">
        <v>3825.009</v>
      </c>
      <c r="BT80" s="18">
        <v>3736.0619999999999</v>
      </c>
      <c r="BU80" s="18">
        <v>3620.3580000000002</v>
      </c>
      <c r="BV80" s="18">
        <v>3484.4740000000002</v>
      </c>
      <c r="BW80" s="18">
        <v>3339.5390000000002</v>
      </c>
      <c r="BX80" s="18">
        <v>3183.2559999999999</v>
      </c>
      <c r="BY80" s="18">
        <v>3026.2860000000001</v>
      </c>
      <c r="BZ80" s="18">
        <v>2875.0479999999998</v>
      </c>
      <c r="CA80" s="18">
        <v>2725.1610000000001</v>
      </c>
      <c r="CB80" s="18">
        <v>2569.3879999999999</v>
      </c>
      <c r="CC80" s="18">
        <v>2413.4479999999999</v>
      </c>
      <c r="CD80" s="18">
        <v>2241.3519999999999</v>
      </c>
      <c r="CE80" s="18">
        <v>2045.808</v>
      </c>
      <c r="CF80" s="18">
        <v>1837.6079999999999</v>
      </c>
      <c r="CG80" s="18">
        <v>1634.3009999999999</v>
      </c>
      <c r="CH80" s="18">
        <v>1431.732</v>
      </c>
      <c r="CI80" s="18">
        <v>1250.319</v>
      </c>
      <c r="CJ80" s="18">
        <v>1101.809</v>
      </c>
      <c r="CK80" s="18">
        <v>977.47500000000002</v>
      </c>
      <c r="CL80" s="18">
        <v>850.83</v>
      </c>
      <c r="CM80" s="18">
        <v>744.05499999999995</v>
      </c>
      <c r="CN80" s="18">
        <v>650.74199999999996</v>
      </c>
      <c r="CO80" s="18">
        <v>549.79100000000005</v>
      </c>
      <c r="CP80" s="18">
        <v>441.66</v>
      </c>
      <c r="CQ80" s="18">
        <v>358.58600000000001</v>
      </c>
      <c r="CR80" s="18">
        <v>310.23099999999999</v>
      </c>
      <c r="CS80" s="18">
        <v>264.97800000000001</v>
      </c>
      <c r="CT80" s="18">
        <v>211.738</v>
      </c>
      <c r="CU80" s="18">
        <v>150.50899999999999</v>
      </c>
      <c r="CV80" s="18">
        <v>117.471</v>
      </c>
      <c r="CW80" s="18">
        <v>74</v>
      </c>
      <c r="CX80" s="18">
        <v>151.86799999999999</v>
      </c>
      <c r="CY80" s="3">
        <f t="shared" si="4"/>
        <v>345947.84700000024</v>
      </c>
      <c r="DF80" s="3"/>
    </row>
    <row r="81" spans="1:110" customFormat="1">
      <c r="A81" s="15">
        <v>2029</v>
      </c>
      <c r="B81" s="18">
        <v>4135.067</v>
      </c>
      <c r="C81" s="18">
        <v>4156.1490000000003</v>
      </c>
      <c r="D81" s="18">
        <v>4162.7380000000003</v>
      </c>
      <c r="E81" s="18">
        <v>4157.2190000000001</v>
      </c>
      <c r="F81" s="18">
        <v>4150.4170000000004</v>
      </c>
      <c r="G81" s="18">
        <v>4119.8829999999998</v>
      </c>
      <c r="H81" s="18">
        <v>4087.0430000000001</v>
      </c>
      <c r="I81" s="18">
        <v>4053.9769999999999</v>
      </c>
      <c r="J81" s="18">
        <v>4022.7669999999998</v>
      </c>
      <c r="K81" s="18">
        <v>3993.0569999999998</v>
      </c>
      <c r="L81" s="18">
        <v>3964.489</v>
      </c>
      <c r="M81" s="18">
        <v>3951.3290000000002</v>
      </c>
      <c r="N81" s="18">
        <v>3960.5320000000002</v>
      </c>
      <c r="O81" s="18">
        <v>3986.8679999999999</v>
      </c>
      <c r="P81" s="18">
        <v>4014.3519999999999</v>
      </c>
      <c r="Q81" s="18">
        <v>4041.6219999999998</v>
      </c>
      <c r="R81" s="18">
        <v>4087.9749999999999</v>
      </c>
      <c r="S81" s="18">
        <v>4159.9399999999996</v>
      </c>
      <c r="T81" s="18">
        <v>4246.8320000000003</v>
      </c>
      <c r="U81" s="18">
        <v>4333.9880000000003</v>
      </c>
      <c r="V81" s="18">
        <v>4427.4080000000004</v>
      </c>
      <c r="W81" s="18">
        <v>4494.9679999999998</v>
      </c>
      <c r="X81" s="18">
        <v>4520.1610000000001</v>
      </c>
      <c r="Y81" s="18">
        <v>4518.2489999999998</v>
      </c>
      <c r="Z81" s="18">
        <v>4521.2420000000002</v>
      </c>
      <c r="AA81" s="18">
        <v>4523.0309999999999</v>
      </c>
      <c r="AB81" s="18">
        <v>4531.366</v>
      </c>
      <c r="AC81" s="18">
        <v>4553.424</v>
      </c>
      <c r="AD81" s="18">
        <v>4584.8270000000002</v>
      </c>
      <c r="AE81" s="18">
        <v>4609.7250000000004</v>
      </c>
      <c r="AF81" s="18">
        <v>4626.1279999999997</v>
      </c>
      <c r="AG81" s="18">
        <v>4659.3050000000003</v>
      </c>
      <c r="AH81" s="18">
        <v>4718.585</v>
      </c>
      <c r="AI81" s="18">
        <v>4790.5820000000003</v>
      </c>
      <c r="AJ81" s="18">
        <v>4855.2780000000002</v>
      </c>
      <c r="AK81" s="18">
        <v>4919.9089999999997</v>
      </c>
      <c r="AL81" s="18">
        <v>4949.7550000000001</v>
      </c>
      <c r="AM81" s="18">
        <v>4926.5370000000003</v>
      </c>
      <c r="AN81" s="18">
        <v>4866.9290000000001</v>
      </c>
      <c r="AO81" s="18">
        <v>4807.018</v>
      </c>
      <c r="AP81" s="18">
        <v>4740.9369999999999</v>
      </c>
      <c r="AQ81" s="18">
        <v>4672.2299999999996</v>
      </c>
      <c r="AR81" s="18">
        <v>4606.7290000000003</v>
      </c>
      <c r="AS81" s="18">
        <v>4542.4179999999997</v>
      </c>
      <c r="AT81" s="18">
        <v>4472.8680000000004</v>
      </c>
      <c r="AU81" s="18">
        <v>4401.0540000000001</v>
      </c>
      <c r="AV81" s="18">
        <v>4328.2449999999999</v>
      </c>
      <c r="AW81" s="18">
        <v>4254.9970000000003</v>
      </c>
      <c r="AX81" s="18">
        <v>4183.2879999999996</v>
      </c>
      <c r="AY81" s="18">
        <v>4113.9620000000004</v>
      </c>
      <c r="AZ81" s="18">
        <v>4046.152</v>
      </c>
      <c r="BA81" s="18">
        <v>3990.942</v>
      </c>
      <c r="BB81" s="18">
        <v>3953.7260000000001</v>
      </c>
      <c r="BC81" s="18">
        <v>3929.9380000000001</v>
      </c>
      <c r="BD81" s="18">
        <v>3909.0459999999998</v>
      </c>
      <c r="BE81" s="18">
        <v>3892.4679999999998</v>
      </c>
      <c r="BF81" s="18">
        <v>3881.5680000000002</v>
      </c>
      <c r="BG81" s="18">
        <v>3875.7460000000001</v>
      </c>
      <c r="BH81" s="18">
        <v>3874.4459999999999</v>
      </c>
      <c r="BI81" s="18">
        <v>3874.2779999999998</v>
      </c>
      <c r="BJ81" s="18">
        <v>3871.79</v>
      </c>
      <c r="BK81" s="18">
        <v>3880.7359999999999</v>
      </c>
      <c r="BL81" s="18">
        <v>3906.2759999999998</v>
      </c>
      <c r="BM81" s="18">
        <v>3939.2370000000001</v>
      </c>
      <c r="BN81" s="18">
        <v>3965.1579999999999</v>
      </c>
      <c r="BO81" s="18">
        <v>3986.7809999999999</v>
      </c>
      <c r="BP81" s="18">
        <v>3986.9659999999999</v>
      </c>
      <c r="BQ81" s="18">
        <v>3955.6489999999999</v>
      </c>
      <c r="BR81" s="18">
        <v>3899.33</v>
      </c>
      <c r="BS81" s="18">
        <v>3836.6779999999999</v>
      </c>
      <c r="BT81" s="18">
        <v>3766.4839999999999</v>
      </c>
      <c r="BU81" s="18">
        <v>3674.1529999999998</v>
      </c>
      <c r="BV81" s="18">
        <v>3555.0940000000001</v>
      </c>
      <c r="BW81" s="18">
        <v>3415.8780000000002</v>
      </c>
      <c r="BX81" s="18">
        <v>3267.739</v>
      </c>
      <c r="BY81" s="18">
        <v>3108.5259999999998</v>
      </c>
      <c r="BZ81" s="18">
        <v>2948.2330000000002</v>
      </c>
      <c r="CA81" s="18">
        <v>2793.0160000000001</v>
      </c>
      <c r="CB81" s="18">
        <v>2638.9070000000002</v>
      </c>
      <c r="CC81" s="18">
        <v>2479.2849999999999</v>
      </c>
      <c r="CD81" s="18">
        <v>2319.6799999999998</v>
      </c>
      <c r="CE81" s="18">
        <v>2145.0770000000002</v>
      </c>
      <c r="CF81" s="18">
        <v>1948.7049999999999</v>
      </c>
      <c r="CG81" s="18">
        <v>1740.9190000000001</v>
      </c>
      <c r="CH81" s="18">
        <v>1538.326</v>
      </c>
      <c r="CI81" s="18">
        <v>1336.991</v>
      </c>
      <c r="CJ81" s="18">
        <v>1157.077</v>
      </c>
      <c r="CK81" s="18">
        <v>1010.122</v>
      </c>
      <c r="CL81" s="18">
        <v>887.58</v>
      </c>
      <c r="CM81" s="18">
        <v>761.36400000000003</v>
      </c>
      <c r="CN81" s="18">
        <v>659.60900000000004</v>
      </c>
      <c r="CO81" s="18">
        <v>573.50900000000001</v>
      </c>
      <c r="CP81" s="18">
        <v>475.53</v>
      </c>
      <c r="CQ81" s="18">
        <v>365.9</v>
      </c>
      <c r="CR81" s="18">
        <v>289.21699999999998</v>
      </c>
      <c r="CS81" s="18">
        <v>250.80799999999999</v>
      </c>
      <c r="CT81" s="18">
        <v>211.49199999999999</v>
      </c>
      <c r="CU81" s="18">
        <v>165.72200000000001</v>
      </c>
      <c r="CV81" s="18">
        <v>113.497</v>
      </c>
      <c r="CW81" s="18">
        <v>75.096999999999994</v>
      </c>
      <c r="CX81" s="18">
        <v>157.19399999999999</v>
      </c>
      <c r="CY81" s="3">
        <f t="shared" ref="CY81:CY144" si="11">SUM(B81:CX81)</f>
        <v>347795.04100000014</v>
      </c>
      <c r="DF81" s="3"/>
    </row>
    <row r="82" spans="1:110" customFormat="1">
      <c r="A82" s="15">
        <v>2030</v>
      </c>
      <c r="B82" s="18">
        <v>4126.4880000000003</v>
      </c>
      <c r="C82" s="18">
        <v>4159.7640000000001</v>
      </c>
      <c r="D82" s="18">
        <v>4176.07</v>
      </c>
      <c r="E82" s="18">
        <v>4177.9359999999997</v>
      </c>
      <c r="F82" s="18">
        <v>4167.8959999999997</v>
      </c>
      <c r="G82" s="18">
        <v>4148.482</v>
      </c>
      <c r="H82" s="18">
        <v>4122.2259999999997</v>
      </c>
      <c r="I82" s="18">
        <v>4091.66</v>
      </c>
      <c r="J82" s="18">
        <v>4059.317</v>
      </c>
      <c r="K82" s="18">
        <v>4027.7260000000001</v>
      </c>
      <c r="L82" s="18">
        <v>3996.3780000000002</v>
      </c>
      <c r="M82" s="18">
        <v>3964.7579999999998</v>
      </c>
      <c r="N82" s="18">
        <v>3950.623</v>
      </c>
      <c r="O82" s="18">
        <v>3962.5990000000002</v>
      </c>
      <c r="P82" s="18">
        <v>3994.0790000000002</v>
      </c>
      <c r="Q82" s="18">
        <v>4025.8989999999999</v>
      </c>
      <c r="R82" s="18">
        <v>4057.1680000000001</v>
      </c>
      <c r="S82" s="18">
        <v>4107.5420000000004</v>
      </c>
      <c r="T82" s="18">
        <v>4183.3620000000001</v>
      </c>
      <c r="U82" s="18">
        <v>4273.835</v>
      </c>
      <c r="V82" s="18">
        <v>4364.4930000000004</v>
      </c>
      <c r="W82" s="18">
        <v>4461.4160000000002</v>
      </c>
      <c r="X82" s="18">
        <v>4531.12</v>
      </c>
      <c r="Y82" s="18">
        <v>4556.4769999999999</v>
      </c>
      <c r="Z82" s="18">
        <v>4553.3329999999996</v>
      </c>
      <c r="AA82" s="18">
        <v>4554.9629999999997</v>
      </c>
      <c r="AB82" s="18">
        <v>4555.08</v>
      </c>
      <c r="AC82" s="18">
        <v>4561.4979999999996</v>
      </c>
      <c r="AD82" s="18">
        <v>4581.576</v>
      </c>
      <c r="AE82" s="18">
        <v>4610.915</v>
      </c>
      <c r="AF82" s="18">
        <v>4633.4790000000003</v>
      </c>
      <c r="AG82" s="18">
        <v>4647.3339999999998</v>
      </c>
      <c r="AH82" s="18">
        <v>4678.08</v>
      </c>
      <c r="AI82" s="18">
        <v>4735.2039999999997</v>
      </c>
      <c r="AJ82" s="18">
        <v>4805.2389999999996</v>
      </c>
      <c r="AK82" s="18">
        <v>4867.9219999999996</v>
      </c>
      <c r="AL82" s="18">
        <v>4930.5219999999999</v>
      </c>
      <c r="AM82" s="18">
        <v>4958.5219999999999</v>
      </c>
      <c r="AN82" s="18">
        <v>4933.7139999999999</v>
      </c>
      <c r="AO82" s="18">
        <v>4872.7039999999997</v>
      </c>
      <c r="AP82" s="18">
        <v>4811.4210000000003</v>
      </c>
      <c r="AQ82" s="18">
        <v>4744.0140000000001</v>
      </c>
      <c r="AR82" s="18">
        <v>4674.0379999999996</v>
      </c>
      <c r="AS82" s="18">
        <v>4607.3090000000002</v>
      </c>
      <c r="AT82" s="18">
        <v>4541.8019999999997</v>
      </c>
      <c r="AU82" s="18">
        <v>4471.0749999999998</v>
      </c>
      <c r="AV82" s="18">
        <v>4398.0910000000003</v>
      </c>
      <c r="AW82" s="18">
        <v>4324.1030000000001</v>
      </c>
      <c r="AX82" s="18">
        <v>4249.6530000000002</v>
      </c>
      <c r="AY82" s="18">
        <v>4176.7089999999998</v>
      </c>
      <c r="AZ82" s="18">
        <v>4106.1080000000002</v>
      </c>
      <c r="BA82" s="18">
        <v>4036.98</v>
      </c>
      <c r="BB82" s="18">
        <v>3980.35</v>
      </c>
      <c r="BC82" s="18">
        <v>3941.58</v>
      </c>
      <c r="BD82" s="18">
        <v>3916.1179999999999</v>
      </c>
      <c r="BE82" s="18">
        <v>3893.47</v>
      </c>
      <c r="BF82" s="18">
        <v>3875.038</v>
      </c>
      <c r="BG82" s="18">
        <v>3862.19</v>
      </c>
      <c r="BH82" s="18">
        <v>3854.3229999999999</v>
      </c>
      <c r="BI82" s="18">
        <v>3850.8719999999998</v>
      </c>
      <c r="BJ82" s="18">
        <v>3848.4470000000001</v>
      </c>
      <c r="BK82" s="18">
        <v>3843.6190000000001</v>
      </c>
      <c r="BL82" s="18">
        <v>3850.0129999999999</v>
      </c>
      <c r="BM82" s="18">
        <v>3872.7310000000002</v>
      </c>
      <c r="BN82" s="18">
        <v>3902.6680000000001</v>
      </c>
      <c r="BO82" s="18">
        <v>3925.5010000000002</v>
      </c>
      <c r="BP82" s="18">
        <v>3943.953</v>
      </c>
      <c r="BQ82" s="18">
        <v>3940.9140000000002</v>
      </c>
      <c r="BR82" s="18">
        <v>3906.346</v>
      </c>
      <c r="BS82" s="18">
        <v>3846.75</v>
      </c>
      <c r="BT82" s="18">
        <v>3780.7649999999999</v>
      </c>
      <c r="BU82" s="18">
        <v>3707.1950000000002</v>
      </c>
      <c r="BV82" s="18">
        <v>3611.5</v>
      </c>
      <c r="BW82" s="18">
        <v>3489.114</v>
      </c>
      <c r="BX82" s="18">
        <v>3346.5949999999998</v>
      </c>
      <c r="BY82" s="18">
        <v>3195.2829999999999</v>
      </c>
      <c r="BZ82" s="18">
        <v>3033.1709999999998</v>
      </c>
      <c r="CA82" s="18">
        <v>2869.5909999999999</v>
      </c>
      <c r="CB82" s="18">
        <v>2710.43</v>
      </c>
      <c r="CC82" s="18">
        <v>2552.1289999999999</v>
      </c>
      <c r="CD82" s="18">
        <v>2388.692</v>
      </c>
      <c r="CE82" s="18">
        <v>2225.4589999999998</v>
      </c>
      <c r="CF82" s="18">
        <v>2048.3850000000002</v>
      </c>
      <c r="CG82" s="18">
        <v>1851.2270000000001</v>
      </c>
      <c r="CH82" s="18">
        <v>1643.8979999999999</v>
      </c>
      <c r="CI82" s="18">
        <v>1442.0609999999999</v>
      </c>
      <c r="CJ82" s="18">
        <v>1242.001</v>
      </c>
      <c r="CK82" s="18">
        <v>1063.624</v>
      </c>
      <c r="CL82" s="18">
        <v>918.25599999999997</v>
      </c>
      <c r="CM82" s="18">
        <v>797.53200000000004</v>
      </c>
      <c r="CN82" s="18">
        <v>671.77099999999996</v>
      </c>
      <c r="CO82" s="18">
        <v>575.05700000000002</v>
      </c>
      <c r="CP82" s="18">
        <v>496.185</v>
      </c>
      <c r="CQ82" s="18">
        <v>401.197</v>
      </c>
      <c r="CR82" s="18">
        <v>290.09300000000002</v>
      </c>
      <c r="CS82" s="18">
        <v>219.815</v>
      </c>
      <c r="CT82" s="18">
        <v>191.358</v>
      </c>
      <c r="CU82" s="18">
        <v>157.983</v>
      </c>
      <c r="CV82" s="18">
        <v>119.68899999999999</v>
      </c>
      <c r="CW82" s="18">
        <v>76.477999999999994</v>
      </c>
      <c r="CX82" s="18">
        <v>161.75700000000001</v>
      </c>
      <c r="CY82" s="3">
        <f t="shared" si="11"/>
        <v>349641.87599999987</v>
      </c>
      <c r="DF82" s="3"/>
    </row>
    <row r="83" spans="1:110" customFormat="1">
      <c r="A83" s="15">
        <v>2031</v>
      </c>
      <c r="B83" s="18">
        <v>4125.3829999999998</v>
      </c>
      <c r="C83" s="18">
        <v>4144.116</v>
      </c>
      <c r="D83" s="18">
        <v>4169.4750000000004</v>
      </c>
      <c r="E83" s="18">
        <v>4180.3909999999996</v>
      </c>
      <c r="F83" s="18">
        <v>4179.0990000000002</v>
      </c>
      <c r="G83" s="18">
        <v>4167.8389999999999</v>
      </c>
      <c r="H83" s="18">
        <v>4148.9759999999997</v>
      </c>
      <c r="I83" s="18">
        <v>4124.8770000000004</v>
      </c>
      <c r="J83" s="18">
        <v>4097.1409999999996</v>
      </c>
      <c r="K83" s="18">
        <v>4067.75</v>
      </c>
      <c r="L83" s="18">
        <v>4039.326</v>
      </c>
      <c r="M83" s="18">
        <v>4011.8409999999999</v>
      </c>
      <c r="N83" s="18">
        <v>3984.498</v>
      </c>
      <c r="O83" s="18">
        <v>3974.7020000000002</v>
      </c>
      <c r="P83" s="18">
        <v>3990.8850000000002</v>
      </c>
      <c r="Q83" s="18">
        <v>4026.3119999999999</v>
      </c>
      <c r="R83" s="18">
        <v>4061.9940000000001</v>
      </c>
      <c r="S83" s="18">
        <v>4097.1360000000004</v>
      </c>
      <c r="T83" s="18">
        <v>4149.8959999999997</v>
      </c>
      <c r="U83" s="18">
        <v>4225.9210000000003</v>
      </c>
      <c r="V83" s="18">
        <v>4315.0709999999999</v>
      </c>
      <c r="W83" s="18">
        <v>4404.277</v>
      </c>
      <c r="X83" s="18">
        <v>4499.4219999999996</v>
      </c>
      <c r="Y83" s="18">
        <v>4567.0929999999998</v>
      </c>
      <c r="Z83" s="18">
        <v>4590.3680000000004</v>
      </c>
      <c r="AA83" s="18">
        <v>4585.0680000000002</v>
      </c>
      <c r="AB83" s="18">
        <v>4584.2449999999999</v>
      </c>
      <c r="AC83" s="18">
        <v>4581.6620000000003</v>
      </c>
      <c r="AD83" s="18">
        <v>4585.5569999999998</v>
      </c>
      <c r="AE83" s="18">
        <v>4603.4790000000003</v>
      </c>
      <c r="AF83" s="18">
        <v>4630.9120000000003</v>
      </c>
      <c r="AG83" s="18">
        <v>4651.5029999999997</v>
      </c>
      <c r="AH83" s="18">
        <v>4663.3760000000002</v>
      </c>
      <c r="AI83" s="18">
        <v>4692.2510000000002</v>
      </c>
      <c r="AJ83" s="18">
        <v>4747.6369999999997</v>
      </c>
      <c r="AK83" s="18">
        <v>4816.049</v>
      </c>
      <c r="AL83" s="18">
        <v>4877.1509999999998</v>
      </c>
      <c r="AM83" s="18">
        <v>4938.21</v>
      </c>
      <c r="AN83" s="18">
        <v>4964.7619999999997</v>
      </c>
      <c r="AO83" s="18">
        <v>4938.6040000000003</v>
      </c>
      <c r="AP83" s="18">
        <v>4876.3149999999996</v>
      </c>
      <c r="AQ83" s="18">
        <v>4813.7749999999996</v>
      </c>
      <c r="AR83" s="18">
        <v>4745.1360000000004</v>
      </c>
      <c r="AS83" s="18">
        <v>4673.9110000000001</v>
      </c>
      <c r="AT83" s="18">
        <v>4605.8869999999997</v>
      </c>
      <c r="AU83" s="18">
        <v>4539.05</v>
      </c>
      <c r="AV83" s="18">
        <v>4466.9849999999997</v>
      </c>
      <c r="AW83" s="18">
        <v>4392.6480000000001</v>
      </c>
      <c r="AX83" s="18">
        <v>4317.2719999999999</v>
      </c>
      <c r="AY83" s="18">
        <v>4241.3890000000001</v>
      </c>
      <c r="AZ83" s="18">
        <v>4166.9629999999997</v>
      </c>
      <c r="BA83" s="18">
        <v>4094.8310000000001</v>
      </c>
      <c r="BB83" s="18">
        <v>4024.114</v>
      </c>
      <c r="BC83" s="18">
        <v>3965.8490000000002</v>
      </c>
      <c r="BD83" s="18">
        <v>3925.402</v>
      </c>
      <c r="BE83" s="18">
        <v>3898.2049999999999</v>
      </c>
      <c r="BF83" s="18">
        <v>3873.7150000000001</v>
      </c>
      <c r="BG83" s="18">
        <v>3853.3130000000001</v>
      </c>
      <c r="BH83" s="18">
        <v>3838.451</v>
      </c>
      <c r="BI83" s="18">
        <v>3828.5569999999998</v>
      </c>
      <c r="BJ83" s="18">
        <v>3823</v>
      </c>
      <c r="BK83" s="18">
        <v>3818.3119999999999</v>
      </c>
      <c r="BL83" s="18">
        <v>3811.0970000000002</v>
      </c>
      <c r="BM83" s="18">
        <v>3814.7649999999999</v>
      </c>
      <c r="BN83" s="18">
        <v>3834.3069999999998</v>
      </c>
      <c r="BO83" s="18">
        <v>3860.7170000000001</v>
      </c>
      <c r="BP83" s="18">
        <v>3879.913</v>
      </c>
      <c r="BQ83" s="18">
        <v>3894.6219999999998</v>
      </c>
      <c r="BR83" s="18">
        <v>3887.5740000000001</v>
      </c>
      <c r="BS83" s="18">
        <v>3848.7</v>
      </c>
      <c r="BT83" s="18">
        <v>3784.5859999999998</v>
      </c>
      <c r="BU83" s="18">
        <v>3714.058</v>
      </c>
      <c r="BV83" s="18">
        <v>3635.9490000000001</v>
      </c>
      <c r="BW83" s="18">
        <v>3535.6469999999999</v>
      </c>
      <c r="BX83" s="18">
        <v>3408.5970000000002</v>
      </c>
      <c r="BY83" s="18">
        <v>3261.4450000000002</v>
      </c>
      <c r="BZ83" s="18">
        <v>3105.8119999999999</v>
      </c>
      <c r="CA83" s="18">
        <v>2939.88</v>
      </c>
      <c r="CB83" s="18">
        <v>2772.29</v>
      </c>
      <c r="CC83" s="18">
        <v>2608.6959999999999</v>
      </c>
      <c r="CD83" s="18">
        <v>2446.0309999999999</v>
      </c>
      <c r="CE83" s="18">
        <v>2278.8789999999999</v>
      </c>
      <c r="CF83" s="18">
        <v>2112.2869999999998</v>
      </c>
      <c r="CG83" s="18">
        <v>1934.0070000000001</v>
      </c>
      <c r="CH83" s="18">
        <v>1738.694</v>
      </c>
      <c r="CI83" s="18">
        <v>1535.4169999999999</v>
      </c>
      <c r="CJ83" s="18">
        <v>1333.9849999999999</v>
      </c>
      <c r="CK83" s="18">
        <v>1140.992</v>
      </c>
      <c r="CL83" s="18">
        <v>977.30399999999997</v>
      </c>
      <c r="CM83" s="18">
        <v>835.94200000000001</v>
      </c>
      <c r="CN83" s="18">
        <v>710.21400000000006</v>
      </c>
      <c r="CO83" s="18">
        <v>591.89800000000002</v>
      </c>
      <c r="CP83" s="18">
        <v>507.262</v>
      </c>
      <c r="CQ83" s="18">
        <v>435.67200000000003</v>
      </c>
      <c r="CR83" s="18">
        <v>349.95299999999997</v>
      </c>
      <c r="CS83" s="18">
        <v>250.10300000000001</v>
      </c>
      <c r="CT83" s="18">
        <v>196.74600000000001</v>
      </c>
      <c r="CU83" s="18">
        <v>162.12799999999999</v>
      </c>
      <c r="CV83" s="18">
        <v>122.657</v>
      </c>
      <c r="CW83" s="18">
        <v>78.331000000000003</v>
      </c>
      <c r="CX83" s="18">
        <v>165.68600000000001</v>
      </c>
      <c r="CY83" s="3">
        <f t="shared" si="11"/>
        <v>351490.17799999984</v>
      </c>
      <c r="DF83" s="3"/>
    </row>
    <row r="84" spans="1:110" customFormat="1">
      <c r="A84" s="15">
        <v>2032</v>
      </c>
      <c r="B84" s="18">
        <v>4127.0379999999996</v>
      </c>
      <c r="C84" s="18">
        <v>4168.384</v>
      </c>
      <c r="D84" s="18">
        <v>4160.9660000000003</v>
      </c>
      <c r="E84" s="18">
        <v>4178.3980000000001</v>
      </c>
      <c r="F84" s="18">
        <v>4183.9179999999997</v>
      </c>
      <c r="G84" s="18">
        <v>4179.4650000000001</v>
      </c>
      <c r="H84" s="18">
        <v>4166.9870000000001</v>
      </c>
      <c r="I84" s="18">
        <v>4148.6790000000001</v>
      </c>
      <c r="J84" s="18">
        <v>4126.7430000000004</v>
      </c>
      <c r="K84" s="18">
        <v>4101.8429999999998</v>
      </c>
      <c r="L84" s="18">
        <v>4075.4140000000002</v>
      </c>
      <c r="M84" s="18">
        <v>4050.1640000000002</v>
      </c>
      <c r="N84" s="18">
        <v>4026.549</v>
      </c>
      <c r="O84" s="18">
        <v>4003.491</v>
      </c>
      <c r="P84" s="18">
        <v>3998.0369999999998</v>
      </c>
      <c r="Q84" s="18">
        <v>4018.4279999999999</v>
      </c>
      <c r="R84" s="18">
        <v>4057.8</v>
      </c>
      <c r="S84" s="18">
        <v>4097.3379999999997</v>
      </c>
      <c r="T84" s="18">
        <v>4136.3490000000002</v>
      </c>
      <c r="U84" s="18">
        <v>4191.4849999999997</v>
      </c>
      <c r="V84" s="18">
        <v>4267.7030000000004</v>
      </c>
      <c r="W84" s="18">
        <v>4355.5110000000004</v>
      </c>
      <c r="X84" s="18">
        <v>4443.2470000000003</v>
      </c>
      <c r="Y84" s="18">
        <v>4536.5940000000001</v>
      </c>
      <c r="Z84" s="18">
        <v>4602.2169999999996</v>
      </c>
      <c r="AA84" s="18">
        <v>4623.4040000000005</v>
      </c>
      <c r="AB84" s="18">
        <v>4615.9470000000001</v>
      </c>
      <c r="AC84" s="18">
        <v>4612.67</v>
      </c>
      <c r="AD84" s="18">
        <v>4607.3879999999999</v>
      </c>
      <c r="AE84" s="18">
        <v>4608.7569999999996</v>
      </c>
      <c r="AF84" s="18">
        <v>4624.518</v>
      </c>
      <c r="AG84" s="18">
        <v>4650.0370000000003</v>
      </c>
      <c r="AH84" s="18">
        <v>4668.6490000000003</v>
      </c>
      <c r="AI84" s="18">
        <v>4678.5360000000001</v>
      </c>
      <c r="AJ84" s="18">
        <v>4705.5320000000002</v>
      </c>
      <c r="AK84" s="18">
        <v>4759.1710000000003</v>
      </c>
      <c r="AL84" s="18">
        <v>4825.9430000000002</v>
      </c>
      <c r="AM84" s="18">
        <v>4885.4530000000004</v>
      </c>
      <c r="AN84" s="18">
        <v>4944.9610000000002</v>
      </c>
      <c r="AO84" s="18">
        <v>4970.0559999999996</v>
      </c>
      <c r="AP84" s="18">
        <v>4942.5540000000001</v>
      </c>
      <c r="AQ84" s="18">
        <v>4878.9960000000001</v>
      </c>
      <c r="AR84" s="18">
        <v>4815.2110000000002</v>
      </c>
      <c r="AS84" s="18">
        <v>4745.3530000000001</v>
      </c>
      <c r="AT84" s="18">
        <v>4672.8900000000003</v>
      </c>
      <c r="AU84" s="18">
        <v>4603.5839999999998</v>
      </c>
      <c r="AV84" s="18">
        <v>4535.4250000000002</v>
      </c>
      <c r="AW84" s="18">
        <v>4462.0379999999996</v>
      </c>
      <c r="AX84" s="18">
        <v>4386.3609999999999</v>
      </c>
      <c r="AY84" s="18">
        <v>4309.6080000000002</v>
      </c>
      <c r="AZ84" s="18">
        <v>4232.3050000000003</v>
      </c>
      <c r="BA84" s="18">
        <v>4156.4110000000001</v>
      </c>
      <c r="BB84" s="18">
        <v>4082.761</v>
      </c>
      <c r="BC84" s="18">
        <v>4010.4659999999999</v>
      </c>
      <c r="BD84" s="18">
        <v>3950.5749999999998</v>
      </c>
      <c r="BE84" s="18">
        <v>3908.4589999999998</v>
      </c>
      <c r="BF84" s="18">
        <v>3879.529</v>
      </c>
      <c r="BG84" s="18">
        <v>3853.2020000000002</v>
      </c>
      <c r="BH84" s="18">
        <v>3830.8310000000001</v>
      </c>
      <c r="BI84" s="18">
        <v>3813.9560000000001</v>
      </c>
      <c r="BJ84" s="18">
        <v>3802.0360000000001</v>
      </c>
      <c r="BK84" s="18">
        <v>3794.373</v>
      </c>
      <c r="BL84" s="18">
        <v>3787.422</v>
      </c>
      <c r="BM84" s="18">
        <v>3777.8220000000001</v>
      </c>
      <c r="BN84" s="18">
        <v>3778.76</v>
      </c>
      <c r="BO84" s="18">
        <v>3795.1210000000001</v>
      </c>
      <c r="BP84" s="18">
        <v>3817.9940000000001</v>
      </c>
      <c r="BQ84" s="18">
        <v>3833.547</v>
      </c>
      <c r="BR84" s="18">
        <v>3844.5050000000001</v>
      </c>
      <c r="BS84" s="18">
        <v>3833.4479999999999</v>
      </c>
      <c r="BT84" s="18">
        <v>3790.27</v>
      </c>
      <c r="BU84" s="18">
        <v>3721.6480000000001</v>
      </c>
      <c r="BV84" s="18">
        <v>3646.5859999999998</v>
      </c>
      <c r="BW84" s="18">
        <v>3563.9479999999999</v>
      </c>
      <c r="BX84" s="18">
        <v>3459.056</v>
      </c>
      <c r="BY84" s="18">
        <v>3327.3629999999998</v>
      </c>
      <c r="BZ84" s="18">
        <v>3175.6010000000001</v>
      </c>
      <c r="CA84" s="18">
        <v>3015.6750000000002</v>
      </c>
      <c r="CB84" s="18">
        <v>2845.951</v>
      </c>
      <c r="CC84" s="18">
        <v>2674.3809999999999</v>
      </c>
      <c r="CD84" s="18">
        <v>2506.3809999999999</v>
      </c>
      <c r="CE84" s="18">
        <v>2339.3789999999999</v>
      </c>
      <c r="CF84" s="18">
        <v>2168.54</v>
      </c>
      <c r="CG84" s="18">
        <v>1998.62</v>
      </c>
      <c r="CH84" s="18">
        <v>1819.1679999999999</v>
      </c>
      <c r="CI84" s="18">
        <v>1625.739</v>
      </c>
      <c r="CJ84" s="18">
        <v>1426.557</v>
      </c>
      <c r="CK84" s="18">
        <v>1225.567</v>
      </c>
      <c r="CL84" s="18">
        <v>1039.6859999999999</v>
      </c>
      <c r="CM84" s="18">
        <v>890.72799999999995</v>
      </c>
      <c r="CN84" s="18">
        <v>753.404</v>
      </c>
      <c r="CO84" s="18">
        <v>622.69200000000001</v>
      </c>
      <c r="CP84" s="18">
        <v>511.851</v>
      </c>
      <c r="CQ84" s="18">
        <v>439.315</v>
      </c>
      <c r="CR84" s="18">
        <v>375.029</v>
      </c>
      <c r="CS84" s="18">
        <v>298.601</v>
      </c>
      <c r="CT84" s="18">
        <v>210.03200000000001</v>
      </c>
      <c r="CU84" s="18">
        <v>167.98599999999999</v>
      </c>
      <c r="CV84" s="18">
        <v>126.806</v>
      </c>
      <c r="CW84" s="18">
        <v>80.58</v>
      </c>
      <c r="CX84" s="18">
        <v>168.999</v>
      </c>
      <c r="CY84" s="3">
        <f t="shared" si="11"/>
        <v>353335.45200000005</v>
      </c>
      <c r="DF84" s="3"/>
    </row>
    <row r="85" spans="1:110" customFormat="1">
      <c r="A85" s="15">
        <v>2033</v>
      </c>
      <c r="B85" s="18">
        <v>4130.5259999999998</v>
      </c>
      <c r="C85" s="18">
        <v>4169.5060000000003</v>
      </c>
      <c r="D85" s="18">
        <v>4194.0410000000002</v>
      </c>
      <c r="E85" s="18">
        <v>4176.982</v>
      </c>
      <c r="F85" s="18">
        <v>4186.482</v>
      </c>
      <c r="G85" s="18">
        <v>4186.6030000000001</v>
      </c>
      <c r="H85" s="18">
        <v>4178.991</v>
      </c>
      <c r="I85" s="18">
        <v>4165.2950000000001</v>
      </c>
      <c r="J85" s="18">
        <v>4147.5469999999996</v>
      </c>
      <c r="K85" s="18">
        <v>4127.7780000000002</v>
      </c>
      <c r="L85" s="18">
        <v>4105.7209999999995</v>
      </c>
      <c r="M85" s="18">
        <v>4082.2579999999998</v>
      </c>
      <c r="N85" s="18">
        <v>4060.1889999999999</v>
      </c>
      <c r="O85" s="18">
        <v>4040.45</v>
      </c>
      <c r="P85" s="18">
        <v>4021.683</v>
      </c>
      <c r="Q85" s="18">
        <v>4020.5729999999999</v>
      </c>
      <c r="R85" s="18">
        <v>4045.1680000000001</v>
      </c>
      <c r="S85" s="18">
        <v>4088.4780000000001</v>
      </c>
      <c r="T85" s="18">
        <v>4131.8639999999996</v>
      </c>
      <c r="U85" s="18">
        <v>4174.7380000000003</v>
      </c>
      <c r="V85" s="18">
        <v>4232.24</v>
      </c>
      <c r="W85" s="18">
        <v>4308.6350000000002</v>
      </c>
      <c r="X85" s="18">
        <v>4395.0820000000003</v>
      </c>
      <c r="Y85" s="18">
        <v>4481.3310000000001</v>
      </c>
      <c r="Z85" s="18">
        <v>4572.8590000000004</v>
      </c>
      <c r="AA85" s="18">
        <v>4636.4210000000003</v>
      </c>
      <c r="AB85" s="18">
        <v>4655.5150000000003</v>
      </c>
      <c r="AC85" s="18">
        <v>4645.9030000000002</v>
      </c>
      <c r="AD85" s="18">
        <v>4640.1710000000003</v>
      </c>
      <c r="AE85" s="18">
        <v>4632.1880000000001</v>
      </c>
      <c r="AF85" s="18">
        <v>4631.0309999999999</v>
      </c>
      <c r="AG85" s="18">
        <v>4644.6279999999997</v>
      </c>
      <c r="AH85" s="18">
        <v>4668.2269999999999</v>
      </c>
      <c r="AI85" s="18">
        <v>4684.8559999999998</v>
      </c>
      <c r="AJ85" s="18">
        <v>4692.7539999999999</v>
      </c>
      <c r="AK85" s="18">
        <v>4717.8649999999998</v>
      </c>
      <c r="AL85" s="18">
        <v>4769.7470000000003</v>
      </c>
      <c r="AM85" s="18">
        <v>4834.8649999999998</v>
      </c>
      <c r="AN85" s="18">
        <v>4892.7700000000004</v>
      </c>
      <c r="AO85" s="18">
        <v>4950.7150000000001</v>
      </c>
      <c r="AP85" s="18">
        <v>4974.3500000000004</v>
      </c>
      <c r="AQ85" s="18">
        <v>4945.5069999999996</v>
      </c>
      <c r="AR85" s="18">
        <v>4880.6930000000002</v>
      </c>
      <c r="AS85" s="18">
        <v>4815.6750000000002</v>
      </c>
      <c r="AT85" s="18">
        <v>4744.6099999999997</v>
      </c>
      <c r="AU85" s="18">
        <v>4670.9250000000002</v>
      </c>
      <c r="AV85" s="18">
        <v>4600.3490000000002</v>
      </c>
      <c r="AW85" s="18">
        <v>4530.8829999999998</v>
      </c>
      <c r="AX85" s="18">
        <v>4456.1859999999997</v>
      </c>
      <c r="AY85" s="18">
        <v>4379.183</v>
      </c>
      <c r="AZ85" s="18">
        <v>4301.0690000000004</v>
      </c>
      <c r="BA85" s="18">
        <v>4222.3590000000004</v>
      </c>
      <c r="BB85" s="18">
        <v>4145.0119999999997</v>
      </c>
      <c r="BC85" s="18">
        <v>4069.8589999999999</v>
      </c>
      <c r="BD85" s="18">
        <v>3995.9989999999998</v>
      </c>
      <c r="BE85" s="18">
        <v>3934.4949999999999</v>
      </c>
      <c r="BF85" s="18">
        <v>3890.7159999999999</v>
      </c>
      <c r="BG85" s="18">
        <v>3860.0610000000001</v>
      </c>
      <c r="BH85" s="18">
        <v>3831.8989999999999</v>
      </c>
      <c r="BI85" s="18">
        <v>3807.5630000000001</v>
      </c>
      <c r="BJ85" s="18">
        <v>3788.6790000000001</v>
      </c>
      <c r="BK85" s="18">
        <v>3774.7339999999999</v>
      </c>
      <c r="BL85" s="18">
        <v>3764.9670000000001</v>
      </c>
      <c r="BM85" s="18">
        <v>3755.7550000000001</v>
      </c>
      <c r="BN85" s="18">
        <v>3743.77</v>
      </c>
      <c r="BO85" s="18">
        <v>3741.9780000000001</v>
      </c>
      <c r="BP85" s="18">
        <v>3755.1529999999998</v>
      </c>
      <c r="BQ85" s="18">
        <v>3774.4810000000002</v>
      </c>
      <c r="BR85" s="18">
        <v>3786.3879999999999</v>
      </c>
      <c r="BS85" s="18">
        <v>3793.5909999999999</v>
      </c>
      <c r="BT85" s="18">
        <v>3778.5250000000001</v>
      </c>
      <c r="BU85" s="18">
        <v>3731.05</v>
      </c>
      <c r="BV85" s="18">
        <v>3657.931</v>
      </c>
      <c r="BW85" s="18">
        <v>3578.348</v>
      </c>
      <c r="BX85" s="18">
        <v>3491.194</v>
      </c>
      <c r="BY85" s="18">
        <v>3381.732</v>
      </c>
      <c r="BZ85" s="18">
        <v>3245.42</v>
      </c>
      <c r="CA85" s="18">
        <v>3089.0770000000002</v>
      </c>
      <c r="CB85" s="18">
        <v>2924.8890000000001</v>
      </c>
      <c r="CC85" s="18">
        <v>2751.4059999999999</v>
      </c>
      <c r="CD85" s="18">
        <v>2575.8890000000001</v>
      </c>
      <c r="CE85" s="18">
        <v>2403.5169999999998</v>
      </c>
      <c r="CF85" s="18">
        <v>2232.21</v>
      </c>
      <c r="CG85" s="18">
        <v>2057.7190000000001</v>
      </c>
      <c r="CH85" s="18">
        <v>1884.5039999999999</v>
      </c>
      <c r="CI85" s="18">
        <v>1703.9159999999999</v>
      </c>
      <c r="CJ85" s="18">
        <v>1512.412</v>
      </c>
      <c r="CK85" s="18">
        <v>1317.366</v>
      </c>
      <c r="CL85" s="18">
        <v>1116.8599999999999</v>
      </c>
      <c r="CM85" s="18">
        <v>938.13</v>
      </c>
      <c r="CN85" s="18">
        <v>803.93899999999996</v>
      </c>
      <c r="CO85" s="18">
        <v>670.68200000000002</v>
      </c>
      <c r="CP85" s="18">
        <v>535.01300000000003</v>
      </c>
      <c r="CQ85" s="18">
        <v>431.67200000000003</v>
      </c>
      <c r="CR85" s="18">
        <v>371.25599999999997</v>
      </c>
      <c r="CS85" s="18">
        <v>314.28800000000001</v>
      </c>
      <c r="CT85" s="18">
        <v>247.17</v>
      </c>
      <c r="CU85" s="18">
        <v>169.905</v>
      </c>
      <c r="CV85" s="18">
        <v>131.96600000000001</v>
      </c>
      <c r="CW85" s="18">
        <v>83.222999999999999</v>
      </c>
      <c r="CX85" s="18">
        <v>172.14599999999999</v>
      </c>
      <c r="CY85" s="3">
        <f t="shared" si="11"/>
        <v>355162.92</v>
      </c>
      <c r="DF85" s="3"/>
    </row>
    <row r="86" spans="1:110" customFormat="1">
      <c r="A86" s="15">
        <v>2034</v>
      </c>
      <c r="B86" s="18">
        <v>4134.0600000000004</v>
      </c>
      <c r="C86" s="18">
        <v>4169.05</v>
      </c>
      <c r="D86" s="18">
        <v>4192.1480000000001</v>
      </c>
      <c r="E86" s="18">
        <v>4204.7569999999996</v>
      </c>
      <c r="F86" s="18">
        <v>4192.0640000000003</v>
      </c>
      <c r="G86" s="18">
        <v>4193.6329999999998</v>
      </c>
      <c r="H86" s="18">
        <v>4188.3559999999998</v>
      </c>
      <c r="I86" s="18">
        <v>4177.5870000000004</v>
      </c>
      <c r="J86" s="18">
        <v>4162.6779999999999</v>
      </c>
      <c r="K86" s="18">
        <v>4145.4920000000002</v>
      </c>
      <c r="L86" s="18">
        <v>4127.8950000000004</v>
      </c>
      <c r="M86" s="18">
        <v>4108.6850000000004</v>
      </c>
      <c r="N86" s="18">
        <v>4088.194</v>
      </c>
      <c r="O86" s="18">
        <v>4069.3069999999998</v>
      </c>
      <c r="P86" s="18">
        <v>4053.4479999999999</v>
      </c>
      <c r="Q86" s="18">
        <v>4038.9749999999999</v>
      </c>
      <c r="R86" s="18">
        <v>4042.21</v>
      </c>
      <c r="S86" s="18">
        <v>4071.0030000000002</v>
      </c>
      <c r="T86" s="18">
        <v>4118.2389999999996</v>
      </c>
      <c r="U86" s="18">
        <v>4165.4639999999999</v>
      </c>
      <c r="V86" s="18">
        <v>4212.1909999999998</v>
      </c>
      <c r="W86" s="18">
        <v>4272.0439999999999</v>
      </c>
      <c r="X86" s="18">
        <v>4348.5990000000002</v>
      </c>
      <c r="Y86" s="18">
        <v>4433.6670000000004</v>
      </c>
      <c r="Z86" s="18">
        <v>4518.4089999999997</v>
      </c>
      <c r="AA86" s="18">
        <v>4608.0990000000002</v>
      </c>
      <c r="AB86" s="18">
        <v>4669.5870000000004</v>
      </c>
      <c r="AC86" s="18">
        <v>4686.5829999999996</v>
      </c>
      <c r="AD86" s="18">
        <v>4674.8159999999998</v>
      </c>
      <c r="AE86" s="18">
        <v>4666.6310000000003</v>
      </c>
      <c r="AF86" s="18">
        <v>4655.9520000000002</v>
      </c>
      <c r="AG86" s="18">
        <v>4652.2690000000002</v>
      </c>
      <c r="AH86" s="18">
        <v>4663.6970000000001</v>
      </c>
      <c r="AI86" s="18">
        <v>4685.3710000000001</v>
      </c>
      <c r="AJ86" s="18">
        <v>4700.0140000000001</v>
      </c>
      <c r="AK86" s="18">
        <v>4705.9229999999998</v>
      </c>
      <c r="AL86" s="18">
        <v>4729.1440000000002</v>
      </c>
      <c r="AM86" s="18">
        <v>4779.2560000000003</v>
      </c>
      <c r="AN86" s="18">
        <v>4842.7079999999996</v>
      </c>
      <c r="AO86" s="18">
        <v>4898.9939999999997</v>
      </c>
      <c r="AP86" s="18">
        <v>4955.3639999999996</v>
      </c>
      <c r="AQ86" s="18">
        <v>4977.5320000000002</v>
      </c>
      <c r="AR86" s="18">
        <v>4947.3559999999998</v>
      </c>
      <c r="AS86" s="18">
        <v>4881.3010000000004</v>
      </c>
      <c r="AT86" s="18">
        <v>4815.0640000000003</v>
      </c>
      <c r="AU86" s="18">
        <v>4742.8090000000002</v>
      </c>
      <c r="AV86" s="18">
        <v>4667.9189999999999</v>
      </c>
      <c r="AW86" s="18">
        <v>4596.0870000000004</v>
      </c>
      <c r="AX86" s="18">
        <v>4525.33</v>
      </c>
      <c r="AY86" s="18">
        <v>4449.3379999999997</v>
      </c>
      <c r="AZ86" s="18">
        <v>4371.0259999999998</v>
      </c>
      <c r="BA86" s="18">
        <v>4291.5690000000004</v>
      </c>
      <c r="BB86" s="18">
        <v>4211.47</v>
      </c>
      <c r="BC86" s="18">
        <v>4132.6869999999999</v>
      </c>
      <c r="BD86" s="18">
        <v>4056.047</v>
      </c>
      <c r="BE86" s="18">
        <v>3980.64</v>
      </c>
      <c r="BF86" s="18">
        <v>3917.5349999999999</v>
      </c>
      <c r="BG86" s="18">
        <v>3872.1030000000001</v>
      </c>
      <c r="BH86" s="18">
        <v>3839.7289999999998</v>
      </c>
      <c r="BI86" s="18">
        <v>3809.74</v>
      </c>
      <c r="BJ86" s="18">
        <v>3783.4430000000002</v>
      </c>
      <c r="BK86" s="18">
        <v>3762.5540000000001</v>
      </c>
      <c r="BL86" s="18">
        <v>3746.5880000000002</v>
      </c>
      <c r="BM86" s="18">
        <v>3734.72</v>
      </c>
      <c r="BN86" s="18">
        <v>3723.2489999999998</v>
      </c>
      <c r="BO86" s="18">
        <v>3708.8820000000001</v>
      </c>
      <c r="BP86" s="18">
        <v>3704.3620000000001</v>
      </c>
      <c r="BQ86" s="18">
        <v>3714.3470000000002</v>
      </c>
      <c r="BR86" s="18">
        <v>3730.1280000000002</v>
      </c>
      <c r="BS86" s="18">
        <v>3738.3850000000002</v>
      </c>
      <c r="BT86" s="18">
        <v>3741.8310000000001</v>
      </c>
      <c r="BU86" s="18">
        <v>3722.7579999999998</v>
      </c>
      <c r="BV86" s="18">
        <v>3670.9969999999998</v>
      </c>
      <c r="BW86" s="18">
        <v>3593.3980000000001</v>
      </c>
      <c r="BX86" s="18">
        <v>3509.31</v>
      </c>
      <c r="BY86" s="18">
        <v>3417.6610000000001</v>
      </c>
      <c r="BZ86" s="18">
        <v>3303.6529999999998</v>
      </c>
      <c r="CA86" s="18">
        <v>3162.7530000000002</v>
      </c>
      <c r="CB86" s="18">
        <v>3001.8649999999998</v>
      </c>
      <c r="CC86" s="18">
        <v>2833.451</v>
      </c>
      <c r="CD86" s="18">
        <v>2656.248</v>
      </c>
      <c r="CE86" s="18">
        <v>2476.8249999999998</v>
      </c>
      <c r="CF86" s="18">
        <v>2300.1190000000001</v>
      </c>
      <c r="CG86" s="18">
        <v>2124.547</v>
      </c>
      <c r="CH86" s="18">
        <v>1946.443</v>
      </c>
      <c r="CI86" s="18">
        <v>1769.973</v>
      </c>
      <c r="CJ86" s="18">
        <v>1588.2909999999999</v>
      </c>
      <c r="CK86" s="18">
        <v>1398.7539999999999</v>
      </c>
      <c r="CL86" s="18">
        <v>1207.8889999999999</v>
      </c>
      <c r="CM86" s="18">
        <v>1007.914</v>
      </c>
      <c r="CN86" s="18">
        <v>836.37300000000005</v>
      </c>
      <c r="CO86" s="18">
        <v>716.97500000000002</v>
      </c>
      <c r="CP86" s="18">
        <v>587.81700000000001</v>
      </c>
      <c r="CQ86" s="18">
        <v>447.22300000000001</v>
      </c>
      <c r="CR86" s="18">
        <v>351.40499999999997</v>
      </c>
      <c r="CS86" s="18">
        <v>303.12299999999999</v>
      </c>
      <c r="CT86" s="18">
        <v>253.48400000000001</v>
      </c>
      <c r="CU86" s="18">
        <v>195.691</v>
      </c>
      <c r="CV86" s="18">
        <v>129.745</v>
      </c>
      <c r="CW86" s="18">
        <v>86.224000000000004</v>
      </c>
      <c r="CX86" s="18">
        <v>175.72900000000001</v>
      </c>
      <c r="CY86" s="3">
        <f t="shared" si="11"/>
        <v>356952.97200000018</v>
      </c>
      <c r="DF86" s="3"/>
    </row>
    <row r="87" spans="1:110" customFormat="1">
      <c r="A87" s="15">
        <v>2035</v>
      </c>
      <c r="B87" s="18">
        <v>4136.143</v>
      </c>
      <c r="C87" s="18">
        <v>4167.1970000000001</v>
      </c>
      <c r="D87" s="18">
        <v>4188.6540000000005</v>
      </c>
      <c r="E87" s="18">
        <v>4201.57</v>
      </c>
      <c r="F87" s="18">
        <v>4207.0039999999999</v>
      </c>
      <c r="G87" s="18">
        <v>4206.0129999999999</v>
      </c>
      <c r="H87" s="18">
        <v>4199.6530000000002</v>
      </c>
      <c r="I87" s="18">
        <v>4188.9840000000004</v>
      </c>
      <c r="J87" s="18">
        <v>4175.0619999999999</v>
      </c>
      <c r="K87" s="18">
        <v>4158.9440000000004</v>
      </c>
      <c r="L87" s="18">
        <v>4142.326</v>
      </c>
      <c r="M87" s="18">
        <v>4126.9030000000002</v>
      </c>
      <c r="N87" s="18">
        <v>4110.5429999999997</v>
      </c>
      <c r="O87" s="18">
        <v>4093.0279999999998</v>
      </c>
      <c r="P87" s="18">
        <v>4077.328</v>
      </c>
      <c r="Q87" s="18">
        <v>4065.35</v>
      </c>
      <c r="R87" s="18">
        <v>4055.172</v>
      </c>
      <c r="S87" s="18">
        <v>4062.7460000000001</v>
      </c>
      <c r="T87" s="18">
        <v>4095.7280000000001</v>
      </c>
      <c r="U87" s="18">
        <v>4146.8739999999998</v>
      </c>
      <c r="V87" s="18">
        <v>4197.9219999999996</v>
      </c>
      <c r="W87" s="18">
        <v>4248.4859999999999</v>
      </c>
      <c r="X87" s="18">
        <v>4310.674</v>
      </c>
      <c r="Y87" s="18">
        <v>4387.3670000000002</v>
      </c>
      <c r="Z87" s="18">
        <v>4471.0339999999997</v>
      </c>
      <c r="AA87" s="18">
        <v>4554.2479999999996</v>
      </c>
      <c r="AB87" s="18">
        <v>4642.076</v>
      </c>
      <c r="AC87" s="18">
        <v>4701.4740000000002</v>
      </c>
      <c r="AD87" s="18">
        <v>4716.3689999999997</v>
      </c>
      <c r="AE87" s="18">
        <v>4702.4539999999997</v>
      </c>
      <c r="AF87" s="18">
        <v>4691.82</v>
      </c>
      <c r="AG87" s="18">
        <v>4678.4459999999999</v>
      </c>
      <c r="AH87" s="18">
        <v>4672.241</v>
      </c>
      <c r="AI87" s="18">
        <v>4681.5</v>
      </c>
      <c r="AJ87" s="18">
        <v>4701.2439999999997</v>
      </c>
      <c r="AK87" s="18">
        <v>4713.8980000000001</v>
      </c>
      <c r="AL87" s="18">
        <v>4717.8149999999996</v>
      </c>
      <c r="AM87" s="18">
        <v>4739.143</v>
      </c>
      <c r="AN87" s="18">
        <v>4787.473</v>
      </c>
      <c r="AO87" s="18">
        <v>4849.2420000000002</v>
      </c>
      <c r="AP87" s="18">
        <v>4903.8969999999999</v>
      </c>
      <c r="AQ87" s="18">
        <v>4958.6769999999997</v>
      </c>
      <c r="AR87" s="18">
        <v>4979.3739999999998</v>
      </c>
      <c r="AS87" s="18">
        <v>4947.8729999999996</v>
      </c>
      <c r="AT87" s="18">
        <v>4880.5959999999995</v>
      </c>
      <c r="AU87" s="18">
        <v>4813.1589999999997</v>
      </c>
      <c r="AV87" s="18">
        <v>4739.7340000000004</v>
      </c>
      <c r="AW87" s="18">
        <v>4663.6580000000004</v>
      </c>
      <c r="AX87" s="18">
        <v>4590.5919999999996</v>
      </c>
      <c r="AY87" s="18">
        <v>4518.5609999999997</v>
      </c>
      <c r="AZ87" s="18">
        <v>4441.2969999999996</v>
      </c>
      <c r="BA87" s="18">
        <v>4361.6989999999996</v>
      </c>
      <c r="BB87" s="18">
        <v>4280.9179999999997</v>
      </c>
      <c r="BC87" s="18">
        <v>4199.4530000000004</v>
      </c>
      <c r="BD87" s="18">
        <v>4119.2560000000003</v>
      </c>
      <c r="BE87" s="18">
        <v>4041.1489999999999</v>
      </c>
      <c r="BF87" s="18">
        <v>3964.2159999999999</v>
      </c>
      <c r="BG87" s="18">
        <v>3899.5279999999998</v>
      </c>
      <c r="BH87" s="18">
        <v>3852.4569999999999</v>
      </c>
      <c r="BI87" s="18">
        <v>3818.3719999999998</v>
      </c>
      <c r="BJ87" s="18">
        <v>3786.5639999999999</v>
      </c>
      <c r="BK87" s="18">
        <v>3758.3150000000001</v>
      </c>
      <c r="BL87" s="18">
        <v>3735.4279999999999</v>
      </c>
      <c r="BM87" s="18">
        <v>3717.4459999999999</v>
      </c>
      <c r="BN87" s="18">
        <v>3703.482</v>
      </c>
      <c r="BO87" s="18">
        <v>3689.7570000000001</v>
      </c>
      <c r="BP87" s="18">
        <v>3673.0140000000001</v>
      </c>
      <c r="BQ87" s="18">
        <v>3665.7689999999998</v>
      </c>
      <c r="BR87" s="18">
        <v>3672.5619999999999</v>
      </c>
      <c r="BS87" s="18">
        <v>3684.7930000000001</v>
      </c>
      <c r="BT87" s="18">
        <v>3689.3989999999999</v>
      </c>
      <c r="BU87" s="18">
        <v>3689.0889999999999</v>
      </c>
      <c r="BV87" s="18">
        <v>3666.018</v>
      </c>
      <c r="BW87" s="18">
        <v>3609.9850000000001</v>
      </c>
      <c r="BX87" s="18">
        <v>3527.9279999999999</v>
      </c>
      <c r="BY87" s="18">
        <v>3439.3620000000001</v>
      </c>
      <c r="BZ87" s="18">
        <v>3343.2449999999999</v>
      </c>
      <c r="CA87" s="18">
        <v>3224.7220000000002</v>
      </c>
      <c r="CB87" s="18">
        <v>3079.2750000000001</v>
      </c>
      <c r="CC87" s="18">
        <v>2913.8879999999999</v>
      </c>
      <c r="CD87" s="18">
        <v>2741.297</v>
      </c>
      <c r="CE87" s="18">
        <v>2560.4250000000002</v>
      </c>
      <c r="CF87" s="18">
        <v>2377.145</v>
      </c>
      <c r="CG87" s="18">
        <v>2196.1570000000002</v>
      </c>
      <c r="CH87" s="18">
        <v>2016.37</v>
      </c>
      <c r="CI87" s="18">
        <v>1834.7049999999999</v>
      </c>
      <c r="CJ87" s="18">
        <v>1655.029</v>
      </c>
      <c r="CK87" s="18">
        <v>1472.3040000000001</v>
      </c>
      <c r="CL87" s="18">
        <v>1284.7850000000001</v>
      </c>
      <c r="CM87" s="18">
        <v>1098.1500000000001</v>
      </c>
      <c r="CN87" s="18">
        <v>898.75900000000001</v>
      </c>
      <c r="CO87" s="18">
        <v>734.452</v>
      </c>
      <c r="CP87" s="18">
        <v>629.87199999999996</v>
      </c>
      <c r="CQ87" s="18">
        <v>504.84399999999999</v>
      </c>
      <c r="CR87" s="18">
        <v>359.36900000000003</v>
      </c>
      <c r="CS87" s="18">
        <v>271.09500000000003</v>
      </c>
      <c r="CT87" s="18">
        <v>234.95099999999999</v>
      </c>
      <c r="CU87" s="18">
        <v>192.65</v>
      </c>
      <c r="CV87" s="18">
        <v>144.19200000000001</v>
      </c>
      <c r="CW87" s="18">
        <v>89.575999999999993</v>
      </c>
      <c r="CX87" s="18">
        <v>180.215</v>
      </c>
      <c r="CY87" s="3">
        <f t="shared" si="11"/>
        <v>358690.99699999992</v>
      </c>
      <c r="DF87" s="3"/>
    </row>
    <row r="88" spans="1:110" customFormat="1">
      <c r="A88" s="15">
        <v>2036</v>
      </c>
      <c r="B88" s="18">
        <v>4142.2640000000001</v>
      </c>
      <c r="C88" s="18">
        <v>4151.3029999999999</v>
      </c>
      <c r="D88" s="18">
        <v>4176.8379999999997</v>
      </c>
      <c r="E88" s="18">
        <v>4194.3950000000004</v>
      </c>
      <c r="F88" s="18">
        <v>4204.8900000000003</v>
      </c>
      <c r="G88" s="18">
        <v>4209.241</v>
      </c>
      <c r="H88" s="18">
        <v>4208.3339999999998</v>
      </c>
      <c r="I88" s="18">
        <v>4203.0590000000002</v>
      </c>
      <c r="J88" s="18">
        <v>4194.4740000000002</v>
      </c>
      <c r="K88" s="18">
        <v>4183.5529999999999</v>
      </c>
      <c r="L88" s="18">
        <v>4171.1279999999997</v>
      </c>
      <c r="M88" s="18">
        <v>4158.5940000000001</v>
      </c>
      <c r="N88" s="18">
        <v>4147.5219999999999</v>
      </c>
      <c r="O88" s="18">
        <v>4135.5739999999996</v>
      </c>
      <c r="P88" s="18">
        <v>4122.3379999999997</v>
      </c>
      <c r="Q88" s="18">
        <v>4110.6530000000002</v>
      </c>
      <c r="R88" s="18">
        <v>4102.6009999999997</v>
      </c>
      <c r="S88" s="18">
        <v>4096.3590000000004</v>
      </c>
      <c r="T88" s="18">
        <v>4106.3739999999998</v>
      </c>
      <c r="U88" s="18">
        <v>4139.6059999999998</v>
      </c>
      <c r="V88" s="18">
        <v>4189.4620000000004</v>
      </c>
      <c r="W88" s="18">
        <v>4239.0889999999999</v>
      </c>
      <c r="X88" s="18">
        <v>4287.9049999999997</v>
      </c>
      <c r="Y88" s="18">
        <v>4348.0569999999998</v>
      </c>
      <c r="Z88" s="18">
        <v>4422.6120000000001</v>
      </c>
      <c r="AA88" s="18">
        <v>4504.0349999999999</v>
      </c>
      <c r="AB88" s="18">
        <v>4584.7120000000004</v>
      </c>
      <c r="AC88" s="18">
        <v>4669.7529999999997</v>
      </c>
      <c r="AD88" s="18">
        <v>4726.5680000000002</v>
      </c>
      <c r="AE88" s="18">
        <v>4739.2939999999999</v>
      </c>
      <c r="AF88" s="18">
        <v>4723.491</v>
      </c>
      <c r="AG88" s="18">
        <v>4710.8950000000004</v>
      </c>
      <c r="AH88" s="18">
        <v>4695.5410000000002</v>
      </c>
      <c r="AI88" s="18">
        <v>4687.4960000000001</v>
      </c>
      <c r="AJ88" s="18">
        <v>4695.0950000000003</v>
      </c>
      <c r="AK88" s="18">
        <v>4713.3130000000001</v>
      </c>
      <c r="AL88" s="18">
        <v>4724.4790000000003</v>
      </c>
      <c r="AM88" s="18">
        <v>4726.96</v>
      </c>
      <c r="AN88" s="18">
        <v>4746.8710000000001</v>
      </c>
      <c r="AO88" s="18">
        <v>4793.7780000000002</v>
      </c>
      <c r="AP88" s="18">
        <v>4854.1260000000002</v>
      </c>
      <c r="AQ88" s="18">
        <v>4907.3909999999996</v>
      </c>
      <c r="AR88" s="18">
        <v>4960.8010000000004</v>
      </c>
      <c r="AS88" s="18">
        <v>4980.13</v>
      </c>
      <c r="AT88" s="18">
        <v>4947.2550000000001</v>
      </c>
      <c r="AU88" s="18">
        <v>4878.5950000000003</v>
      </c>
      <c r="AV88" s="18">
        <v>4809.7749999999996</v>
      </c>
      <c r="AW88" s="18">
        <v>4734.9709999999995</v>
      </c>
      <c r="AX88" s="18">
        <v>4657.4639999999999</v>
      </c>
      <c r="AY88" s="18">
        <v>4582.8919999999998</v>
      </c>
      <c r="AZ88" s="18">
        <v>4509.3029999999999</v>
      </c>
      <c r="BA88" s="18">
        <v>4430.4650000000001</v>
      </c>
      <c r="BB88" s="18">
        <v>4349.2529999999997</v>
      </c>
      <c r="BC88" s="18">
        <v>4266.9030000000002</v>
      </c>
      <c r="BD88" s="18">
        <v>4183.9520000000002</v>
      </c>
      <c r="BE88" s="18">
        <v>4102.3019999999997</v>
      </c>
      <c r="BF88" s="18">
        <v>4022.6619999999998</v>
      </c>
      <c r="BG88" s="18">
        <v>3944.1019999999999</v>
      </c>
      <c r="BH88" s="18">
        <v>3877.779</v>
      </c>
      <c r="BI88" s="18">
        <v>3829.0770000000002</v>
      </c>
      <c r="BJ88" s="18">
        <v>3793.3119999999999</v>
      </c>
      <c r="BK88" s="18">
        <v>3759.654</v>
      </c>
      <c r="BL88" s="18">
        <v>3729.3629999999998</v>
      </c>
      <c r="BM88" s="18">
        <v>3704.2820000000002</v>
      </c>
      <c r="BN88" s="18">
        <v>3683.9470000000001</v>
      </c>
      <c r="BO88" s="18">
        <v>3667.41</v>
      </c>
      <c r="BP88" s="18">
        <v>3650.877</v>
      </c>
      <c r="BQ88" s="18">
        <v>3631.14</v>
      </c>
      <c r="BR88" s="18">
        <v>3620.299</v>
      </c>
      <c r="BS88" s="18">
        <v>3622.701</v>
      </c>
      <c r="BT88" s="18">
        <v>3629.9360000000001</v>
      </c>
      <c r="BU88" s="18">
        <v>3629.4409999999998</v>
      </c>
      <c r="BV88" s="18">
        <v>3623.9580000000001</v>
      </c>
      <c r="BW88" s="18">
        <v>3595.241</v>
      </c>
      <c r="BX88" s="18">
        <v>3532.9830000000002</v>
      </c>
      <c r="BY88" s="18">
        <v>3444.3760000000002</v>
      </c>
      <c r="BZ88" s="18">
        <v>3349.4349999999999</v>
      </c>
      <c r="CA88" s="18">
        <v>3247.1860000000001</v>
      </c>
      <c r="CB88" s="18">
        <v>3122.6669999999999</v>
      </c>
      <c r="CC88" s="18">
        <v>2971.4140000000002</v>
      </c>
      <c r="CD88" s="18">
        <v>2800.6080000000002</v>
      </c>
      <c r="CE88" s="18">
        <v>2623.2550000000001</v>
      </c>
      <c r="CF88" s="18">
        <v>2438.3780000000002</v>
      </c>
      <c r="CG88" s="18">
        <v>2252.0140000000001</v>
      </c>
      <c r="CH88" s="18">
        <v>2069.0250000000001</v>
      </c>
      <c r="CI88" s="18">
        <v>1888.425</v>
      </c>
      <c r="CJ88" s="18">
        <v>1703.3620000000001</v>
      </c>
      <c r="CK88" s="18">
        <v>1529.5730000000001</v>
      </c>
      <c r="CL88" s="18">
        <v>1357.32</v>
      </c>
      <c r="CM88" s="18">
        <v>1172.412</v>
      </c>
      <c r="CN88" s="18">
        <v>979.39200000000005</v>
      </c>
      <c r="CO88" s="18">
        <v>791.83799999999997</v>
      </c>
      <c r="CP88" s="18">
        <v>650.529</v>
      </c>
      <c r="CQ88" s="18">
        <v>555.31899999999996</v>
      </c>
      <c r="CR88" s="18">
        <v>442.03199999999998</v>
      </c>
      <c r="CS88" s="18">
        <v>310.67</v>
      </c>
      <c r="CT88" s="18">
        <v>247.33699999999999</v>
      </c>
      <c r="CU88" s="18">
        <v>202.43899999999999</v>
      </c>
      <c r="CV88" s="18">
        <v>151.12299999999999</v>
      </c>
      <c r="CW88" s="18">
        <v>93.388999999999996</v>
      </c>
      <c r="CX88" s="18">
        <v>186.09399999999999</v>
      </c>
      <c r="CY88" s="3">
        <f t="shared" si="11"/>
        <v>360371.85999999993</v>
      </c>
      <c r="DF88" s="3"/>
    </row>
    <row r="89" spans="1:110" customFormat="1">
      <c r="A89" s="15">
        <v>2037</v>
      </c>
      <c r="B89" s="18">
        <v>4147.5280000000002</v>
      </c>
      <c r="C89" s="18">
        <v>4171.1390000000001</v>
      </c>
      <c r="D89" s="18">
        <v>4165.2910000000002</v>
      </c>
      <c r="E89" s="18">
        <v>4185.2960000000003</v>
      </c>
      <c r="F89" s="18">
        <v>4198.9449999999997</v>
      </c>
      <c r="G89" s="18">
        <v>4207.0140000000001</v>
      </c>
      <c r="H89" s="18">
        <v>4210.2780000000002</v>
      </c>
      <c r="I89" s="18">
        <v>4209.4560000000001</v>
      </c>
      <c r="J89" s="18">
        <v>4205.2690000000002</v>
      </c>
      <c r="K89" s="18">
        <v>4198.7730000000001</v>
      </c>
      <c r="L89" s="18">
        <v>4190.8580000000002</v>
      </c>
      <c r="M89" s="18">
        <v>4182.13</v>
      </c>
      <c r="N89" s="18">
        <v>4173.6899999999996</v>
      </c>
      <c r="O89" s="18">
        <v>4166.9740000000002</v>
      </c>
      <c r="P89" s="18">
        <v>4159.4449999999997</v>
      </c>
      <c r="Q89" s="18">
        <v>4150.4949999999999</v>
      </c>
      <c r="R89" s="18">
        <v>4142.8320000000003</v>
      </c>
      <c r="S89" s="18">
        <v>4138.7120000000004</v>
      </c>
      <c r="T89" s="18">
        <v>4136.41</v>
      </c>
      <c r="U89" s="18">
        <v>4148.8630000000003</v>
      </c>
      <c r="V89" s="18">
        <v>4182.3370000000004</v>
      </c>
      <c r="W89" s="18">
        <v>4230.8879999999999</v>
      </c>
      <c r="X89" s="18">
        <v>4279.0780000000004</v>
      </c>
      <c r="Y89" s="18">
        <v>4326.1319999999996</v>
      </c>
      <c r="Z89" s="18">
        <v>4384.2280000000001</v>
      </c>
      <c r="AA89" s="18">
        <v>4456.6220000000003</v>
      </c>
      <c r="AB89" s="18">
        <v>4535.7759999999998</v>
      </c>
      <c r="AC89" s="18">
        <v>4613.8909999999996</v>
      </c>
      <c r="AD89" s="18">
        <v>4696.12</v>
      </c>
      <c r="AE89" s="18">
        <v>4750.3320000000003</v>
      </c>
      <c r="AF89" s="18">
        <v>4760.884</v>
      </c>
      <c r="AG89" s="18">
        <v>4743.1970000000001</v>
      </c>
      <c r="AH89" s="18">
        <v>4728.6400000000003</v>
      </c>
      <c r="AI89" s="18">
        <v>4711.308</v>
      </c>
      <c r="AJ89" s="18">
        <v>4701.4229999999998</v>
      </c>
      <c r="AK89" s="18">
        <v>4707.3590000000004</v>
      </c>
      <c r="AL89" s="18">
        <v>4724.0429999999997</v>
      </c>
      <c r="AM89" s="18">
        <v>4733.7179999999998</v>
      </c>
      <c r="AN89" s="18">
        <v>4734.7610000000004</v>
      </c>
      <c r="AO89" s="18">
        <v>4753.2489999999998</v>
      </c>
      <c r="AP89" s="18">
        <v>4798.7190000000001</v>
      </c>
      <c r="AQ89" s="18">
        <v>4857.6270000000004</v>
      </c>
      <c r="AR89" s="18">
        <v>4909.4859999999999</v>
      </c>
      <c r="AS89" s="18">
        <v>4961.51</v>
      </c>
      <c r="AT89" s="18">
        <v>4979.4639999999999</v>
      </c>
      <c r="AU89" s="18">
        <v>4945.2240000000002</v>
      </c>
      <c r="AV89" s="18">
        <v>4875.1989999999996</v>
      </c>
      <c r="AW89" s="18">
        <v>4805.0150000000003</v>
      </c>
      <c r="AX89" s="18">
        <v>4728.8509999999997</v>
      </c>
      <c r="AY89" s="18">
        <v>4649.9350000000004</v>
      </c>
      <c r="AZ89" s="18">
        <v>4573.8770000000004</v>
      </c>
      <c r="BA89" s="18">
        <v>4498.75</v>
      </c>
      <c r="BB89" s="18">
        <v>4418.3580000000002</v>
      </c>
      <c r="BC89" s="18">
        <v>4335.5550000000003</v>
      </c>
      <c r="BD89" s="18">
        <v>4251.6559999999999</v>
      </c>
      <c r="BE89" s="18">
        <v>4167.241</v>
      </c>
      <c r="BF89" s="18">
        <v>4084.1610000000001</v>
      </c>
      <c r="BG89" s="18">
        <v>4003.009</v>
      </c>
      <c r="BH89" s="18">
        <v>3922.8440000000001</v>
      </c>
      <c r="BI89" s="18">
        <v>3854.902</v>
      </c>
      <c r="BJ89" s="18">
        <v>3804.5839999999998</v>
      </c>
      <c r="BK89" s="18">
        <v>3767.1460000000002</v>
      </c>
      <c r="BL89" s="18">
        <v>3731.6460000000002</v>
      </c>
      <c r="BM89" s="18">
        <v>3699.319</v>
      </c>
      <c r="BN89" s="18">
        <v>3672.049</v>
      </c>
      <c r="BO89" s="18">
        <v>3649.3649999999998</v>
      </c>
      <c r="BP89" s="18">
        <v>3630.2579999999998</v>
      </c>
      <c r="BQ89" s="18">
        <v>3610.92</v>
      </c>
      <c r="BR89" s="18">
        <v>3588.1930000000002</v>
      </c>
      <c r="BS89" s="18">
        <v>3573.7559999999999</v>
      </c>
      <c r="BT89" s="18">
        <v>3571.761</v>
      </c>
      <c r="BU89" s="18">
        <v>3573.9949999999999</v>
      </c>
      <c r="BV89" s="18">
        <v>3568.395</v>
      </c>
      <c r="BW89" s="18">
        <v>3557.7359999999999</v>
      </c>
      <c r="BX89" s="18">
        <v>3523.375</v>
      </c>
      <c r="BY89" s="18">
        <v>3454.9050000000002</v>
      </c>
      <c r="BZ89" s="18">
        <v>3359.7660000000001</v>
      </c>
      <c r="CA89" s="18">
        <v>3258.473</v>
      </c>
      <c r="CB89" s="18">
        <v>3150.114</v>
      </c>
      <c r="CC89" s="18">
        <v>3019.6309999999999</v>
      </c>
      <c r="CD89" s="18">
        <v>2862.61</v>
      </c>
      <c r="CE89" s="18">
        <v>2686.4279999999999</v>
      </c>
      <c r="CF89" s="18">
        <v>2504.3589999999999</v>
      </c>
      <c r="CG89" s="18">
        <v>2315.5279999999998</v>
      </c>
      <c r="CH89" s="18">
        <v>2126.1320000000001</v>
      </c>
      <c r="CI89" s="18">
        <v>1941.191</v>
      </c>
      <c r="CJ89" s="18">
        <v>1759.829</v>
      </c>
      <c r="CK89" s="18">
        <v>1571.4190000000001</v>
      </c>
      <c r="CL89" s="18">
        <v>1403.569</v>
      </c>
      <c r="CM89" s="18">
        <v>1241.8489999999999</v>
      </c>
      <c r="CN89" s="18">
        <v>1059.605</v>
      </c>
      <c r="CO89" s="18">
        <v>860.25</v>
      </c>
      <c r="CP89" s="18">
        <v>684.596</v>
      </c>
      <c r="CQ89" s="18">
        <v>566.34500000000003</v>
      </c>
      <c r="CR89" s="18">
        <v>480.541</v>
      </c>
      <c r="CS89" s="18">
        <v>379.03899999999999</v>
      </c>
      <c r="CT89" s="18">
        <v>261.839</v>
      </c>
      <c r="CU89" s="18">
        <v>212.96</v>
      </c>
      <c r="CV89" s="18">
        <v>158.60900000000001</v>
      </c>
      <c r="CW89" s="18">
        <v>97.623999999999995</v>
      </c>
      <c r="CX89" s="18">
        <v>193.14400000000001</v>
      </c>
      <c r="CY89" s="3">
        <f t="shared" si="11"/>
        <v>361997.61999999994</v>
      </c>
      <c r="DF89" s="3"/>
    </row>
    <row r="90" spans="1:110" customFormat="1">
      <c r="A90" s="15">
        <v>2038</v>
      </c>
      <c r="B90" s="18">
        <v>4151.1220000000003</v>
      </c>
      <c r="C90" s="18">
        <v>4171.2950000000001</v>
      </c>
      <c r="D90" s="18">
        <v>4186.7060000000001</v>
      </c>
      <c r="E90" s="18">
        <v>4178.183</v>
      </c>
      <c r="F90" s="18">
        <v>4192.6509999999998</v>
      </c>
      <c r="G90" s="18">
        <v>4202.3879999999999</v>
      </c>
      <c r="H90" s="18">
        <v>4208.027</v>
      </c>
      <c r="I90" s="18">
        <v>4210.2039999999997</v>
      </c>
      <c r="J90" s="18">
        <v>4209.4679999999998</v>
      </c>
      <c r="K90" s="18">
        <v>4206.3680000000004</v>
      </c>
      <c r="L90" s="18">
        <v>4201.9639999999999</v>
      </c>
      <c r="M90" s="18">
        <v>4197.058</v>
      </c>
      <c r="N90" s="18">
        <v>4192.0320000000002</v>
      </c>
      <c r="O90" s="18">
        <v>4187.6859999999997</v>
      </c>
      <c r="P90" s="18">
        <v>4185.3310000000001</v>
      </c>
      <c r="Q90" s="18">
        <v>4182.2240000000002</v>
      </c>
      <c r="R90" s="18">
        <v>4177.5630000000001</v>
      </c>
      <c r="S90" s="18">
        <v>4173.9250000000002</v>
      </c>
      <c r="T90" s="18">
        <v>4173.7380000000003</v>
      </c>
      <c r="U90" s="18">
        <v>4175.3789999999999</v>
      </c>
      <c r="V90" s="18">
        <v>4190.2669999999998</v>
      </c>
      <c r="W90" s="18">
        <v>4223.9750000000004</v>
      </c>
      <c r="X90" s="18">
        <v>4271.2049999999999</v>
      </c>
      <c r="Y90" s="18">
        <v>4317.9459999999999</v>
      </c>
      <c r="Z90" s="18">
        <v>4363.2259999999997</v>
      </c>
      <c r="AA90" s="18">
        <v>4419.25</v>
      </c>
      <c r="AB90" s="18">
        <v>4489.4629999999997</v>
      </c>
      <c r="AC90" s="18">
        <v>4566.3270000000002</v>
      </c>
      <c r="AD90" s="18">
        <v>4641.8580000000002</v>
      </c>
      <c r="AE90" s="18">
        <v>4721.25</v>
      </c>
      <c r="AF90" s="18">
        <v>4772.8469999999998</v>
      </c>
      <c r="AG90" s="18">
        <v>4781.2219999999998</v>
      </c>
      <c r="AH90" s="18">
        <v>4761.6530000000002</v>
      </c>
      <c r="AI90" s="18">
        <v>4745.1409999999996</v>
      </c>
      <c r="AJ90" s="18">
        <v>4725.8329999999996</v>
      </c>
      <c r="AK90" s="18">
        <v>4714.1120000000001</v>
      </c>
      <c r="AL90" s="18">
        <v>4718.3829999999998</v>
      </c>
      <c r="AM90" s="18">
        <v>4733.5280000000002</v>
      </c>
      <c r="AN90" s="18">
        <v>4741.7079999999996</v>
      </c>
      <c r="AO90" s="18">
        <v>4741.3119999999999</v>
      </c>
      <c r="AP90" s="18">
        <v>4758.3720000000003</v>
      </c>
      <c r="AQ90" s="18">
        <v>4802.3919999999998</v>
      </c>
      <c r="AR90" s="18">
        <v>4859.8450000000003</v>
      </c>
      <c r="AS90" s="18">
        <v>4910.2860000000001</v>
      </c>
      <c r="AT90" s="18">
        <v>4960.9070000000002</v>
      </c>
      <c r="AU90" s="18">
        <v>4977.482</v>
      </c>
      <c r="AV90" s="18">
        <v>4941.8850000000002</v>
      </c>
      <c r="AW90" s="18">
        <v>4870.5150000000003</v>
      </c>
      <c r="AX90" s="18">
        <v>4798.9840000000004</v>
      </c>
      <c r="AY90" s="18">
        <v>4721.4799999999996</v>
      </c>
      <c r="AZ90" s="18">
        <v>4641.174</v>
      </c>
      <c r="BA90" s="18">
        <v>4563.6499999999996</v>
      </c>
      <c r="BB90" s="18">
        <v>4487.0029999999997</v>
      </c>
      <c r="BC90" s="18">
        <v>4405.08</v>
      </c>
      <c r="BD90" s="18">
        <v>4320.7049999999999</v>
      </c>
      <c r="BE90" s="18">
        <v>4235.2809999999999</v>
      </c>
      <c r="BF90" s="18">
        <v>4149.4219999999996</v>
      </c>
      <c r="BG90" s="18">
        <v>4064.933</v>
      </c>
      <c r="BH90" s="18">
        <v>3982.29</v>
      </c>
      <c r="BI90" s="18">
        <v>3900.5410000000002</v>
      </c>
      <c r="BJ90" s="18">
        <v>3830.9969999999998</v>
      </c>
      <c r="BK90" s="18">
        <v>3779.0749999999998</v>
      </c>
      <c r="BL90" s="18">
        <v>3739.973</v>
      </c>
      <c r="BM90" s="18">
        <v>3702.64</v>
      </c>
      <c r="BN90" s="18">
        <v>3668.2849999999999</v>
      </c>
      <c r="BO90" s="18">
        <v>3638.8330000000001</v>
      </c>
      <c r="BP90" s="18">
        <v>3613.806</v>
      </c>
      <c r="BQ90" s="18">
        <v>3592.1329999999998</v>
      </c>
      <c r="BR90" s="18">
        <v>3569.9949999999999</v>
      </c>
      <c r="BS90" s="18">
        <v>3544.2829999999999</v>
      </c>
      <c r="BT90" s="18">
        <v>3526.252</v>
      </c>
      <c r="BU90" s="18">
        <v>3519.86</v>
      </c>
      <c r="BV90" s="18">
        <v>3517.09</v>
      </c>
      <c r="BW90" s="18">
        <v>3506.3850000000002</v>
      </c>
      <c r="BX90" s="18">
        <v>3490.55</v>
      </c>
      <c r="BY90" s="18">
        <v>3450.5540000000001</v>
      </c>
      <c r="BZ90" s="18">
        <v>3375.8850000000002</v>
      </c>
      <c r="CA90" s="18">
        <v>3274.24</v>
      </c>
      <c r="CB90" s="18">
        <v>3166.6179999999999</v>
      </c>
      <c r="CC90" s="18">
        <v>3052.1770000000001</v>
      </c>
      <c r="CD90" s="18">
        <v>2915.761</v>
      </c>
      <c r="CE90" s="18">
        <v>2753.0129999999999</v>
      </c>
      <c r="CF90" s="18">
        <v>2571.5010000000002</v>
      </c>
      <c r="CG90" s="18">
        <v>2384.7640000000001</v>
      </c>
      <c r="CH90" s="18">
        <v>2192.0250000000001</v>
      </c>
      <c r="CI90" s="18">
        <v>1999.646</v>
      </c>
      <c r="CJ90" s="18">
        <v>1812.8019999999999</v>
      </c>
      <c r="CK90" s="18">
        <v>1630.7249999999999</v>
      </c>
      <c r="CL90" s="18">
        <v>1439.018</v>
      </c>
      <c r="CM90" s="18">
        <v>1277.1559999999999</v>
      </c>
      <c r="CN90" s="18">
        <v>1126.0119999999999</v>
      </c>
      <c r="CO90" s="18">
        <v>946.48400000000004</v>
      </c>
      <c r="CP90" s="18">
        <v>740.84500000000003</v>
      </c>
      <c r="CQ90" s="18">
        <v>577.14099999999996</v>
      </c>
      <c r="CR90" s="18">
        <v>481.98599999999999</v>
      </c>
      <c r="CS90" s="18">
        <v>405.613</v>
      </c>
      <c r="CT90" s="18">
        <v>315.92599999999999</v>
      </c>
      <c r="CU90" s="18">
        <v>212.92500000000001</v>
      </c>
      <c r="CV90" s="18">
        <v>167.12700000000001</v>
      </c>
      <c r="CW90" s="18">
        <v>102.483</v>
      </c>
      <c r="CX90" s="18">
        <v>201.36799999999999</v>
      </c>
      <c r="CY90" s="3">
        <f t="shared" si="11"/>
        <v>363569.99699999986</v>
      </c>
      <c r="DF90" s="3"/>
    </row>
    <row r="91" spans="1:110" customFormat="1">
      <c r="A91" s="15">
        <v>2039</v>
      </c>
      <c r="B91" s="18">
        <v>4151.9639999999999</v>
      </c>
      <c r="C91" s="18">
        <v>4169.5240000000003</v>
      </c>
      <c r="D91" s="18">
        <v>4183.2629999999999</v>
      </c>
      <c r="E91" s="18">
        <v>4193.5659999999998</v>
      </c>
      <c r="F91" s="18">
        <v>4190.0339999999997</v>
      </c>
      <c r="G91" s="18">
        <v>4198.9639999999999</v>
      </c>
      <c r="H91" s="18">
        <v>4204.7860000000001</v>
      </c>
      <c r="I91" s="18">
        <v>4207.9970000000003</v>
      </c>
      <c r="J91" s="18">
        <v>4209.085</v>
      </c>
      <c r="K91" s="18">
        <v>4208.4350000000004</v>
      </c>
      <c r="L91" s="18">
        <v>4206.424</v>
      </c>
      <c r="M91" s="18">
        <v>4204.1120000000001</v>
      </c>
      <c r="N91" s="18">
        <v>4202.2160000000003</v>
      </c>
      <c r="O91" s="18">
        <v>4200.8900000000003</v>
      </c>
      <c r="P91" s="18">
        <v>4200.6400000000003</v>
      </c>
      <c r="Q91" s="18">
        <v>4202.6450000000004</v>
      </c>
      <c r="R91" s="18">
        <v>4203.9579999999996</v>
      </c>
      <c r="S91" s="18">
        <v>4203.5870000000004</v>
      </c>
      <c r="T91" s="18">
        <v>4203.9719999999998</v>
      </c>
      <c r="U91" s="18">
        <v>4207.7179999999998</v>
      </c>
      <c r="V91" s="18">
        <v>4213.3</v>
      </c>
      <c r="W91" s="18">
        <v>4230.6189999999997</v>
      </c>
      <c r="X91" s="18">
        <v>4264.5519999999997</v>
      </c>
      <c r="Y91" s="18">
        <v>4310.4520000000002</v>
      </c>
      <c r="Z91" s="18">
        <v>4355.732</v>
      </c>
      <c r="AA91" s="18">
        <v>4399.2259999999997</v>
      </c>
      <c r="AB91" s="18">
        <v>4453.1639999999998</v>
      </c>
      <c r="AC91" s="18">
        <v>4521.1790000000001</v>
      </c>
      <c r="AD91" s="18">
        <v>4595.7340000000004</v>
      </c>
      <c r="AE91" s="18">
        <v>4668.6639999999998</v>
      </c>
      <c r="AF91" s="18">
        <v>4745.201</v>
      </c>
      <c r="AG91" s="18">
        <v>4794.1689999999999</v>
      </c>
      <c r="AH91" s="18">
        <v>4800.3639999999996</v>
      </c>
      <c r="AI91" s="18">
        <v>4778.92</v>
      </c>
      <c r="AJ91" s="18">
        <v>4760.4560000000001</v>
      </c>
      <c r="AK91" s="18">
        <v>4739.1790000000001</v>
      </c>
      <c r="AL91" s="18">
        <v>4725.6239999999998</v>
      </c>
      <c r="AM91" s="18">
        <v>4728.2290000000003</v>
      </c>
      <c r="AN91" s="18">
        <v>4741.8320000000003</v>
      </c>
      <c r="AO91" s="18">
        <v>4748.5159999999996</v>
      </c>
      <c r="AP91" s="18">
        <v>4746.68</v>
      </c>
      <c r="AQ91" s="18">
        <v>4762.308</v>
      </c>
      <c r="AR91" s="18">
        <v>4804.87</v>
      </c>
      <c r="AS91" s="18">
        <v>4860.8540000000003</v>
      </c>
      <c r="AT91" s="18">
        <v>4909.8620000000001</v>
      </c>
      <c r="AU91" s="18">
        <v>4959.0709999999999</v>
      </c>
      <c r="AV91" s="18">
        <v>4974.2619999999997</v>
      </c>
      <c r="AW91" s="18">
        <v>4937.3180000000002</v>
      </c>
      <c r="AX91" s="18">
        <v>4864.62</v>
      </c>
      <c r="AY91" s="18">
        <v>4791.76</v>
      </c>
      <c r="AZ91" s="18">
        <v>4712.9359999999997</v>
      </c>
      <c r="BA91" s="18">
        <v>4631.2610000000004</v>
      </c>
      <c r="BB91" s="18">
        <v>4552.2889999999998</v>
      </c>
      <c r="BC91" s="18">
        <v>4474.143</v>
      </c>
      <c r="BD91" s="18">
        <v>4390.7060000000001</v>
      </c>
      <c r="BE91" s="18">
        <v>4304.7830000000004</v>
      </c>
      <c r="BF91" s="18">
        <v>4217.8530000000001</v>
      </c>
      <c r="BG91" s="18">
        <v>4130.5720000000001</v>
      </c>
      <c r="BH91" s="18">
        <v>4044.6959999999999</v>
      </c>
      <c r="BI91" s="18">
        <v>3960.5819999999999</v>
      </c>
      <c r="BJ91" s="18">
        <v>3877.2689999999998</v>
      </c>
      <c r="BK91" s="18">
        <v>3806.1410000000001</v>
      </c>
      <c r="BL91" s="18">
        <v>3752.627</v>
      </c>
      <c r="BM91" s="18">
        <v>3711.873</v>
      </c>
      <c r="BN91" s="18">
        <v>3672.7159999999999</v>
      </c>
      <c r="BO91" s="18">
        <v>3636.3420000000001</v>
      </c>
      <c r="BP91" s="18">
        <v>3604.7139999999999</v>
      </c>
      <c r="BQ91" s="18">
        <v>3577.35</v>
      </c>
      <c r="BR91" s="18">
        <v>3553.1190000000001</v>
      </c>
      <c r="BS91" s="18">
        <v>3528.1869999999999</v>
      </c>
      <c r="BT91" s="18">
        <v>3499.4960000000001</v>
      </c>
      <c r="BU91" s="18">
        <v>3477.877</v>
      </c>
      <c r="BV91" s="18">
        <v>3467.09</v>
      </c>
      <c r="BW91" s="18">
        <v>3459.3180000000002</v>
      </c>
      <c r="BX91" s="18">
        <v>3443.511</v>
      </c>
      <c r="BY91" s="18">
        <v>3422.5059999999999</v>
      </c>
      <c r="BZ91" s="18">
        <v>3376.884</v>
      </c>
      <c r="CA91" s="18">
        <v>3296.038</v>
      </c>
      <c r="CB91" s="18">
        <v>3187.9110000000001</v>
      </c>
      <c r="CC91" s="18">
        <v>3073.9879999999998</v>
      </c>
      <c r="CD91" s="18">
        <v>2953.4949999999999</v>
      </c>
      <c r="CE91" s="18">
        <v>2811.181</v>
      </c>
      <c r="CF91" s="18">
        <v>2642.7460000000001</v>
      </c>
      <c r="CG91" s="18">
        <v>2455.9499999999998</v>
      </c>
      <c r="CH91" s="18">
        <v>2264.5920000000001</v>
      </c>
      <c r="CI91" s="18">
        <v>2067.9969999999998</v>
      </c>
      <c r="CJ91" s="18">
        <v>1872.683</v>
      </c>
      <c r="CK91" s="18">
        <v>1683.9849999999999</v>
      </c>
      <c r="CL91" s="18">
        <v>1501.241</v>
      </c>
      <c r="CM91" s="18">
        <v>1306.2840000000001</v>
      </c>
      <c r="CN91" s="18">
        <v>1150.4469999999999</v>
      </c>
      <c r="CO91" s="18">
        <v>1009.9160000000001</v>
      </c>
      <c r="CP91" s="18">
        <v>833.149</v>
      </c>
      <c r="CQ91" s="18">
        <v>621.28200000000004</v>
      </c>
      <c r="CR91" s="18">
        <v>469.565</v>
      </c>
      <c r="CS91" s="18">
        <v>397.52499999999998</v>
      </c>
      <c r="CT91" s="18">
        <v>330.6</v>
      </c>
      <c r="CU91" s="18">
        <v>252.74799999999999</v>
      </c>
      <c r="CV91" s="18">
        <v>163.96600000000001</v>
      </c>
      <c r="CW91" s="18">
        <v>108.22499999999999</v>
      </c>
      <c r="CX91" s="18">
        <v>210.684</v>
      </c>
      <c r="CY91" s="3">
        <f t="shared" si="11"/>
        <v>365093.53599999991</v>
      </c>
      <c r="DF91" s="3"/>
    </row>
    <row r="92" spans="1:110" customFormat="1">
      <c r="A92" s="15">
        <v>2040</v>
      </c>
      <c r="B92" s="18">
        <v>4149.3050000000003</v>
      </c>
      <c r="C92" s="18">
        <v>4165.38</v>
      </c>
      <c r="D92" s="18">
        <v>4178.2160000000003</v>
      </c>
      <c r="E92" s="18">
        <v>4188.1629999999996</v>
      </c>
      <c r="F92" s="18">
        <v>4195.5730000000003</v>
      </c>
      <c r="G92" s="18">
        <v>4200.799</v>
      </c>
      <c r="H92" s="18">
        <v>4204.1909999999998</v>
      </c>
      <c r="I92" s="18">
        <v>4206.1019999999999</v>
      </c>
      <c r="J92" s="18">
        <v>4206.8829999999998</v>
      </c>
      <c r="K92" s="18">
        <v>4206.8850000000002</v>
      </c>
      <c r="L92" s="18">
        <v>4206.32</v>
      </c>
      <c r="M92" s="18">
        <v>4205.3980000000001</v>
      </c>
      <c r="N92" s="18">
        <v>4205.1760000000004</v>
      </c>
      <c r="O92" s="18">
        <v>4206.2870000000003</v>
      </c>
      <c r="P92" s="18">
        <v>4208.6610000000001</v>
      </c>
      <c r="Q92" s="18">
        <v>4212.5020000000004</v>
      </c>
      <c r="R92" s="18">
        <v>4218.8620000000001</v>
      </c>
      <c r="S92" s="18">
        <v>4224.5929999999998</v>
      </c>
      <c r="T92" s="18">
        <v>4228.5079999999998</v>
      </c>
      <c r="U92" s="18">
        <v>4232.9139999999998</v>
      </c>
      <c r="V92" s="18">
        <v>4240.5879999999997</v>
      </c>
      <c r="W92" s="18">
        <v>4250.1049999999996</v>
      </c>
      <c r="X92" s="18">
        <v>4269.8490000000002</v>
      </c>
      <c r="Y92" s="18">
        <v>4303.9970000000003</v>
      </c>
      <c r="Z92" s="18">
        <v>4348.5559999999996</v>
      </c>
      <c r="AA92" s="18">
        <v>4392.3639999999996</v>
      </c>
      <c r="AB92" s="18">
        <v>4434.0619999999999</v>
      </c>
      <c r="AC92" s="18">
        <v>4485.9030000000002</v>
      </c>
      <c r="AD92" s="18">
        <v>4551.7039999999997</v>
      </c>
      <c r="AE92" s="18">
        <v>4623.933</v>
      </c>
      <c r="AF92" s="18">
        <v>4694.2449999999999</v>
      </c>
      <c r="AG92" s="18">
        <v>4767.9080000000004</v>
      </c>
      <c r="AH92" s="18">
        <v>4814.2370000000001</v>
      </c>
      <c r="AI92" s="18">
        <v>4818.2529999999997</v>
      </c>
      <c r="AJ92" s="18">
        <v>4794.9399999999996</v>
      </c>
      <c r="AK92" s="18">
        <v>4774.5290000000005</v>
      </c>
      <c r="AL92" s="18">
        <v>4751.2920000000004</v>
      </c>
      <c r="AM92" s="18">
        <v>4735.9080000000004</v>
      </c>
      <c r="AN92" s="18">
        <v>4736.8469999999998</v>
      </c>
      <c r="AO92" s="18">
        <v>4748.9070000000002</v>
      </c>
      <c r="AP92" s="18">
        <v>4754.0919999999996</v>
      </c>
      <c r="AQ92" s="18">
        <v>4750.82</v>
      </c>
      <c r="AR92" s="18">
        <v>4765.0119999999997</v>
      </c>
      <c r="AS92" s="18">
        <v>4806.1040000000003</v>
      </c>
      <c r="AT92" s="18">
        <v>4860.607</v>
      </c>
      <c r="AU92" s="18">
        <v>4908.1719999999996</v>
      </c>
      <c r="AV92" s="18">
        <v>4955.9570000000003</v>
      </c>
      <c r="AW92" s="18">
        <v>4969.7619999999997</v>
      </c>
      <c r="AX92" s="18">
        <v>4931.4809999999998</v>
      </c>
      <c r="AY92" s="18">
        <v>4857.4740000000002</v>
      </c>
      <c r="AZ92" s="18">
        <v>4783.3050000000003</v>
      </c>
      <c r="BA92" s="18">
        <v>4703.183</v>
      </c>
      <c r="BB92" s="18">
        <v>4620.16</v>
      </c>
      <c r="BC92" s="18">
        <v>4539.7610000000004</v>
      </c>
      <c r="BD92" s="18">
        <v>4460.1350000000002</v>
      </c>
      <c r="BE92" s="18">
        <v>4375.2089999999998</v>
      </c>
      <c r="BF92" s="18">
        <v>4287.7579999999998</v>
      </c>
      <c r="BG92" s="18">
        <v>4199.3450000000003</v>
      </c>
      <c r="BH92" s="18">
        <v>4110.665</v>
      </c>
      <c r="BI92" s="18">
        <v>4023.4250000000002</v>
      </c>
      <c r="BJ92" s="18">
        <v>3937.8629999999998</v>
      </c>
      <c r="BK92" s="18">
        <v>3853.0079999999998</v>
      </c>
      <c r="BL92" s="18">
        <v>3780.3139999999999</v>
      </c>
      <c r="BM92" s="18">
        <v>3725.2249999999999</v>
      </c>
      <c r="BN92" s="18">
        <v>3682.828</v>
      </c>
      <c r="BO92" s="18">
        <v>3641.857</v>
      </c>
      <c r="BP92" s="18">
        <v>3603.4749999999999</v>
      </c>
      <c r="BQ92" s="18">
        <v>3569.6819999999998</v>
      </c>
      <c r="BR92" s="18">
        <v>3539.99</v>
      </c>
      <c r="BS92" s="18">
        <v>3513.2089999999998</v>
      </c>
      <c r="BT92" s="18">
        <v>3485.491</v>
      </c>
      <c r="BU92" s="18">
        <v>3453.8319999999999</v>
      </c>
      <c r="BV92" s="18">
        <v>3428.6350000000002</v>
      </c>
      <c r="BW92" s="18">
        <v>3413.4589999999998</v>
      </c>
      <c r="BX92" s="18">
        <v>3400.6880000000001</v>
      </c>
      <c r="BY92" s="18">
        <v>3379.7860000000001</v>
      </c>
      <c r="BZ92" s="18">
        <v>3353.6190000000001</v>
      </c>
      <c r="CA92" s="18">
        <v>3302.386</v>
      </c>
      <c r="CB92" s="18">
        <v>3215.3870000000002</v>
      </c>
      <c r="CC92" s="18">
        <v>3100.8110000000001</v>
      </c>
      <c r="CD92" s="18">
        <v>2980.6219999999998</v>
      </c>
      <c r="CE92" s="18">
        <v>2854.1089999999999</v>
      </c>
      <c r="CF92" s="18">
        <v>2705.9389999999999</v>
      </c>
      <c r="CG92" s="18">
        <v>2531.8649999999998</v>
      </c>
      <c r="CH92" s="18">
        <v>2339.8380000000002</v>
      </c>
      <c r="CI92" s="18">
        <v>2143.9140000000002</v>
      </c>
      <c r="CJ92" s="18">
        <v>1943.5150000000001</v>
      </c>
      <c r="CK92" s="18">
        <v>1745.3209999999999</v>
      </c>
      <c r="CL92" s="18">
        <v>1554.818</v>
      </c>
      <c r="CM92" s="18">
        <v>1371.454</v>
      </c>
      <c r="CN92" s="18">
        <v>1173.3040000000001</v>
      </c>
      <c r="CO92" s="18">
        <v>1023.529</v>
      </c>
      <c r="CP92" s="18">
        <v>893.63900000000001</v>
      </c>
      <c r="CQ92" s="18">
        <v>719.678</v>
      </c>
      <c r="CR92" s="18">
        <v>501.64400000000001</v>
      </c>
      <c r="CS92" s="18">
        <v>361.947</v>
      </c>
      <c r="CT92" s="18">
        <v>313.02199999999999</v>
      </c>
      <c r="CU92" s="18">
        <v>255.55600000000001</v>
      </c>
      <c r="CV92" s="18">
        <v>189.55</v>
      </c>
      <c r="CW92" s="18">
        <v>115.004</v>
      </c>
      <c r="CX92" s="18">
        <v>221.065</v>
      </c>
      <c r="CY92" s="3">
        <f t="shared" si="11"/>
        <v>366572.14999999979</v>
      </c>
      <c r="DF92" s="3"/>
    </row>
    <row r="93" spans="1:110" customFormat="1">
      <c r="A93" s="15">
        <v>2041</v>
      </c>
      <c r="B93" s="18">
        <v>4147.5829999999996</v>
      </c>
      <c r="C93" s="18">
        <v>4159.6869999999999</v>
      </c>
      <c r="D93" s="18">
        <v>4173.53</v>
      </c>
      <c r="E93" s="18">
        <v>4184.5110000000004</v>
      </c>
      <c r="F93" s="18">
        <v>4193.0510000000004</v>
      </c>
      <c r="G93" s="18">
        <v>4199.5680000000002</v>
      </c>
      <c r="H93" s="18">
        <v>4204.2449999999999</v>
      </c>
      <c r="I93" s="18">
        <v>4207.2579999999998</v>
      </c>
      <c r="J93" s="18">
        <v>4210.2280000000001</v>
      </c>
      <c r="K93" s="18">
        <v>4214.05</v>
      </c>
      <c r="L93" s="18">
        <v>4218.4279999999999</v>
      </c>
      <c r="M93" s="18">
        <v>4222.2160000000003</v>
      </c>
      <c r="N93" s="18">
        <v>4225.7060000000001</v>
      </c>
      <c r="O93" s="18">
        <v>4229.9589999999998</v>
      </c>
      <c r="P93" s="18">
        <v>4235.4059999999999</v>
      </c>
      <c r="Q93" s="18">
        <v>4241.8469999999998</v>
      </c>
      <c r="R93" s="18">
        <v>4249.6670000000004</v>
      </c>
      <c r="S93" s="18">
        <v>4260.0169999999998</v>
      </c>
      <c r="T93" s="18">
        <v>4268.2250000000004</v>
      </c>
      <c r="U93" s="18">
        <v>4272.4030000000002</v>
      </c>
      <c r="V93" s="18">
        <v>4275.5150000000003</v>
      </c>
      <c r="W93" s="18">
        <v>4281.7619999999997</v>
      </c>
      <c r="X93" s="18">
        <v>4289.518</v>
      </c>
      <c r="Y93" s="18">
        <v>4307.2169999999996</v>
      </c>
      <c r="Z93" s="18">
        <v>4339.2340000000004</v>
      </c>
      <c r="AA93" s="18">
        <v>4381.5640000000003</v>
      </c>
      <c r="AB93" s="18">
        <v>4422.8459999999995</v>
      </c>
      <c r="AC93" s="18">
        <v>4461.7709999999997</v>
      </c>
      <c r="AD93" s="18">
        <v>4511.0159999999996</v>
      </c>
      <c r="AE93" s="18">
        <v>4574.5860000000002</v>
      </c>
      <c r="AF93" s="18">
        <v>4644.84</v>
      </c>
      <c r="AG93" s="18">
        <v>4713.1109999999999</v>
      </c>
      <c r="AH93" s="18">
        <v>4784.7139999999999</v>
      </c>
      <c r="AI93" s="18">
        <v>4829.1580000000004</v>
      </c>
      <c r="AJ93" s="18">
        <v>4831.5219999999999</v>
      </c>
      <c r="AK93" s="18">
        <v>4806.7290000000003</v>
      </c>
      <c r="AL93" s="18">
        <v>4784.8670000000002</v>
      </c>
      <c r="AM93" s="18">
        <v>4760.2190000000001</v>
      </c>
      <c r="AN93" s="18">
        <v>4743.4790000000003</v>
      </c>
      <c r="AO93" s="18">
        <v>4743.1030000000001</v>
      </c>
      <c r="AP93" s="18">
        <v>4753.8680000000004</v>
      </c>
      <c r="AQ93" s="18">
        <v>4757.7860000000001</v>
      </c>
      <c r="AR93" s="18">
        <v>4753.2759999999998</v>
      </c>
      <c r="AS93" s="18">
        <v>4766.1450000000004</v>
      </c>
      <c r="AT93" s="18">
        <v>4805.7730000000001</v>
      </c>
      <c r="AU93" s="18">
        <v>4858.7160000000003</v>
      </c>
      <c r="AV93" s="18">
        <v>4904.732</v>
      </c>
      <c r="AW93" s="18">
        <v>4950.9660000000003</v>
      </c>
      <c r="AX93" s="18">
        <v>4963.1909999999998</v>
      </c>
      <c r="AY93" s="18">
        <v>4923.3029999999999</v>
      </c>
      <c r="AZ93" s="18">
        <v>4847.674</v>
      </c>
      <c r="BA93" s="18">
        <v>4771.8729999999996</v>
      </c>
      <c r="BB93" s="18">
        <v>4690.1009999999997</v>
      </c>
      <c r="BC93" s="18">
        <v>4605.4709999999995</v>
      </c>
      <c r="BD93" s="18">
        <v>4523.5309999999999</v>
      </c>
      <c r="BE93" s="18">
        <v>4442.4070000000002</v>
      </c>
      <c r="BF93" s="18">
        <v>4355.9409999999998</v>
      </c>
      <c r="BG93" s="18">
        <v>4266.8819999999996</v>
      </c>
      <c r="BH93" s="18">
        <v>4176.96</v>
      </c>
      <c r="BI93" s="18">
        <v>4086.9270000000001</v>
      </c>
      <c r="BJ93" s="18">
        <v>3998.3919999999998</v>
      </c>
      <c r="BK93" s="18">
        <v>3911.4</v>
      </c>
      <c r="BL93" s="18">
        <v>3824.97</v>
      </c>
      <c r="BM93" s="18">
        <v>3750.5720000000001</v>
      </c>
      <c r="BN93" s="18">
        <v>3693.6210000000001</v>
      </c>
      <c r="BO93" s="18">
        <v>3649.1590000000001</v>
      </c>
      <c r="BP93" s="18">
        <v>3605.8649999999998</v>
      </c>
      <c r="BQ93" s="18">
        <v>3564.8649999999998</v>
      </c>
      <c r="BR93" s="18">
        <v>3528.125</v>
      </c>
      <c r="BS93" s="18">
        <v>3495.1170000000002</v>
      </c>
      <c r="BT93" s="18">
        <v>3464.6120000000001</v>
      </c>
      <c r="BU93" s="18">
        <v>3432.8780000000002</v>
      </c>
      <c r="BV93" s="18">
        <v>3397.0210000000002</v>
      </c>
      <c r="BW93" s="18">
        <v>3366.6570000000002</v>
      </c>
      <c r="BX93" s="18">
        <v>3345.0079999999998</v>
      </c>
      <c r="BY93" s="18">
        <v>3324.8719999999998</v>
      </c>
      <c r="BZ93" s="18">
        <v>3296.6930000000002</v>
      </c>
      <c r="CA93" s="18">
        <v>3263.4259999999999</v>
      </c>
      <c r="CB93" s="18">
        <v>3204.6060000000002</v>
      </c>
      <c r="CC93" s="18">
        <v>3109.395</v>
      </c>
      <c r="CD93" s="18">
        <v>2986.4670000000001</v>
      </c>
      <c r="CE93" s="18">
        <v>2858.5160000000001</v>
      </c>
      <c r="CF93" s="18">
        <v>2724.81</v>
      </c>
      <c r="CG93" s="18">
        <v>2570.7919999999999</v>
      </c>
      <c r="CH93" s="18">
        <v>2392.7240000000002</v>
      </c>
      <c r="CI93" s="18">
        <v>2198.3879999999999</v>
      </c>
      <c r="CJ93" s="18">
        <v>1997.229</v>
      </c>
      <c r="CK93" s="18">
        <v>1801.5709999999999</v>
      </c>
      <c r="CL93" s="18">
        <v>1613.95</v>
      </c>
      <c r="CM93" s="18">
        <v>1423</v>
      </c>
      <c r="CN93" s="18">
        <v>1228.2739999999999</v>
      </c>
      <c r="CO93" s="18">
        <v>1039.47</v>
      </c>
      <c r="CP93" s="18">
        <v>907.97400000000005</v>
      </c>
      <c r="CQ93" s="18">
        <v>788.83399999999995</v>
      </c>
      <c r="CR93" s="18">
        <v>630.86300000000006</v>
      </c>
      <c r="CS93" s="18">
        <v>434.06299999999999</v>
      </c>
      <c r="CT93" s="18">
        <v>336.72399999999999</v>
      </c>
      <c r="CU93" s="18">
        <v>275.54599999999999</v>
      </c>
      <c r="CV93" s="18">
        <v>204.32300000000001</v>
      </c>
      <c r="CW93" s="18">
        <v>123.05800000000001</v>
      </c>
      <c r="CX93" s="18">
        <v>232.71600000000001</v>
      </c>
      <c r="CY93" s="3">
        <f t="shared" si="11"/>
        <v>368006.42499999987</v>
      </c>
      <c r="DF93" s="3"/>
    </row>
    <row r="94" spans="1:110" customFormat="1">
      <c r="A94" s="15">
        <v>2042</v>
      </c>
      <c r="B94" s="18">
        <v>4142.8519999999999</v>
      </c>
      <c r="C94" s="18">
        <v>4160.3559999999998</v>
      </c>
      <c r="D94" s="18">
        <v>4169.4040000000005</v>
      </c>
      <c r="E94" s="18">
        <v>4181.01</v>
      </c>
      <c r="F94" s="18">
        <v>4190.134</v>
      </c>
      <c r="G94" s="18">
        <v>4197.2629999999999</v>
      </c>
      <c r="H94" s="18">
        <v>4202.8869999999997</v>
      </c>
      <c r="I94" s="18">
        <v>4207.0110000000004</v>
      </c>
      <c r="J94" s="18">
        <v>4209.6469999999999</v>
      </c>
      <c r="K94" s="18">
        <v>4213.6750000000002</v>
      </c>
      <c r="L94" s="18">
        <v>4220.5389999999998</v>
      </c>
      <c r="M94" s="18">
        <v>4229.2929999999997</v>
      </c>
      <c r="N94" s="18">
        <v>4237.4369999999999</v>
      </c>
      <c r="O94" s="18">
        <v>4245.3440000000001</v>
      </c>
      <c r="P94" s="18">
        <v>4254.0720000000001</v>
      </c>
      <c r="Q94" s="18">
        <v>4263.857</v>
      </c>
      <c r="R94" s="18">
        <v>4274.366</v>
      </c>
      <c r="S94" s="18">
        <v>4286.1670000000004</v>
      </c>
      <c r="T94" s="18">
        <v>4300.509</v>
      </c>
      <c r="U94" s="18">
        <v>4311.1930000000002</v>
      </c>
      <c r="V94" s="18">
        <v>4315.6350000000002</v>
      </c>
      <c r="W94" s="18">
        <v>4317.4520000000002</v>
      </c>
      <c r="X94" s="18">
        <v>4322.2669999999998</v>
      </c>
      <c r="Y94" s="18">
        <v>4328.26</v>
      </c>
      <c r="Z94" s="18">
        <v>4343.91</v>
      </c>
      <c r="AA94" s="18">
        <v>4373.79</v>
      </c>
      <c r="AB94" s="18">
        <v>4413.8829999999998</v>
      </c>
      <c r="AC94" s="18">
        <v>4452.6289999999999</v>
      </c>
      <c r="AD94" s="18">
        <v>4488.7740000000003</v>
      </c>
      <c r="AE94" s="18">
        <v>4535.4120000000003</v>
      </c>
      <c r="AF94" s="18">
        <v>4596.741</v>
      </c>
      <c r="AG94" s="18">
        <v>4665.0079999999998</v>
      </c>
      <c r="AH94" s="18">
        <v>4731.2259999999997</v>
      </c>
      <c r="AI94" s="18">
        <v>4800.7550000000001</v>
      </c>
      <c r="AJ94" s="18">
        <v>4843.3040000000001</v>
      </c>
      <c r="AK94" s="18">
        <v>4844.0159999999996</v>
      </c>
      <c r="AL94" s="18">
        <v>4817.7439999999997</v>
      </c>
      <c r="AM94" s="18">
        <v>4794.4350000000004</v>
      </c>
      <c r="AN94" s="18">
        <v>4768.38</v>
      </c>
      <c r="AO94" s="18">
        <v>4750.2860000000001</v>
      </c>
      <c r="AP94" s="18">
        <v>4748.5929999999998</v>
      </c>
      <c r="AQ94" s="18">
        <v>4758.0630000000001</v>
      </c>
      <c r="AR94" s="18">
        <v>4760.7110000000002</v>
      </c>
      <c r="AS94" s="18">
        <v>4754.9610000000002</v>
      </c>
      <c r="AT94" s="18">
        <v>4766.5039999999999</v>
      </c>
      <c r="AU94" s="18">
        <v>4804.6610000000001</v>
      </c>
      <c r="AV94" s="18">
        <v>4856.0349999999999</v>
      </c>
      <c r="AW94" s="18">
        <v>4900.4930000000004</v>
      </c>
      <c r="AX94" s="18">
        <v>4945.1679999999997</v>
      </c>
      <c r="AY94" s="18">
        <v>4955.8119999999999</v>
      </c>
      <c r="AZ94" s="18">
        <v>4914.3220000000001</v>
      </c>
      <c r="BA94" s="18">
        <v>4837.0810000000001</v>
      </c>
      <c r="BB94" s="18">
        <v>4759.6580000000004</v>
      </c>
      <c r="BC94" s="18">
        <v>4676.2510000000002</v>
      </c>
      <c r="BD94" s="18">
        <v>4590.0240000000003</v>
      </c>
      <c r="BE94" s="18">
        <v>4506.5559999999996</v>
      </c>
      <c r="BF94" s="18">
        <v>4423.9449999999997</v>
      </c>
      <c r="BG94" s="18">
        <v>4335.951</v>
      </c>
      <c r="BH94" s="18">
        <v>4245.299</v>
      </c>
      <c r="BI94" s="18">
        <v>4153.8810000000003</v>
      </c>
      <c r="BJ94" s="18">
        <v>4062.509</v>
      </c>
      <c r="BK94" s="18">
        <v>3972.6930000000002</v>
      </c>
      <c r="BL94" s="18">
        <v>3884.2829999999999</v>
      </c>
      <c r="BM94" s="18">
        <v>3796.2910000000002</v>
      </c>
      <c r="BN94" s="18">
        <v>3720.1990000000001</v>
      </c>
      <c r="BO94" s="18">
        <v>3661.3939999999998</v>
      </c>
      <c r="BP94" s="18">
        <v>3614.8719999999998</v>
      </c>
      <c r="BQ94" s="18">
        <v>3569.261</v>
      </c>
      <c r="BR94" s="18">
        <v>3525.6489999999999</v>
      </c>
      <c r="BS94" s="18">
        <v>3485.9659999999999</v>
      </c>
      <c r="BT94" s="18">
        <v>3449.6439999999998</v>
      </c>
      <c r="BU94" s="18">
        <v>3415.4189999999999</v>
      </c>
      <c r="BV94" s="18">
        <v>3379.6709999999998</v>
      </c>
      <c r="BW94" s="18">
        <v>3339.6179999999999</v>
      </c>
      <c r="BX94" s="18">
        <v>3304.0889999999999</v>
      </c>
      <c r="BY94" s="18">
        <v>3275.9690000000001</v>
      </c>
      <c r="BZ94" s="18">
        <v>3248.4650000000001</v>
      </c>
      <c r="CA94" s="18">
        <v>3213.0079999999998</v>
      </c>
      <c r="CB94" s="18">
        <v>3172.6419999999998</v>
      </c>
      <c r="CC94" s="18">
        <v>3106.239</v>
      </c>
      <c r="CD94" s="18">
        <v>3002.8240000000001</v>
      </c>
      <c r="CE94" s="18">
        <v>2871.56</v>
      </c>
      <c r="CF94" s="18">
        <v>2735.86</v>
      </c>
      <c r="CG94" s="18">
        <v>2594.9769999999999</v>
      </c>
      <c r="CH94" s="18">
        <v>2435.134</v>
      </c>
      <c r="CI94" s="18">
        <v>2253.096</v>
      </c>
      <c r="CJ94" s="18">
        <v>2056.4830000000002</v>
      </c>
      <c r="CK94" s="18">
        <v>1850.117</v>
      </c>
      <c r="CL94" s="18">
        <v>1659.2349999999999</v>
      </c>
      <c r="CM94" s="18">
        <v>1482.2260000000001</v>
      </c>
      <c r="CN94" s="18">
        <v>1290.857</v>
      </c>
      <c r="CO94" s="18">
        <v>1084.7950000000001</v>
      </c>
      <c r="CP94" s="18">
        <v>905.37300000000005</v>
      </c>
      <c r="CQ94" s="18">
        <v>792.19</v>
      </c>
      <c r="CR94" s="18">
        <v>683.82600000000002</v>
      </c>
      <c r="CS94" s="18">
        <v>541.88400000000001</v>
      </c>
      <c r="CT94" s="18">
        <v>366.363</v>
      </c>
      <c r="CU94" s="18">
        <v>298.12200000000001</v>
      </c>
      <c r="CV94" s="18">
        <v>221.13499999999999</v>
      </c>
      <c r="CW94" s="18">
        <v>132.17099999999999</v>
      </c>
      <c r="CX94" s="18">
        <v>245.554</v>
      </c>
      <c r="CY94" s="3">
        <f t="shared" si="11"/>
        <v>369396.55500000005</v>
      </c>
      <c r="DF94" s="3"/>
    </row>
    <row r="95" spans="1:110" customFormat="1">
      <c r="A95" s="15">
        <v>2043</v>
      </c>
      <c r="B95" s="18">
        <v>4136.3890000000001</v>
      </c>
      <c r="C95" s="18">
        <v>4155.9849999999997</v>
      </c>
      <c r="D95" s="18">
        <v>4171.558</v>
      </c>
      <c r="E95" s="18">
        <v>4178.3810000000003</v>
      </c>
      <c r="F95" s="18">
        <v>4187.7479999999996</v>
      </c>
      <c r="G95" s="18">
        <v>4195.0119999999997</v>
      </c>
      <c r="H95" s="18">
        <v>4200.7299999999996</v>
      </c>
      <c r="I95" s="18">
        <v>4205.4570000000003</v>
      </c>
      <c r="J95" s="18">
        <v>4209.03</v>
      </c>
      <c r="K95" s="18">
        <v>4211.2870000000003</v>
      </c>
      <c r="L95" s="18">
        <v>4216.3729999999996</v>
      </c>
      <c r="M95" s="18">
        <v>4226.2809999999999</v>
      </c>
      <c r="N95" s="18">
        <v>4239.4110000000001</v>
      </c>
      <c r="O95" s="18">
        <v>4251.9089999999997</v>
      </c>
      <c r="P95" s="18">
        <v>4264.232</v>
      </c>
      <c r="Q95" s="18">
        <v>4277.4359999999997</v>
      </c>
      <c r="R95" s="18">
        <v>4291.558</v>
      </c>
      <c r="S95" s="18">
        <v>4306.1350000000002</v>
      </c>
      <c r="T95" s="18">
        <v>4321.915</v>
      </c>
      <c r="U95" s="18">
        <v>4340.2460000000001</v>
      </c>
      <c r="V95" s="18">
        <v>4353.4059999999999</v>
      </c>
      <c r="W95" s="18">
        <v>4358.1099999999997</v>
      </c>
      <c r="X95" s="18">
        <v>4358.63</v>
      </c>
      <c r="Y95" s="18">
        <v>4362.0140000000001</v>
      </c>
      <c r="Z95" s="18">
        <v>4366.241</v>
      </c>
      <c r="AA95" s="18">
        <v>4379.8410000000003</v>
      </c>
      <c r="AB95" s="18">
        <v>4407.5770000000002</v>
      </c>
      <c r="AC95" s="18">
        <v>4445.4229999999998</v>
      </c>
      <c r="AD95" s="18">
        <v>4481.6279999999997</v>
      </c>
      <c r="AE95" s="18">
        <v>4514.9859999999999</v>
      </c>
      <c r="AF95" s="18">
        <v>4559.0060000000003</v>
      </c>
      <c r="AG95" s="18">
        <v>4618.0829999999996</v>
      </c>
      <c r="AH95" s="18">
        <v>4684.3490000000002</v>
      </c>
      <c r="AI95" s="18">
        <v>4748.5</v>
      </c>
      <c r="AJ95" s="18">
        <v>4815.9440000000004</v>
      </c>
      <c r="AK95" s="18">
        <v>4856.5910000000003</v>
      </c>
      <c r="AL95" s="18">
        <v>4855.6490000000003</v>
      </c>
      <c r="AM95" s="18">
        <v>4827.9030000000002</v>
      </c>
      <c r="AN95" s="18">
        <v>4803.1499999999996</v>
      </c>
      <c r="AO95" s="18">
        <v>4775.6930000000002</v>
      </c>
      <c r="AP95" s="18">
        <v>4756.2470000000003</v>
      </c>
      <c r="AQ95" s="18">
        <v>4753.2359999999999</v>
      </c>
      <c r="AR95" s="18">
        <v>4761.4080000000004</v>
      </c>
      <c r="AS95" s="18">
        <v>4762.7860000000001</v>
      </c>
      <c r="AT95" s="18">
        <v>4755.799</v>
      </c>
      <c r="AU95" s="18">
        <v>4766.0129999999999</v>
      </c>
      <c r="AV95" s="18">
        <v>4802.692</v>
      </c>
      <c r="AW95" s="18">
        <v>4852.4859999999999</v>
      </c>
      <c r="AX95" s="18">
        <v>4895.38</v>
      </c>
      <c r="AY95" s="18">
        <v>4938.4859999999999</v>
      </c>
      <c r="AZ95" s="18">
        <v>4947.5460000000003</v>
      </c>
      <c r="BA95" s="18">
        <v>4904.4629999999997</v>
      </c>
      <c r="BB95" s="18">
        <v>4825.6220000000003</v>
      </c>
      <c r="BC95" s="18">
        <v>4746.5910000000003</v>
      </c>
      <c r="BD95" s="18">
        <v>4661.5619999999999</v>
      </c>
      <c r="BE95" s="18">
        <v>4573.7550000000001</v>
      </c>
      <c r="BF95" s="18">
        <v>4488.7709999999997</v>
      </c>
      <c r="BG95" s="18">
        <v>4404.6890000000003</v>
      </c>
      <c r="BH95" s="18">
        <v>4315.1819999999998</v>
      </c>
      <c r="BI95" s="18">
        <v>4222.951</v>
      </c>
      <c r="BJ95" s="18">
        <v>4130.0510000000004</v>
      </c>
      <c r="BK95" s="18">
        <v>4037.3560000000002</v>
      </c>
      <c r="BL95" s="18">
        <v>3946.2739999999999</v>
      </c>
      <c r="BM95" s="18">
        <v>3856.462</v>
      </c>
      <c r="BN95" s="18">
        <v>3766.9229999999998</v>
      </c>
      <c r="BO95" s="18">
        <v>3689.15</v>
      </c>
      <c r="BP95" s="18">
        <v>3628.5010000000002</v>
      </c>
      <c r="BQ95" s="18">
        <v>3579.9270000000001</v>
      </c>
      <c r="BR95" s="18">
        <v>3532.0030000000002</v>
      </c>
      <c r="BS95" s="18">
        <v>3485.7869999999998</v>
      </c>
      <c r="BT95" s="18">
        <v>3443.1669999999999</v>
      </c>
      <c r="BU95" s="18">
        <v>3403.5369999999998</v>
      </c>
      <c r="BV95" s="18">
        <v>3365.5970000000002</v>
      </c>
      <c r="BW95" s="18">
        <v>3325.84</v>
      </c>
      <c r="BX95" s="18">
        <v>3281.598</v>
      </c>
      <c r="BY95" s="18">
        <v>3240.91</v>
      </c>
      <c r="BZ95" s="18">
        <v>3206.319</v>
      </c>
      <c r="CA95" s="18">
        <v>3171.4490000000001</v>
      </c>
      <c r="CB95" s="18">
        <v>3128.7190000000001</v>
      </c>
      <c r="CC95" s="18">
        <v>3081.2570000000001</v>
      </c>
      <c r="CD95" s="18">
        <v>3007.2809999999999</v>
      </c>
      <c r="CE95" s="18">
        <v>2895.6790000000001</v>
      </c>
      <c r="CF95" s="18">
        <v>2756.0970000000002</v>
      </c>
      <c r="CG95" s="18">
        <v>2612.6729999999998</v>
      </c>
      <c r="CH95" s="18">
        <v>2464.634</v>
      </c>
      <c r="CI95" s="18">
        <v>2298.9920000000002</v>
      </c>
      <c r="CJ95" s="18">
        <v>2113.0160000000001</v>
      </c>
      <c r="CK95" s="18">
        <v>1914.1579999999999</v>
      </c>
      <c r="CL95" s="18">
        <v>1702.6220000000001</v>
      </c>
      <c r="CM95" s="18">
        <v>1516.5509999999999</v>
      </c>
      <c r="CN95" s="18">
        <v>1350.19</v>
      </c>
      <c r="CO95" s="18">
        <v>1158.4369999999999</v>
      </c>
      <c r="CP95" s="18">
        <v>941.07299999999998</v>
      </c>
      <c r="CQ95" s="18">
        <v>771.06899999999996</v>
      </c>
      <c r="CR95" s="18">
        <v>676.22400000000005</v>
      </c>
      <c r="CS95" s="18">
        <v>578.65899999999999</v>
      </c>
      <c r="CT95" s="18">
        <v>452.77699999999999</v>
      </c>
      <c r="CU95" s="18">
        <v>298.57299999999998</v>
      </c>
      <c r="CV95" s="18">
        <v>239.16200000000001</v>
      </c>
      <c r="CW95" s="18">
        <v>142.08699999999999</v>
      </c>
      <c r="CX95" s="18">
        <v>260.06200000000001</v>
      </c>
      <c r="CY95" s="3">
        <f t="shared" si="11"/>
        <v>370746.30500000011</v>
      </c>
      <c r="DF95" s="3"/>
    </row>
    <row r="96" spans="1:110" customFormat="1">
      <c r="A96" s="15">
        <v>2044</v>
      </c>
      <c r="B96" s="18">
        <v>4129.8540000000003</v>
      </c>
      <c r="C96" s="18">
        <v>4151.18</v>
      </c>
      <c r="D96" s="18">
        <v>4167.9620000000004</v>
      </c>
      <c r="E96" s="18">
        <v>4180.8339999999998</v>
      </c>
      <c r="F96" s="18">
        <v>4186.3729999999996</v>
      </c>
      <c r="G96" s="18">
        <v>4193.4989999999998</v>
      </c>
      <c r="H96" s="18">
        <v>4198.902</v>
      </c>
      <c r="I96" s="18">
        <v>4203.2070000000003</v>
      </c>
      <c r="J96" s="18">
        <v>4207.0370000000003</v>
      </c>
      <c r="K96" s="18">
        <v>4210.0569999999998</v>
      </c>
      <c r="L96" s="18">
        <v>4211.9340000000002</v>
      </c>
      <c r="M96" s="18">
        <v>4218.0770000000002</v>
      </c>
      <c r="N96" s="18">
        <v>4231.0240000000003</v>
      </c>
      <c r="O96" s="18">
        <v>4248.527</v>
      </c>
      <c r="P96" s="18">
        <v>4265.3770000000004</v>
      </c>
      <c r="Q96" s="18">
        <v>4282.1130000000003</v>
      </c>
      <c r="R96" s="18">
        <v>4299.7879999999996</v>
      </c>
      <c r="S96" s="18">
        <v>4318.2430000000004</v>
      </c>
      <c r="T96" s="18">
        <v>4336.884</v>
      </c>
      <c r="U96" s="18">
        <v>4356.6390000000001</v>
      </c>
      <c r="V96" s="18">
        <v>4378.9539999999997</v>
      </c>
      <c r="W96" s="18">
        <v>4394.5870000000004</v>
      </c>
      <c r="X96" s="18">
        <v>4399.5519999999997</v>
      </c>
      <c r="Y96" s="18">
        <v>4398.7759999999998</v>
      </c>
      <c r="Z96" s="18">
        <v>4400.7269999999999</v>
      </c>
      <c r="AA96" s="18">
        <v>4403.1880000000001</v>
      </c>
      <c r="AB96" s="18">
        <v>4414.732</v>
      </c>
      <c r="AC96" s="18">
        <v>4440.3180000000002</v>
      </c>
      <c r="AD96" s="18">
        <v>4475.9110000000001</v>
      </c>
      <c r="AE96" s="18">
        <v>4509.5649999999996</v>
      </c>
      <c r="AF96" s="18">
        <v>4540.1279999999997</v>
      </c>
      <c r="AG96" s="18">
        <v>4581.5219999999999</v>
      </c>
      <c r="AH96" s="18">
        <v>4638.33</v>
      </c>
      <c r="AI96" s="18">
        <v>4702.5810000000001</v>
      </c>
      <c r="AJ96" s="18">
        <v>4764.6530000000002</v>
      </c>
      <c r="AK96" s="18">
        <v>4829.9930000000004</v>
      </c>
      <c r="AL96" s="18">
        <v>4868.7280000000001</v>
      </c>
      <c r="AM96" s="18">
        <v>4866.134</v>
      </c>
      <c r="AN96" s="18">
        <v>4836.92</v>
      </c>
      <c r="AO96" s="18">
        <v>4810.7290000000003</v>
      </c>
      <c r="AP96" s="18">
        <v>4781.8760000000002</v>
      </c>
      <c r="AQ96" s="18">
        <v>4761.0829999999996</v>
      </c>
      <c r="AR96" s="18">
        <v>4756.7560000000003</v>
      </c>
      <c r="AS96" s="18">
        <v>4763.6289999999999</v>
      </c>
      <c r="AT96" s="18">
        <v>4763.7349999999997</v>
      </c>
      <c r="AU96" s="18">
        <v>4755.5119999999997</v>
      </c>
      <c r="AV96" s="18">
        <v>4764.3959999999997</v>
      </c>
      <c r="AW96" s="18">
        <v>4799.5860000000002</v>
      </c>
      <c r="AX96" s="18">
        <v>4847.7910000000002</v>
      </c>
      <c r="AY96" s="18">
        <v>4889.1090000000004</v>
      </c>
      <c r="AZ96" s="18">
        <v>4930.6390000000001</v>
      </c>
      <c r="BA96" s="18">
        <v>4938.1130000000003</v>
      </c>
      <c r="BB96" s="18">
        <v>4893.4459999999999</v>
      </c>
      <c r="BC96" s="18">
        <v>4813.0249999999996</v>
      </c>
      <c r="BD96" s="18">
        <v>4732.4040000000005</v>
      </c>
      <c r="BE96" s="18">
        <v>4645.7740000000003</v>
      </c>
      <c r="BF96" s="18">
        <v>4556.4059999999999</v>
      </c>
      <c r="BG96" s="18">
        <v>4469.9260000000004</v>
      </c>
      <c r="BH96" s="18">
        <v>4384.3919999999998</v>
      </c>
      <c r="BI96" s="18">
        <v>4293.393</v>
      </c>
      <c r="BJ96" s="18">
        <v>4199.6040000000003</v>
      </c>
      <c r="BK96" s="18">
        <v>4105.2439999999997</v>
      </c>
      <c r="BL96" s="18">
        <v>4011.2469999999998</v>
      </c>
      <c r="BM96" s="18">
        <v>3918.922</v>
      </c>
      <c r="BN96" s="18">
        <v>3827.7280000000001</v>
      </c>
      <c r="BO96" s="18">
        <v>3736.663</v>
      </c>
      <c r="BP96" s="18">
        <v>3657.2269999999999</v>
      </c>
      <c r="BQ96" s="18">
        <v>3594.7469999999998</v>
      </c>
      <c r="BR96" s="18">
        <v>3544.1329999999998</v>
      </c>
      <c r="BS96" s="18">
        <v>3493.91</v>
      </c>
      <c r="BT96" s="18">
        <v>3445.098</v>
      </c>
      <c r="BU96" s="18">
        <v>3399.5520000000001</v>
      </c>
      <c r="BV96" s="18">
        <v>3356.6239999999998</v>
      </c>
      <c r="BW96" s="18">
        <v>3314.9769999999999</v>
      </c>
      <c r="BX96" s="18">
        <v>3271.2220000000002</v>
      </c>
      <c r="BY96" s="18">
        <v>3222.8020000000001</v>
      </c>
      <c r="BZ96" s="18">
        <v>3176.9639999999999</v>
      </c>
      <c r="CA96" s="18">
        <v>3135.9119999999998</v>
      </c>
      <c r="CB96" s="18">
        <v>3093.6840000000002</v>
      </c>
      <c r="CC96" s="18">
        <v>3043.69</v>
      </c>
      <c r="CD96" s="18">
        <v>2989.1460000000002</v>
      </c>
      <c r="CE96" s="18">
        <v>2907.614</v>
      </c>
      <c r="CF96" s="18">
        <v>2787.8510000000001</v>
      </c>
      <c r="CG96" s="18">
        <v>2639.9850000000001</v>
      </c>
      <c r="CH96" s="18">
        <v>2488.87</v>
      </c>
      <c r="CI96" s="18">
        <v>2333.712</v>
      </c>
      <c r="CJ96" s="18">
        <v>2162.31</v>
      </c>
      <c r="CK96" s="18">
        <v>1972.441</v>
      </c>
      <c r="CL96" s="18">
        <v>1771.3869999999999</v>
      </c>
      <c r="CM96" s="18">
        <v>1554.732</v>
      </c>
      <c r="CN96" s="18">
        <v>1373.5150000000001</v>
      </c>
      <c r="CO96" s="18">
        <v>1217.8389999999999</v>
      </c>
      <c r="CP96" s="18">
        <v>1025.751</v>
      </c>
      <c r="CQ96" s="18">
        <v>797.13800000000003</v>
      </c>
      <c r="CR96" s="18">
        <v>636.59199999999998</v>
      </c>
      <c r="CS96" s="18">
        <v>560.10599999999999</v>
      </c>
      <c r="CT96" s="18">
        <v>473.36399999999998</v>
      </c>
      <c r="CU96" s="18">
        <v>363.56799999999998</v>
      </c>
      <c r="CV96" s="18">
        <v>230.71799999999999</v>
      </c>
      <c r="CW96" s="18">
        <v>152.416</v>
      </c>
      <c r="CX96" s="18">
        <v>276.85899999999998</v>
      </c>
      <c r="CY96" s="3">
        <f t="shared" si="11"/>
        <v>372060.39399999997</v>
      </c>
      <c r="DF96" s="3"/>
    </row>
    <row r="97" spans="1:110" customFormat="1">
      <c r="A97" s="15">
        <v>2045</v>
      </c>
      <c r="B97" s="18">
        <v>4124.335</v>
      </c>
      <c r="C97" s="18">
        <v>4146.2830000000004</v>
      </c>
      <c r="D97" s="18">
        <v>4163.4359999999997</v>
      </c>
      <c r="E97" s="18">
        <v>4176.4849999999997</v>
      </c>
      <c r="F97" s="18">
        <v>4186.1220000000003</v>
      </c>
      <c r="G97" s="18">
        <v>4193.0370000000003</v>
      </c>
      <c r="H97" s="18">
        <v>4197.9189999999999</v>
      </c>
      <c r="I97" s="18">
        <v>4201.4620000000004</v>
      </c>
      <c r="J97" s="18">
        <v>4204.3530000000001</v>
      </c>
      <c r="K97" s="18">
        <v>4207.2849999999999</v>
      </c>
      <c r="L97" s="18">
        <v>4209.7529999999997</v>
      </c>
      <c r="M97" s="18">
        <v>4211.2489999999998</v>
      </c>
      <c r="N97" s="18">
        <v>4218.4459999999999</v>
      </c>
      <c r="O97" s="18">
        <v>4234.4279999999999</v>
      </c>
      <c r="P97" s="18">
        <v>4256.2939999999999</v>
      </c>
      <c r="Q97" s="18">
        <v>4277.4880000000003</v>
      </c>
      <c r="R97" s="18">
        <v>4298.6270000000004</v>
      </c>
      <c r="S97" s="18">
        <v>4320.7659999999996</v>
      </c>
      <c r="T97" s="18">
        <v>4343.5450000000001</v>
      </c>
      <c r="U97" s="18">
        <v>4366.241</v>
      </c>
      <c r="V97" s="18">
        <v>4389.96</v>
      </c>
      <c r="W97" s="18">
        <v>4416.25</v>
      </c>
      <c r="X97" s="18">
        <v>4434.348</v>
      </c>
      <c r="Y97" s="18">
        <v>4439.5739999999996</v>
      </c>
      <c r="Z97" s="18">
        <v>4437.5010000000002</v>
      </c>
      <c r="AA97" s="18">
        <v>4438.0200000000004</v>
      </c>
      <c r="AB97" s="18">
        <v>4438.7139999999999</v>
      </c>
      <c r="AC97" s="18">
        <v>4448.201</v>
      </c>
      <c r="AD97" s="18">
        <v>4471.6310000000003</v>
      </c>
      <c r="AE97" s="18">
        <v>4504.9589999999998</v>
      </c>
      <c r="AF97" s="18">
        <v>4536.0529999999999</v>
      </c>
      <c r="AG97" s="18">
        <v>4563.8140000000003</v>
      </c>
      <c r="AH97" s="18">
        <v>4602.5690000000004</v>
      </c>
      <c r="AI97" s="18">
        <v>4657.0950000000003</v>
      </c>
      <c r="AJ97" s="18">
        <v>4719.3109999999997</v>
      </c>
      <c r="AK97" s="18">
        <v>4779.2830000000004</v>
      </c>
      <c r="AL97" s="18">
        <v>4842.5020000000004</v>
      </c>
      <c r="AM97" s="18">
        <v>4879.3149999999996</v>
      </c>
      <c r="AN97" s="18">
        <v>4875.0680000000002</v>
      </c>
      <c r="AO97" s="18">
        <v>4844.3980000000001</v>
      </c>
      <c r="AP97" s="18">
        <v>4816.777</v>
      </c>
      <c r="AQ97" s="18">
        <v>4786.5379999999996</v>
      </c>
      <c r="AR97" s="18">
        <v>4764.4059999999999</v>
      </c>
      <c r="AS97" s="18">
        <v>4758.7650000000003</v>
      </c>
      <c r="AT97" s="18">
        <v>4764.3360000000002</v>
      </c>
      <c r="AU97" s="18">
        <v>4763.1719999999996</v>
      </c>
      <c r="AV97" s="18">
        <v>4753.7169999999996</v>
      </c>
      <c r="AW97" s="18">
        <v>4761.2669999999998</v>
      </c>
      <c r="AX97" s="18">
        <v>4794.9620000000004</v>
      </c>
      <c r="AY97" s="18">
        <v>4841.5619999999999</v>
      </c>
      <c r="AZ97" s="18">
        <v>4881.2929999999997</v>
      </c>
      <c r="BA97" s="18">
        <v>4921.2340000000004</v>
      </c>
      <c r="BB97" s="18">
        <v>4927.1189999999997</v>
      </c>
      <c r="BC97" s="18">
        <v>4880.884</v>
      </c>
      <c r="BD97" s="18">
        <v>4798.9089999999997</v>
      </c>
      <c r="BE97" s="18">
        <v>4716.7250000000004</v>
      </c>
      <c r="BF97" s="18">
        <v>4628.5219999999999</v>
      </c>
      <c r="BG97" s="18">
        <v>4537.6229999999996</v>
      </c>
      <c r="BH97" s="18">
        <v>4449.6750000000002</v>
      </c>
      <c r="BI97" s="18">
        <v>4362.7139999999999</v>
      </c>
      <c r="BJ97" s="18">
        <v>4270.2529999999997</v>
      </c>
      <c r="BK97" s="18">
        <v>4174.9359999999997</v>
      </c>
      <c r="BL97" s="18">
        <v>4079.1480000000001</v>
      </c>
      <c r="BM97" s="18">
        <v>3983.8780000000002</v>
      </c>
      <c r="BN97" s="18">
        <v>3890.34</v>
      </c>
      <c r="BO97" s="18">
        <v>3797.7919999999999</v>
      </c>
      <c r="BP97" s="18">
        <v>3705.2310000000002</v>
      </c>
      <c r="BQ97" s="18">
        <v>3624.1579999999999</v>
      </c>
      <c r="BR97" s="18">
        <v>3559.8679999999999</v>
      </c>
      <c r="BS97" s="18">
        <v>3507.2310000000002</v>
      </c>
      <c r="BT97" s="18">
        <v>3454.7249999999999</v>
      </c>
      <c r="BU97" s="18">
        <v>3403.3339999999998</v>
      </c>
      <c r="BV97" s="18">
        <v>3354.8760000000002</v>
      </c>
      <c r="BW97" s="18">
        <v>3308.6669999999999</v>
      </c>
      <c r="BX97" s="18">
        <v>3263.33</v>
      </c>
      <c r="BY97" s="18">
        <v>3215.5940000000001</v>
      </c>
      <c r="BZ97" s="18">
        <v>3163.0149999999999</v>
      </c>
      <c r="CA97" s="18">
        <v>3112.0430000000001</v>
      </c>
      <c r="CB97" s="18">
        <v>3064.547</v>
      </c>
      <c r="CC97" s="18">
        <v>3014.9789999999998</v>
      </c>
      <c r="CD97" s="18">
        <v>2957.7420000000002</v>
      </c>
      <c r="CE97" s="18">
        <v>2896.1350000000002</v>
      </c>
      <c r="CF97" s="18">
        <v>2807.0770000000002</v>
      </c>
      <c r="CG97" s="18">
        <v>2679.1959999999999</v>
      </c>
      <c r="CH97" s="18">
        <v>2523.098</v>
      </c>
      <c r="CI97" s="18">
        <v>2364.346</v>
      </c>
      <c r="CJ97" s="18">
        <v>2202.1219999999998</v>
      </c>
      <c r="CK97" s="18">
        <v>2025.018</v>
      </c>
      <c r="CL97" s="18">
        <v>1831.319</v>
      </c>
      <c r="CM97" s="18">
        <v>1628.136</v>
      </c>
      <c r="CN97" s="18">
        <v>1406.4349999999999</v>
      </c>
      <c r="CO97" s="18">
        <v>1230.1279999999999</v>
      </c>
      <c r="CP97" s="18">
        <v>1085.181</v>
      </c>
      <c r="CQ97" s="18">
        <v>892.81899999999996</v>
      </c>
      <c r="CR97" s="18">
        <v>653.04100000000005</v>
      </c>
      <c r="CS97" s="18">
        <v>501.99900000000002</v>
      </c>
      <c r="CT97" s="18">
        <v>443.88400000000001</v>
      </c>
      <c r="CU97" s="18">
        <v>367.98500000000001</v>
      </c>
      <c r="CV97" s="18">
        <v>274.30200000000002</v>
      </c>
      <c r="CW97" s="18">
        <v>162.83500000000001</v>
      </c>
      <c r="CX97" s="18">
        <v>296.29399999999998</v>
      </c>
      <c r="CY97" s="3">
        <f t="shared" si="11"/>
        <v>373343.35700000019</v>
      </c>
      <c r="DF97" s="3"/>
    </row>
    <row r="98" spans="1:110" customFormat="1">
      <c r="A98" s="15">
        <v>2046</v>
      </c>
      <c r="B98" s="18">
        <v>4125.3379999999997</v>
      </c>
      <c r="C98" s="18">
        <v>4137.01</v>
      </c>
      <c r="D98" s="18">
        <v>4155.1760000000004</v>
      </c>
      <c r="E98" s="18">
        <v>4169.5020000000004</v>
      </c>
      <c r="F98" s="18">
        <v>4180.6499999999996</v>
      </c>
      <c r="G98" s="18">
        <v>4189.2849999999999</v>
      </c>
      <c r="H98" s="18">
        <v>4195.9260000000004</v>
      </c>
      <c r="I98" s="18">
        <v>4201.0889999999999</v>
      </c>
      <c r="J98" s="18">
        <v>4206.1710000000003</v>
      </c>
      <c r="K98" s="18">
        <v>4212.13</v>
      </c>
      <c r="L98" s="18">
        <v>4219.1909999999998</v>
      </c>
      <c r="M98" s="18">
        <v>4225.9549999999999</v>
      </c>
      <c r="N98" s="18">
        <v>4231.9049999999997</v>
      </c>
      <c r="O98" s="18">
        <v>4243.6210000000001</v>
      </c>
      <c r="P98" s="18">
        <v>4263.9830000000002</v>
      </c>
      <c r="Q98" s="18">
        <v>4289.9629999999997</v>
      </c>
      <c r="R98" s="18">
        <v>4315.183</v>
      </c>
      <c r="S98" s="18">
        <v>4340.3620000000001</v>
      </c>
      <c r="T98" s="18">
        <v>4365.0069999999996</v>
      </c>
      <c r="U98" s="18">
        <v>4388.05</v>
      </c>
      <c r="V98" s="18">
        <v>4409.4309999999996</v>
      </c>
      <c r="W98" s="18">
        <v>4431.7049999999999</v>
      </c>
      <c r="X98" s="18">
        <v>4456.2129999999997</v>
      </c>
      <c r="Y98" s="18">
        <v>4472.2560000000003</v>
      </c>
      <c r="Z98" s="18">
        <v>4475.3549999999996</v>
      </c>
      <c r="AA98" s="18">
        <v>4471.0709999999999</v>
      </c>
      <c r="AB98" s="18">
        <v>4469.0770000000002</v>
      </c>
      <c r="AC98" s="18">
        <v>4467.0060000000003</v>
      </c>
      <c r="AD98" s="18">
        <v>4473.915</v>
      </c>
      <c r="AE98" s="18">
        <v>4495.1540000000005</v>
      </c>
      <c r="AF98" s="18">
        <v>4526.5559999999996</v>
      </c>
      <c r="AG98" s="18">
        <v>4555.6570000000002</v>
      </c>
      <c r="AH98" s="18">
        <v>4581.4139999999998</v>
      </c>
      <c r="AI98" s="18">
        <v>4618.3029999999999</v>
      </c>
      <c r="AJ98" s="18">
        <v>4671.1360000000004</v>
      </c>
      <c r="AK98" s="18">
        <v>4731.7920000000004</v>
      </c>
      <c r="AL98" s="18">
        <v>4790.2479999999996</v>
      </c>
      <c r="AM98" s="18">
        <v>4851.9930000000004</v>
      </c>
      <c r="AN98" s="18">
        <v>4887.4170000000004</v>
      </c>
      <c r="AO98" s="18">
        <v>4881.8770000000004</v>
      </c>
      <c r="AP98" s="18">
        <v>4849.9750000000004</v>
      </c>
      <c r="AQ98" s="18">
        <v>4821.1360000000004</v>
      </c>
      <c r="AR98" s="18">
        <v>4789.6880000000001</v>
      </c>
      <c r="AS98" s="18">
        <v>4766.3190000000004</v>
      </c>
      <c r="AT98" s="18">
        <v>4759.3850000000002</v>
      </c>
      <c r="AU98" s="18">
        <v>4763.6099999999997</v>
      </c>
      <c r="AV98" s="18">
        <v>4761.0959999999995</v>
      </c>
      <c r="AW98" s="18">
        <v>4750.3040000000001</v>
      </c>
      <c r="AX98" s="18">
        <v>4756.3519999999999</v>
      </c>
      <c r="AY98" s="18">
        <v>4788.3010000000004</v>
      </c>
      <c r="AZ98" s="18">
        <v>4833.0010000000002</v>
      </c>
      <c r="BA98" s="18">
        <v>4870.8389999999999</v>
      </c>
      <c r="BB98" s="18">
        <v>4908.8599999999997</v>
      </c>
      <c r="BC98" s="18">
        <v>4912.9080000000004</v>
      </c>
      <c r="BD98" s="18">
        <v>4864.9830000000002</v>
      </c>
      <c r="BE98" s="18">
        <v>4781.42</v>
      </c>
      <c r="BF98" s="18">
        <v>4697.6090000000004</v>
      </c>
      <c r="BG98" s="18">
        <v>4607.74</v>
      </c>
      <c r="BH98" s="18">
        <v>4515.2709999999997</v>
      </c>
      <c r="BI98" s="18">
        <v>4425.8959999999997</v>
      </c>
      <c r="BJ98" s="18">
        <v>4337.5780000000004</v>
      </c>
      <c r="BK98" s="18">
        <v>4243.6710000000003</v>
      </c>
      <c r="BL98" s="18">
        <v>4146.8</v>
      </c>
      <c r="BM98" s="18">
        <v>4049.4560000000001</v>
      </c>
      <c r="BN98" s="18">
        <v>3952.65</v>
      </c>
      <c r="BO98" s="18">
        <v>3857.5059999999999</v>
      </c>
      <c r="BP98" s="18">
        <v>3763.134</v>
      </c>
      <c r="BQ98" s="18">
        <v>3668.511</v>
      </c>
      <c r="BR98" s="18">
        <v>3585.0819999999999</v>
      </c>
      <c r="BS98" s="18">
        <v>3518.08</v>
      </c>
      <c r="BT98" s="18">
        <v>3462.3510000000001</v>
      </c>
      <c r="BU98" s="18">
        <v>3406.4090000000001</v>
      </c>
      <c r="BV98" s="18">
        <v>3351.2330000000002</v>
      </c>
      <c r="BW98" s="18">
        <v>3298.3960000000002</v>
      </c>
      <c r="BX98" s="18">
        <v>3247.0949999999998</v>
      </c>
      <c r="BY98" s="18">
        <v>3196.0329999999999</v>
      </c>
      <c r="BZ98" s="18">
        <v>3142.404</v>
      </c>
      <c r="CA98" s="18">
        <v>3083.9929999999999</v>
      </c>
      <c r="CB98" s="18">
        <v>3025.8820000000001</v>
      </c>
      <c r="CC98" s="18">
        <v>2969.4119999999998</v>
      </c>
      <c r="CD98" s="18">
        <v>2909.8310000000001</v>
      </c>
      <c r="CE98" s="18">
        <v>2843.1390000000001</v>
      </c>
      <c r="CF98" s="18">
        <v>2772.6370000000002</v>
      </c>
      <c r="CG98" s="18">
        <v>2675.23</v>
      </c>
      <c r="CH98" s="18">
        <v>2539.8040000000001</v>
      </c>
      <c r="CI98" s="18">
        <v>2377.2429999999999</v>
      </c>
      <c r="CJ98" s="18">
        <v>2209.6529999999998</v>
      </c>
      <c r="CK98" s="18">
        <v>2049.7930000000001</v>
      </c>
      <c r="CL98" s="18">
        <v>1878.336</v>
      </c>
      <c r="CM98" s="18">
        <v>1680.9090000000001</v>
      </c>
      <c r="CN98" s="18">
        <v>1463.2</v>
      </c>
      <c r="CO98" s="18">
        <v>1249.835</v>
      </c>
      <c r="CP98" s="18">
        <v>1094.885</v>
      </c>
      <c r="CQ98" s="18">
        <v>960.77200000000005</v>
      </c>
      <c r="CR98" s="18">
        <v>784.447</v>
      </c>
      <c r="CS98" s="18">
        <v>565.91</v>
      </c>
      <c r="CT98" s="18">
        <v>467.69200000000001</v>
      </c>
      <c r="CU98" s="18">
        <v>388.5</v>
      </c>
      <c r="CV98" s="18">
        <v>290.404</v>
      </c>
      <c r="CW98" s="18">
        <v>173.40700000000001</v>
      </c>
      <c r="CX98" s="18">
        <v>318.99900000000002</v>
      </c>
      <c r="CY98" s="3">
        <f t="shared" si="11"/>
        <v>374598.06799999991</v>
      </c>
      <c r="DF98" s="3"/>
    </row>
    <row r="99" spans="1:110" customFormat="1">
      <c r="A99" s="15">
        <v>2047</v>
      </c>
      <c r="B99" s="18">
        <v>4128.1139999999996</v>
      </c>
      <c r="C99" s="18">
        <v>4147.7060000000001</v>
      </c>
      <c r="D99" s="18">
        <v>4149.0379999999996</v>
      </c>
      <c r="E99" s="18">
        <v>4163.4179999999997</v>
      </c>
      <c r="F99" s="18">
        <v>4174.91</v>
      </c>
      <c r="G99" s="18">
        <v>4184.1540000000005</v>
      </c>
      <c r="H99" s="18">
        <v>4191.7860000000001</v>
      </c>
      <c r="I99" s="18">
        <v>4198.1509999999998</v>
      </c>
      <c r="J99" s="18">
        <v>4203.5950000000003</v>
      </c>
      <c r="K99" s="18">
        <v>4210.2190000000001</v>
      </c>
      <c r="L99" s="18">
        <v>4219.2460000000001</v>
      </c>
      <c r="M99" s="18">
        <v>4230.4359999999997</v>
      </c>
      <c r="N99" s="18">
        <v>4241.5</v>
      </c>
      <c r="O99" s="18">
        <v>4251.9059999999999</v>
      </c>
      <c r="P99" s="18">
        <v>4268.1390000000001</v>
      </c>
      <c r="Q99" s="18">
        <v>4292.884</v>
      </c>
      <c r="R99" s="18">
        <v>4322.9769999999999</v>
      </c>
      <c r="S99" s="18">
        <v>4352.2209999999995</v>
      </c>
      <c r="T99" s="18">
        <v>4381.4390000000003</v>
      </c>
      <c r="U99" s="18">
        <v>4408.5889999999999</v>
      </c>
      <c r="V99" s="18">
        <v>4431.8909999999996</v>
      </c>
      <c r="W99" s="18">
        <v>4451.9520000000002</v>
      </c>
      <c r="X99" s="18">
        <v>4472.7749999999996</v>
      </c>
      <c r="Y99" s="18">
        <v>4495.4960000000001</v>
      </c>
      <c r="Z99" s="18">
        <v>4509.4790000000003</v>
      </c>
      <c r="AA99" s="18">
        <v>4510.4530000000004</v>
      </c>
      <c r="AB99" s="18">
        <v>4503.9560000000001</v>
      </c>
      <c r="AC99" s="18">
        <v>4499.4459999999999</v>
      </c>
      <c r="AD99" s="18">
        <v>4494.6080000000002</v>
      </c>
      <c r="AE99" s="18">
        <v>4498.9359999999997</v>
      </c>
      <c r="AF99" s="18">
        <v>4517.9790000000003</v>
      </c>
      <c r="AG99" s="18">
        <v>4547.4489999999996</v>
      </c>
      <c r="AH99" s="18">
        <v>4574.5510000000004</v>
      </c>
      <c r="AI99" s="18">
        <v>4598.3</v>
      </c>
      <c r="AJ99" s="18">
        <v>4633.3149999999996</v>
      </c>
      <c r="AK99" s="18">
        <v>4684.4440000000004</v>
      </c>
      <c r="AL99" s="18">
        <v>4743.5320000000002</v>
      </c>
      <c r="AM99" s="18">
        <v>4800.4610000000002</v>
      </c>
      <c r="AN99" s="18">
        <v>4860.7190000000001</v>
      </c>
      <c r="AO99" s="18">
        <v>4894.7489999999998</v>
      </c>
      <c r="AP99" s="18">
        <v>4887.9139999999998</v>
      </c>
      <c r="AQ99" s="18">
        <v>4854.7849999999999</v>
      </c>
      <c r="AR99" s="18">
        <v>4824.7309999999998</v>
      </c>
      <c r="AS99" s="18">
        <v>4792.0789999999997</v>
      </c>
      <c r="AT99" s="18">
        <v>4767.4759999999997</v>
      </c>
      <c r="AU99" s="18">
        <v>4759.2489999999998</v>
      </c>
      <c r="AV99" s="18">
        <v>4762.1270000000004</v>
      </c>
      <c r="AW99" s="18">
        <v>4758.2619999999997</v>
      </c>
      <c r="AX99" s="18">
        <v>4746.1350000000002</v>
      </c>
      <c r="AY99" s="18">
        <v>4750.6769999999997</v>
      </c>
      <c r="AZ99" s="18">
        <v>4780.8739999999998</v>
      </c>
      <c r="BA99" s="18">
        <v>4823.6639999999998</v>
      </c>
      <c r="BB99" s="18">
        <v>4859.6030000000001</v>
      </c>
      <c r="BC99" s="18">
        <v>4895.6989999999996</v>
      </c>
      <c r="BD99" s="18">
        <v>4897.9049999999997</v>
      </c>
      <c r="BE99" s="18">
        <v>4848.2979999999998</v>
      </c>
      <c r="BF99" s="18">
        <v>4763.1589999999997</v>
      </c>
      <c r="BG99" s="18">
        <v>4677.7340000000004</v>
      </c>
      <c r="BH99" s="18">
        <v>4586.2120000000004</v>
      </c>
      <c r="BI99" s="18">
        <v>4492.1890000000003</v>
      </c>
      <c r="BJ99" s="18">
        <v>4401.3959999999997</v>
      </c>
      <c r="BK99" s="18">
        <v>4311.7330000000002</v>
      </c>
      <c r="BL99" s="18">
        <v>4216.3959999999997</v>
      </c>
      <c r="BM99" s="18">
        <v>4117.9830000000002</v>
      </c>
      <c r="BN99" s="18">
        <v>4019.0970000000002</v>
      </c>
      <c r="BO99" s="18">
        <v>3920.7710000000002</v>
      </c>
      <c r="BP99" s="18">
        <v>3824.0349999999999</v>
      </c>
      <c r="BQ99" s="18">
        <v>3727.85</v>
      </c>
      <c r="BR99" s="18">
        <v>3631.18</v>
      </c>
      <c r="BS99" s="18">
        <v>3545.4050000000002</v>
      </c>
      <c r="BT99" s="18">
        <v>3475.7</v>
      </c>
      <c r="BU99" s="18">
        <v>3416.8850000000002</v>
      </c>
      <c r="BV99" s="18">
        <v>3357.5140000000001</v>
      </c>
      <c r="BW99" s="18">
        <v>3298.56</v>
      </c>
      <c r="BX99" s="18">
        <v>3241.348</v>
      </c>
      <c r="BY99" s="18">
        <v>3184.9580000000001</v>
      </c>
      <c r="BZ99" s="18">
        <v>3128.1770000000001</v>
      </c>
      <c r="CA99" s="18">
        <v>3068.6610000000001</v>
      </c>
      <c r="CB99" s="18">
        <v>3004.4209999999998</v>
      </c>
      <c r="CC99" s="18">
        <v>2939.1759999999999</v>
      </c>
      <c r="CD99" s="18">
        <v>2873.7339999999999</v>
      </c>
      <c r="CE99" s="18">
        <v>2804.1419999999998</v>
      </c>
      <c r="CF99" s="18">
        <v>2727.9969999999998</v>
      </c>
      <c r="CG99" s="18">
        <v>2648.6039999999998</v>
      </c>
      <c r="CH99" s="18">
        <v>2542.8580000000002</v>
      </c>
      <c r="CI99" s="18">
        <v>2399.9029999999998</v>
      </c>
      <c r="CJ99" s="18">
        <v>2230.8989999999999</v>
      </c>
      <c r="CK99" s="18">
        <v>2054.4920000000002</v>
      </c>
      <c r="CL99" s="18">
        <v>1897.0229999999999</v>
      </c>
      <c r="CM99" s="18">
        <v>1731.2439999999999</v>
      </c>
      <c r="CN99" s="18">
        <v>1530.116</v>
      </c>
      <c r="CO99" s="18">
        <v>1297.9079999999999</v>
      </c>
      <c r="CP99" s="18">
        <v>1092.9179999999999</v>
      </c>
      <c r="CQ99" s="18">
        <v>959.36599999999999</v>
      </c>
      <c r="CR99" s="18">
        <v>836.11599999999999</v>
      </c>
      <c r="CS99" s="18">
        <v>675.86800000000005</v>
      </c>
      <c r="CT99" s="18">
        <v>478.62200000000001</v>
      </c>
      <c r="CU99" s="18">
        <v>407.22899999999998</v>
      </c>
      <c r="CV99" s="18">
        <v>305.38200000000001</v>
      </c>
      <c r="CW99" s="18">
        <v>183.964</v>
      </c>
      <c r="CX99" s="18">
        <v>344.31200000000001</v>
      </c>
      <c r="CY99" s="3">
        <f t="shared" si="11"/>
        <v>375827.6339999999</v>
      </c>
      <c r="DF99" s="3"/>
    </row>
    <row r="100" spans="1:110" customFormat="1">
      <c r="A100" s="15">
        <v>2048</v>
      </c>
      <c r="B100" s="18">
        <v>4132.4170000000004</v>
      </c>
      <c r="C100" s="18">
        <v>4149.5280000000002</v>
      </c>
      <c r="D100" s="18">
        <v>4162.8159999999998</v>
      </c>
      <c r="E100" s="18">
        <v>4160.1629999999996</v>
      </c>
      <c r="F100" s="18">
        <v>4170.7529999999997</v>
      </c>
      <c r="G100" s="18">
        <v>4179.4089999999997</v>
      </c>
      <c r="H100" s="18">
        <v>4186.7460000000001</v>
      </c>
      <c r="I100" s="18">
        <v>4193.3729999999996</v>
      </c>
      <c r="J100" s="18">
        <v>4199.4610000000002</v>
      </c>
      <c r="K100" s="18">
        <v>4205.183</v>
      </c>
      <c r="L100" s="18">
        <v>4213.3469999999998</v>
      </c>
      <c r="M100" s="18">
        <v>4225.442</v>
      </c>
      <c r="N100" s="18">
        <v>4240.7619999999997</v>
      </c>
      <c r="O100" s="18">
        <v>4256.1239999999998</v>
      </c>
      <c r="P100" s="18">
        <v>4270.9840000000004</v>
      </c>
      <c r="Q100" s="18">
        <v>4291.7340000000004</v>
      </c>
      <c r="R100" s="18">
        <v>4320.8559999999998</v>
      </c>
      <c r="S100" s="18">
        <v>4355.0569999999998</v>
      </c>
      <c r="T100" s="18">
        <v>4388.32</v>
      </c>
      <c r="U100" s="18">
        <v>4421.5730000000003</v>
      </c>
      <c r="V100" s="18">
        <v>4451.2219999999998</v>
      </c>
      <c r="W100" s="18">
        <v>4474.7790000000005</v>
      </c>
      <c r="X100" s="18">
        <v>4493.5159999999996</v>
      </c>
      <c r="Y100" s="18">
        <v>4512.8819999999996</v>
      </c>
      <c r="Z100" s="18">
        <v>4533.8109999999997</v>
      </c>
      <c r="AA100" s="18">
        <v>4545.7309999999998</v>
      </c>
      <c r="AB100" s="18">
        <v>4544.576</v>
      </c>
      <c r="AC100" s="18">
        <v>4535.866</v>
      </c>
      <c r="AD100" s="18">
        <v>4528.84</v>
      </c>
      <c r="AE100" s="18">
        <v>4521.2370000000001</v>
      </c>
      <c r="AF100" s="18">
        <v>4522.982</v>
      </c>
      <c r="AG100" s="18">
        <v>4539.8230000000003</v>
      </c>
      <c r="AH100" s="18">
        <v>4567.3540000000003</v>
      </c>
      <c r="AI100" s="18">
        <v>4592.451</v>
      </c>
      <c r="AJ100" s="18">
        <v>4614.1859999999997</v>
      </c>
      <c r="AK100" s="18">
        <v>4647.3180000000002</v>
      </c>
      <c r="AL100" s="18">
        <v>4696.7330000000002</v>
      </c>
      <c r="AM100" s="18">
        <v>4754.2359999999999</v>
      </c>
      <c r="AN100" s="18">
        <v>4809.6260000000002</v>
      </c>
      <c r="AO100" s="18">
        <v>4868.384</v>
      </c>
      <c r="AP100" s="18">
        <v>4901.0119999999997</v>
      </c>
      <c r="AQ100" s="18">
        <v>4892.884</v>
      </c>
      <c r="AR100" s="18">
        <v>4858.5339999999997</v>
      </c>
      <c r="AS100" s="18">
        <v>4827.2709999999997</v>
      </c>
      <c r="AT100" s="18">
        <v>4793.4210000000003</v>
      </c>
      <c r="AU100" s="18">
        <v>4767.5889999999999</v>
      </c>
      <c r="AV100" s="18">
        <v>4758.0730000000003</v>
      </c>
      <c r="AW100" s="18">
        <v>4759.5990000000002</v>
      </c>
      <c r="AX100" s="18">
        <v>4754.3860000000004</v>
      </c>
      <c r="AY100" s="18">
        <v>4740.9250000000002</v>
      </c>
      <c r="AZ100" s="18">
        <v>4743.96</v>
      </c>
      <c r="BA100" s="18">
        <v>4772.3980000000001</v>
      </c>
      <c r="BB100" s="18">
        <v>4813.2690000000002</v>
      </c>
      <c r="BC100" s="18">
        <v>4847.299</v>
      </c>
      <c r="BD100" s="18">
        <v>4881.4589999999998</v>
      </c>
      <c r="BE100" s="18">
        <v>4881.826</v>
      </c>
      <c r="BF100" s="18">
        <v>4830.5450000000001</v>
      </c>
      <c r="BG100" s="18">
        <v>4743.8490000000002</v>
      </c>
      <c r="BH100" s="18">
        <v>4656.8280000000004</v>
      </c>
      <c r="BI100" s="18">
        <v>4563.6729999999998</v>
      </c>
      <c r="BJ100" s="18">
        <v>4468.1120000000001</v>
      </c>
      <c r="BK100" s="18">
        <v>4375.9229999999998</v>
      </c>
      <c r="BL100" s="18">
        <v>4284.9340000000002</v>
      </c>
      <c r="BM100" s="18">
        <v>4188.1859999999997</v>
      </c>
      <c r="BN100" s="18">
        <v>4088.2530000000002</v>
      </c>
      <c r="BO100" s="18">
        <v>3987.8449999999998</v>
      </c>
      <c r="BP100" s="18">
        <v>3888.018</v>
      </c>
      <c r="BQ100" s="18">
        <v>3789.7109999999998</v>
      </c>
      <c r="BR100" s="18">
        <v>3691.7350000000001</v>
      </c>
      <c r="BS100" s="18">
        <v>3593.0360000000001</v>
      </c>
      <c r="BT100" s="18">
        <v>3504.9340000000002</v>
      </c>
      <c r="BU100" s="18">
        <v>3432.5390000000002</v>
      </c>
      <c r="BV100" s="18">
        <v>3370.6509999999998</v>
      </c>
      <c r="BW100" s="18">
        <v>3307.8620000000001</v>
      </c>
      <c r="BX100" s="18">
        <v>3245.1390000000001</v>
      </c>
      <c r="BY100" s="18">
        <v>3183.5639999999999</v>
      </c>
      <c r="BZ100" s="18">
        <v>3122.0970000000002</v>
      </c>
      <c r="CA100" s="18">
        <v>3059.605</v>
      </c>
      <c r="CB100" s="18">
        <v>2994.2130000000002</v>
      </c>
      <c r="CC100" s="18">
        <v>2924.1579999999999</v>
      </c>
      <c r="CD100" s="18">
        <v>2851.7910000000002</v>
      </c>
      <c r="CE100" s="18">
        <v>2777.3879999999999</v>
      </c>
      <c r="CF100" s="18">
        <v>2697.7959999999998</v>
      </c>
      <c r="CG100" s="18">
        <v>2612.212</v>
      </c>
      <c r="CH100" s="18">
        <v>2523.944</v>
      </c>
      <c r="CI100" s="18">
        <v>2409.8760000000002</v>
      </c>
      <c r="CJ100" s="18">
        <v>2259.42</v>
      </c>
      <c r="CK100" s="18">
        <v>2084.0079999999998</v>
      </c>
      <c r="CL100" s="18">
        <v>1898.8209999999999</v>
      </c>
      <c r="CM100" s="18">
        <v>1743.777</v>
      </c>
      <c r="CN100" s="18">
        <v>1583.7149999999999</v>
      </c>
      <c r="CO100" s="18">
        <v>1378.9290000000001</v>
      </c>
      <c r="CP100" s="18">
        <v>1132.2670000000001</v>
      </c>
      <c r="CQ100" s="18">
        <v>935.69899999999996</v>
      </c>
      <c r="CR100" s="18">
        <v>823.58299999999997</v>
      </c>
      <c r="CS100" s="18">
        <v>711.22799999999995</v>
      </c>
      <c r="CT100" s="18">
        <v>567.09900000000005</v>
      </c>
      <c r="CU100" s="18">
        <v>391.19499999999999</v>
      </c>
      <c r="CV100" s="18">
        <v>319.7</v>
      </c>
      <c r="CW100" s="18">
        <v>194.53200000000001</v>
      </c>
      <c r="CX100" s="18">
        <v>371.34800000000001</v>
      </c>
      <c r="CY100" s="3">
        <f t="shared" si="11"/>
        <v>377037.24400000001</v>
      </c>
      <c r="DF100" s="3"/>
    </row>
    <row r="101" spans="1:110" customFormat="1">
      <c r="A101" s="15">
        <v>2049</v>
      </c>
      <c r="B101" s="18">
        <v>4137.8389999999999</v>
      </c>
      <c r="C101" s="18">
        <v>4152.125</v>
      </c>
      <c r="D101" s="18">
        <v>4163.143</v>
      </c>
      <c r="E101" s="18">
        <v>4171.4840000000004</v>
      </c>
      <c r="F101" s="18">
        <v>4170.1570000000002</v>
      </c>
      <c r="G101" s="18">
        <v>4176.9530000000004</v>
      </c>
      <c r="H101" s="18">
        <v>4182.7730000000001</v>
      </c>
      <c r="I101" s="18">
        <v>4188.2</v>
      </c>
      <c r="J101" s="18">
        <v>4193.8190000000004</v>
      </c>
      <c r="K101" s="18">
        <v>4199.63</v>
      </c>
      <c r="L101" s="18">
        <v>4205.6289999999999</v>
      </c>
      <c r="M101" s="18">
        <v>4215.33</v>
      </c>
      <c r="N101" s="18">
        <v>4230.4889999999996</v>
      </c>
      <c r="O101" s="18">
        <v>4249.9319999999998</v>
      </c>
      <c r="P101" s="18">
        <v>4269.5889999999999</v>
      </c>
      <c r="Q101" s="18">
        <v>4288.8990000000003</v>
      </c>
      <c r="R101" s="18">
        <v>4314.1580000000004</v>
      </c>
      <c r="S101" s="18">
        <v>4347.6509999999998</v>
      </c>
      <c r="T101" s="18">
        <v>4385.9470000000001</v>
      </c>
      <c r="U101" s="18">
        <v>4423.2209999999995</v>
      </c>
      <c r="V101" s="18">
        <v>4460.4979999999996</v>
      </c>
      <c r="W101" s="18">
        <v>4492.6379999999999</v>
      </c>
      <c r="X101" s="18">
        <v>4516.442</v>
      </c>
      <c r="Y101" s="18">
        <v>4533.8490000000002</v>
      </c>
      <c r="Z101" s="18">
        <v>4551.7539999999999</v>
      </c>
      <c r="AA101" s="18">
        <v>4570.8850000000002</v>
      </c>
      <c r="AB101" s="18">
        <v>4580.7380000000003</v>
      </c>
      <c r="AC101" s="18">
        <v>4577.4560000000001</v>
      </c>
      <c r="AD101" s="18">
        <v>4566.5360000000001</v>
      </c>
      <c r="AE101" s="18">
        <v>4556.9979999999996</v>
      </c>
      <c r="AF101" s="18">
        <v>4546.63</v>
      </c>
      <c r="AG101" s="18">
        <v>4545.7920000000004</v>
      </c>
      <c r="AH101" s="18">
        <v>4560.4290000000001</v>
      </c>
      <c r="AI101" s="18">
        <v>4586.0110000000004</v>
      </c>
      <c r="AJ101" s="18">
        <v>4609.0969999999998</v>
      </c>
      <c r="AK101" s="18">
        <v>4628.8109999999997</v>
      </c>
      <c r="AL101" s="18">
        <v>4660.0529999999999</v>
      </c>
      <c r="AM101" s="18">
        <v>4707.7389999999996</v>
      </c>
      <c r="AN101" s="18">
        <v>4763.6450000000004</v>
      </c>
      <c r="AO101" s="18">
        <v>4817.4799999999996</v>
      </c>
      <c r="AP101" s="18">
        <v>4874.7219999999998</v>
      </c>
      <c r="AQ101" s="18">
        <v>4905.9380000000001</v>
      </c>
      <c r="AR101" s="18">
        <v>4896.5209999999997</v>
      </c>
      <c r="AS101" s="18">
        <v>4860.96</v>
      </c>
      <c r="AT101" s="18">
        <v>4828.4960000000001</v>
      </c>
      <c r="AU101" s="18">
        <v>4793.4579999999996</v>
      </c>
      <c r="AV101" s="18">
        <v>4766.4040000000005</v>
      </c>
      <c r="AW101" s="18">
        <v>4755.5990000000002</v>
      </c>
      <c r="AX101" s="18">
        <v>4755.7759999999998</v>
      </c>
      <c r="AY101" s="18">
        <v>4749.2129999999997</v>
      </c>
      <c r="AZ101" s="18">
        <v>4734.4229999999998</v>
      </c>
      <c r="BA101" s="18">
        <v>4735.95</v>
      </c>
      <c r="BB101" s="18">
        <v>4762.6220000000003</v>
      </c>
      <c r="BC101" s="18">
        <v>4801.5640000000003</v>
      </c>
      <c r="BD101" s="18">
        <v>4833.6769999999997</v>
      </c>
      <c r="BE101" s="18">
        <v>4865.8940000000002</v>
      </c>
      <c r="BF101" s="18">
        <v>4864.4189999999999</v>
      </c>
      <c r="BG101" s="18">
        <v>4811.4799999999996</v>
      </c>
      <c r="BH101" s="18">
        <v>4723.2489999999998</v>
      </c>
      <c r="BI101" s="18">
        <v>4634.6559999999999</v>
      </c>
      <c r="BJ101" s="18">
        <v>4539.8919999999998</v>
      </c>
      <c r="BK101" s="18">
        <v>4442.8220000000001</v>
      </c>
      <c r="BL101" s="18">
        <v>4349.26</v>
      </c>
      <c r="BM101" s="18">
        <v>4256.97</v>
      </c>
      <c r="BN101" s="18">
        <v>4158.8360000000002</v>
      </c>
      <c r="BO101" s="18">
        <v>4057.4079999999999</v>
      </c>
      <c r="BP101" s="18">
        <v>3955.5070000000001</v>
      </c>
      <c r="BQ101" s="18">
        <v>3854.2060000000001</v>
      </c>
      <c r="BR101" s="18">
        <v>3754.355</v>
      </c>
      <c r="BS101" s="18">
        <v>3654.614</v>
      </c>
      <c r="BT101" s="18">
        <v>3553.9140000000002</v>
      </c>
      <c r="BU101" s="18">
        <v>3463.5079999999998</v>
      </c>
      <c r="BV101" s="18">
        <v>3388.4430000000002</v>
      </c>
      <c r="BW101" s="18">
        <v>3323.498</v>
      </c>
      <c r="BX101" s="18">
        <v>3257.3090000000002</v>
      </c>
      <c r="BY101" s="18">
        <v>3190.835</v>
      </c>
      <c r="BZ101" s="18">
        <v>3124.913</v>
      </c>
      <c r="CA101" s="18">
        <v>3058.3870000000002</v>
      </c>
      <c r="CB101" s="18">
        <v>2990.203</v>
      </c>
      <c r="CC101" s="18">
        <v>2918.9540000000002</v>
      </c>
      <c r="CD101" s="18">
        <v>2843.1039999999998</v>
      </c>
      <c r="CE101" s="18">
        <v>2763.6350000000002</v>
      </c>
      <c r="CF101" s="18">
        <v>2680.2919999999999</v>
      </c>
      <c r="CG101" s="18">
        <v>2590.723</v>
      </c>
      <c r="CH101" s="18">
        <v>2495.7240000000002</v>
      </c>
      <c r="CI101" s="18">
        <v>2398.6039999999998</v>
      </c>
      <c r="CJ101" s="18">
        <v>2276.248</v>
      </c>
      <c r="CK101" s="18">
        <v>2118.3339999999998</v>
      </c>
      <c r="CL101" s="18">
        <v>1936.5609999999999</v>
      </c>
      <c r="CM101" s="18">
        <v>1742.645</v>
      </c>
      <c r="CN101" s="18">
        <v>1590.069</v>
      </c>
      <c r="CO101" s="18">
        <v>1435.7660000000001</v>
      </c>
      <c r="CP101" s="18">
        <v>1227.3810000000001</v>
      </c>
      <c r="CQ101" s="18">
        <v>966.33600000000001</v>
      </c>
      <c r="CR101" s="18">
        <v>778.245</v>
      </c>
      <c r="CS101" s="18">
        <v>687.59100000000001</v>
      </c>
      <c r="CT101" s="18">
        <v>586.15800000000002</v>
      </c>
      <c r="CU101" s="18">
        <v>458.18599999999998</v>
      </c>
      <c r="CV101" s="18">
        <v>303.67099999999999</v>
      </c>
      <c r="CW101" s="18">
        <v>205.226</v>
      </c>
      <c r="CX101" s="18">
        <v>398.87599999999998</v>
      </c>
      <c r="CY101" s="3">
        <f t="shared" si="11"/>
        <v>378232.67900000006</v>
      </c>
      <c r="DF101" s="19"/>
    </row>
    <row r="102" spans="1:110" customFormat="1">
      <c r="A102" s="15">
        <v>2050</v>
      </c>
      <c r="B102" s="18">
        <v>4143.933</v>
      </c>
      <c r="C102" s="18">
        <v>4155.402</v>
      </c>
      <c r="D102" s="18">
        <v>4164.0630000000001</v>
      </c>
      <c r="E102" s="18">
        <v>4170.4740000000002</v>
      </c>
      <c r="F102" s="18">
        <v>4175.192</v>
      </c>
      <c r="G102" s="18">
        <v>4178.7740000000003</v>
      </c>
      <c r="H102" s="18">
        <v>4181.7790000000005</v>
      </c>
      <c r="I102" s="18">
        <v>4184.7610000000004</v>
      </c>
      <c r="J102" s="18">
        <v>4188.2790000000005</v>
      </c>
      <c r="K102" s="18">
        <v>4192.8900000000003</v>
      </c>
      <c r="L102" s="18">
        <v>4198.42</v>
      </c>
      <c r="M102" s="18">
        <v>4204.6949999999997</v>
      </c>
      <c r="N102" s="18">
        <v>4215.9290000000001</v>
      </c>
      <c r="O102" s="18">
        <v>4234.1440000000002</v>
      </c>
      <c r="P102" s="18">
        <v>4257.7020000000002</v>
      </c>
      <c r="Q102" s="18">
        <v>4281.6409999999996</v>
      </c>
      <c r="R102" s="18">
        <v>4305.3919999999998</v>
      </c>
      <c r="S102" s="18">
        <v>4335.1499999999996</v>
      </c>
      <c r="T102" s="18">
        <v>4372.9960000000001</v>
      </c>
      <c r="U102" s="18">
        <v>4415.3739999999998</v>
      </c>
      <c r="V102" s="18">
        <v>4456.6419999999998</v>
      </c>
      <c r="W102" s="18">
        <v>4497.9269999999997</v>
      </c>
      <c r="X102" s="18">
        <v>4532.5460000000003</v>
      </c>
      <c r="Y102" s="18">
        <v>4556.59</v>
      </c>
      <c r="Z102" s="18">
        <v>4572.6629999999996</v>
      </c>
      <c r="AA102" s="18">
        <v>4589.1019999999999</v>
      </c>
      <c r="AB102" s="18">
        <v>4606.4290000000001</v>
      </c>
      <c r="AC102" s="18">
        <v>4614.2150000000001</v>
      </c>
      <c r="AD102" s="18">
        <v>4608.8069999999998</v>
      </c>
      <c r="AE102" s="18">
        <v>4595.683</v>
      </c>
      <c r="AF102" s="18">
        <v>4583.6350000000002</v>
      </c>
      <c r="AG102" s="18">
        <v>4570.509</v>
      </c>
      <c r="AH102" s="18">
        <v>4567.0889999999999</v>
      </c>
      <c r="AI102" s="18">
        <v>4579.518</v>
      </c>
      <c r="AJ102" s="18">
        <v>4603.1469999999999</v>
      </c>
      <c r="AK102" s="18">
        <v>4624.2139999999999</v>
      </c>
      <c r="AL102" s="18">
        <v>4641.9040000000005</v>
      </c>
      <c r="AM102" s="18">
        <v>4671.2449999999999</v>
      </c>
      <c r="AN102" s="18">
        <v>4717.1890000000003</v>
      </c>
      <c r="AO102" s="18">
        <v>4771.4780000000001</v>
      </c>
      <c r="AP102" s="18">
        <v>4823.7420000000002</v>
      </c>
      <c r="AQ102" s="18">
        <v>4879.4520000000002</v>
      </c>
      <c r="AR102" s="18">
        <v>4909.2479999999996</v>
      </c>
      <c r="AS102" s="18">
        <v>4898.5429999999997</v>
      </c>
      <c r="AT102" s="18">
        <v>4861.7830000000004</v>
      </c>
      <c r="AU102" s="18">
        <v>4828.1310000000003</v>
      </c>
      <c r="AV102" s="18">
        <v>4791.9160000000002</v>
      </c>
      <c r="AW102" s="18">
        <v>4763.6499999999996</v>
      </c>
      <c r="AX102" s="18">
        <v>4751.5609999999997</v>
      </c>
      <c r="AY102" s="18">
        <v>4750.3900000000003</v>
      </c>
      <c r="AZ102" s="18">
        <v>4742.482</v>
      </c>
      <c r="BA102" s="18">
        <v>4726.366</v>
      </c>
      <c r="BB102" s="18">
        <v>4726.3879999999999</v>
      </c>
      <c r="BC102" s="18">
        <v>4751.2860000000001</v>
      </c>
      <c r="BD102" s="18">
        <v>4788.2870000000003</v>
      </c>
      <c r="BE102" s="18">
        <v>4818.473</v>
      </c>
      <c r="BF102" s="18">
        <v>4848.7380000000003</v>
      </c>
      <c r="BG102" s="18">
        <v>4845.4229999999998</v>
      </c>
      <c r="BH102" s="18">
        <v>4790.8440000000001</v>
      </c>
      <c r="BI102" s="18">
        <v>4701.1090000000004</v>
      </c>
      <c r="BJ102" s="18">
        <v>4610.9719999999998</v>
      </c>
      <c r="BK102" s="18">
        <v>4514.634</v>
      </c>
      <c r="BL102" s="18">
        <v>4416.0860000000002</v>
      </c>
      <c r="BM102" s="18">
        <v>4321.183</v>
      </c>
      <c r="BN102" s="18">
        <v>4227.6220000000003</v>
      </c>
      <c r="BO102" s="18">
        <v>4128.1350000000002</v>
      </c>
      <c r="BP102" s="18">
        <v>4025.2469999999998</v>
      </c>
      <c r="BQ102" s="18">
        <v>3921.886</v>
      </c>
      <c r="BR102" s="18">
        <v>3819.1460000000002</v>
      </c>
      <c r="BS102" s="18">
        <v>3717.7820000000002</v>
      </c>
      <c r="BT102" s="18">
        <v>3616.31</v>
      </c>
      <c r="BU102" s="18">
        <v>3513.6419999999998</v>
      </c>
      <c r="BV102" s="18">
        <v>3420.9639999999999</v>
      </c>
      <c r="BW102" s="18">
        <v>3343.2570000000001</v>
      </c>
      <c r="BX102" s="18">
        <v>3275.277</v>
      </c>
      <c r="BY102" s="18">
        <v>3205.712</v>
      </c>
      <c r="BZ102" s="18">
        <v>3135.5120000000002</v>
      </c>
      <c r="CA102" s="18">
        <v>3065.2689999999998</v>
      </c>
      <c r="CB102" s="18">
        <v>2993.7080000000001</v>
      </c>
      <c r="CC102" s="18">
        <v>2919.86</v>
      </c>
      <c r="CD102" s="18">
        <v>2842.78</v>
      </c>
      <c r="CE102" s="18">
        <v>2761.1640000000002</v>
      </c>
      <c r="CF102" s="18">
        <v>2674.625</v>
      </c>
      <c r="CG102" s="18">
        <v>2582.3760000000002</v>
      </c>
      <c r="CH102" s="18">
        <v>2482.8670000000002</v>
      </c>
      <c r="CI102" s="18">
        <v>2378.4899999999998</v>
      </c>
      <c r="CJ102" s="18">
        <v>2272.5569999999998</v>
      </c>
      <c r="CK102" s="18">
        <v>2141.9589999999998</v>
      </c>
      <c r="CL102" s="18">
        <v>1976.645</v>
      </c>
      <c r="CM102" s="18">
        <v>1788.578</v>
      </c>
      <c r="CN102" s="18">
        <v>1586.0029999999999</v>
      </c>
      <c r="CO102" s="18">
        <v>1435.943</v>
      </c>
      <c r="CP102" s="18">
        <v>1287.4469999999999</v>
      </c>
      <c r="CQ102" s="18">
        <v>1075.5340000000001</v>
      </c>
      <c r="CR102" s="18">
        <v>800.20500000000004</v>
      </c>
      <c r="CS102" s="18">
        <v>620.64800000000002</v>
      </c>
      <c r="CT102" s="18">
        <v>551.46900000000005</v>
      </c>
      <c r="CU102" s="18">
        <v>460.988</v>
      </c>
      <c r="CV102" s="18">
        <v>349.202</v>
      </c>
      <c r="CW102" s="18">
        <v>216.11199999999999</v>
      </c>
      <c r="CX102" s="18">
        <v>425.96699999999998</v>
      </c>
      <c r="CY102" s="3">
        <f t="shared" si="11"/>
        <v>379419.09699999989</v>
      </c>
    </row>
    <row r="103" spans="1:110" customFormat="1">
      <c r="A103" s="15">
        <v>2051</v>
      </c>
      <c r="B103" s="18">
        <v>4156.0749999999998</v>
      </c>
      <c r="C103" s="18">
        <v>4155.8639999999996</v>
      </c>
      <c r="D103" s="18">
        <v>4164.12</v>
      </c>
      <c r="E103" s="18">
        <v>4170.3050000000003</v>
      </c>
      <c r="F103" s="18">
        <v>4174.9870000000001</v>
      </c>
      <c r="G103" s="18">
        <v>4178.7330000000002</v>
      </c>
      <c r="H103" s="18">
        <v>4181.9260000000004</v>
      </c>
      <c r="I103" s="18">
        <v>4184.9520000000002</v>
      </c>
      <c r="J103" s="18">
        <v>4189.2910000000002</v>
      </c>
      <c r="K103" s="18">
        <v>4195.8789999999999</v>
      </c>
      <c r="L103" s="18">
        <v>4204.7330000000002</v>
      </c>
      <c r="M103" s="18">
        <v>4214.6030000000001</v>
      </c>
      <c r="N103" s="18">
        <v>4225.3360000000002</v>
      </c>
      <c r="O103" s="18">
        <v>4241.0969999999998</v>
      </c>
      <c r="P103" s="18">
        <v>4263.7089999999998</v>
      </c>
      <c r="Q103" s="18">
        <v>4291.3969999999999</v>
      </c>
      <c r="R103" s="18">
        <v>4319.3779999999997</v>
      </c>
      <c r="S103" s="18">
        <v>4347.1840000000002</v>
      </c>
      <c r="T103" s="18">
        <v>4379.4620000000004</v>
      </c>
      <c r="U103" s="18">
        <v>4417.58</v>
      </c>
      <c r="V103" s="18">
        <v>4458.6469999999999</v>
      </c>
      <c r="W103" s="18">
        <v>4498.4740000000002</v>
      </c>
      <c r="X103" s="18">
        <v>4537.9870000000001</v>
      </c>
      <c r="Y103" s="18">
        <v>4570.55</v>
      </c>
      <c r="Z103" s="18">
        <v>4592.4560000000001</v>
      </c>
      <c r="AA103" s="18">
        <v>4606.2979999999998</v>
      </c>
      <c r="AB103" s="18">
        <v>4620.2060000000001</v>
      </c>
      <c r="AC103" s="18">
        <v>4634.7510000000002</v>
      </c>
      <c r="AD103" s="18">
        <v>4639.9610000000002</v>
      </c>
      <c r="AE103" s="18">
        <v>4632.3909999999996</v>
      </c>
      <c r="AF103" s="18">
        <v>4617.3900000000003</v>
      </c>
      <c r="AG103" s="18">
        <v>4603.3959999999997</v>
      </c>
      <c r="AH103" s="18">
        <v>4588.3090000000002</v>
      </c>
      <c r="AI103" s="18">
        <v>4583.0739999999996</v>
      </c>
      <c r="AJ103" s="18">
        <v>4593.8680000000004</v>
      </c>
      <c r="AK103" s="18">
        <v>4616</v>
      </c>
      <c r="AL103" s="18">
        <v>4635.616</v>
      </c>
      <c r="AM103" s="18">
        <v>4651.9040000000005</v>
      </c>
      <c r="AN103" s="18">
        <v>4679.8909999999996</v>
      </c>
      <c r="AO103" s="18">
        <v>4724.5039999999999</v>
      </c>
      <c r="AP103" s="18">
        <v>4777.4870000000001</v>
      </c>
      <c r="AQ103" s="18">
        <v>4828.4690000000001</v>
      </c>
      <c r="AR103" s="18">
        <v>4882.9110000000001</v>
      </c>
      <c r="AS103" s="18">
        <v>4911.4470000000001</v>
      </c>
      <c r="AT103" s="18">
        <v>4899.49</v>
      </c>
      <c r="AU103" s="18">
        <v>4861.4679999999998</v>
      </c>
      <c r="AV103" s="18">
        <v>4826.5339999999997</v>
      </c>
      <c r="AW103" s="18">
        <v>4789.0200000000004</v>
      </c>
      <c r="AX103" s="18">
        <v>4759.375</v>
      </c>
      <c r="AY103" s="18">
        <v>4745.7879999999996</v>
      </c>
      <c r="AZ103" s="18">
        <v>4743.0259999999998</v>
      </c>
      <c r="BA103" s="18">
        <v>4733.5129999999999</v>
      </c>
      <c r="BB103" s="18">
        <v>4715.7910000000002</v>
      </c>
      <c r="BC103" s="18">
        <v>4714.0820000000003</v>
      </c>
      <c r="BD103" s="18">
        <v>4737.0820000000003</v>
      </c>
      <c r="BE103" s="18">
        <v>4772.0870000000004</v>
      </c>
      <c r="BF103" s="18">
        <v>4800.2629999999999</v>
      </c>
      <c r="BG103" s="18">
        <v>4828.4589999999998</v>
      </c>
      <c r="BH103" s="18">
        <v>4823.241</v>
      </c>
      <c r="BI103" s="18">
        <v>4767.04</v>
      </c>
      <c r="BJ103" s="18">
        <v>4675.8500000000004</v>
      </c>
      <c r="BK103" s="18">
        <v>4584.1670000000004</v>
      </c>
      <c r="BL103" s="18">
        <v>4486.2079999999996</v>
      </c>
      <c r="BM103" s="18">
        <v>4386.027</v>
      </c>
      <c r="BN103" s="18">
        <v>4289.4759999999997</v>
      </c>
      <c r="BO103" s="18">
        <v>4194.2</v>
      </c>
      <c r="BP103" s="18">
        <v>4092.8440000000001</v>
      </c>
      <c r="BQ103" s="18">
        <v>3987.8870000000002</v>
      </c>
      <c r="BR103" s="18">
        <v>3882.3290000000002</v>
      </c>
      <c r="BS103" s="18">
        <v>3777.2689999999998</v>
      </c>
      <c r="BT103" s="18">
        <v>3673.377</v>
      </c>
      <c r="BU103" s="18">
        <v>3569.067</v>
      </c>
      <c r="BV103" s="18">
        <v>3463.2660000000001</v>
      </c>
      <c r="BW103" s="18">
        <v>3366.913</v>
      </c>
      <c r="BX103" s="18">
        <v>3284.855</v>
      </c>
      <c r="BY103" s="18">
        <v>3211.9279999999999</v>
      </c>
      <c r="BZ103" s="18">
        <v>3137.154</v>
      </c>
      <c r="CA103" s="18">
        <v>3061.5659999999998</v>
      </c>
      <c r="CB103" s="18">
        <v>2985.0540000000001</v>
      </c>
      <c r="CC103" s="18">
        <v>2906.0810000000001</v>
      </c>
      <c r="CD103" s="18">
        <v>2824.058</v>
      </c>
      <c r="CE103" s="18">
        <v>2739.0740000000001</v>
      </c>
      <c r="CF103" s="18">
        <v>2650.08</v>
      </c>
      <c r="CG103" s="18">
        <v>2555.3739999999998</v>
      </c>
      <c r="CH103" s="18">
        <v>2453.768</v>
      </c>
      <c r="CI103" s="18">
        <v>2344.62</v>
      </c>
      <c r="CJ103" s="18">
        <v>2229.402</v>
      </c>
      <c r="CK103" s="18">
        <v>2123.7869999999998</v>
      </c>
      <c r="CL103" s="18">
        <v>1991.8910000000001</v>
      </c>
      <c r="CM103" s="18">
        <v>1818.671</v>
      </c>
      <c r="CN103" s="18">
        <v>1613.704</v>
      </c>
      <c r="CO103" s="18">
        <v>1415.3579999999999</v>
      </c>
      <c r="CP103" s="18">
        <v>1280.921</v>
      </c>
      <c r="CQ103" s="18">
        <v>1142.03</v>
      </c>
      <c r="CR103" s="18">
        <v>946.67899999999997</v>
      </c>
      <c r="CS103" s="18">
        <v>694.86699999999996</v>
      </c>
      <c r="CT103" s="18">
        <v>574.03099999999995</v>
      </c>
      <c r="CU103" s="18">
        <v>481.00700000000001</v>
      </c>
      <c r="CV103" s="18">
        <v>365.48599999999999</v>
      </c>
      <c r="CW103" s="18">
        <v>227.46799999999999</v>
      </c>
      <c r="CX103" s="18">
        <v>452.77800000000002</v>
      </c>
      <c r="CY103" s="3">
        <f t="shared" si="11"/>
        <v>380599.42899999989</v>
      </c>
    </row>
    <row r="104" spans="1:110" customFormat="1">
      <c r="A104" s="15">
        <v>2052</v>
      </c>
      <c r="B104" s="18">
        <v>4169.53</v>
      </c>
      <c r="C104" s="18">
        <v>4175.5079999999998</v>
      </c>
      <c r="D104" s="18">
        <v>4167.1499999999996</v>
      </c>
      <c r="E104" s="18">
        <v>4172.1890000000003</v>
      </c>
      <c r="F104" s="18">
        <v>4175.8959999999997</v>
      </c>
      <c r="G104" s="18">
        <v>4178.8469999999998</v>
      </c>
      <c r="H104" s="18">
        <v>4181.6189999999997</v>
      </c>
      <c r="I104" s="18">
        <v>4184.4219999999996</v>
      </c>
      <c r="J104" s="18">
        <v>4187.47</v>
      </c>
      <c r="K104" s="18">
        <v>4193.1679999999997</v>
      </c>
      <c r="L104" s="18">
        <v>4202.826</v>
      </c>
      <c r="M104" s="18">
        <v>4215.924</v>
      </c>
      <c r="N104" s="18">
        <v>4230.134</v>
      </c>
      <c r="O104" s="18">
        <v>4245.3289999999997</v>
      </c>
      <c r="P104" s="18">
        <v>4265.6170000000002</v>
      </c>
      <c r="Q104" s="18">
        <v>4292.6239999999998</v>
      </c>
      <c r="R104" s="18">
        <v>4324.4399999999996</v>
      </c>
      <c r="S104" s="18">
        <v>4356.4610000000002</v>
      </c>
      <c r="T104" s="18">
        <v>4388.3220000000001</v>
      </c>
      <c r="U104" s="18">
        <v>4423.1170000000002</v>
      </c>
      <c r="V104" s="18">
        <v>4461.4989999999998</v>
      </c>
      <c r="W104" s="18">
        <v>4501.2479999999996</v>
      </c>
      <c r="X104" s="18">
        <v>4539.6279999999997</v>
      </c>
      <c r="Y104" s="18">
        <v>4577.3599999999997</v>
      </c>
      <c r="Z104" s="18">
        <v>4607.8620000000001</v>
      </c>
      <c r="AA104" s="18">
        <v>4627.625</v>
      </c>
      <c r="AB104" s="18">
        <v>4639.2309999999998</v>
      </c>
      <c r="AC104" s="18">
        <v>4650.6059999999998</v>
      </c>
      <c r="AD104" s="18">
        <v>4662.3639999999996</v>
      </c>
      <c r="AE104" s="18">
        <v>4664.9939999999997</v>
      </c>
      <c r="AF104" s="18">
        <v>4655.2629999999999</v>
      </c>
      <c r="AG104" s="18">
        <v>4638.3850000000002</v>
      </c>
      <c r="AH104" s="18">
        <v>4622.4449999999997</v>
      </c>
      <c r="AI104" s="18">
        <v>4605.3990000000003</v>
      </c>
      <c r="AJ104" s="18">
        <v>4598.3469999999998</v>
      </c>
      <c r="AK104" s="18">
        <v>4607.5050000000001</v>
      </c>
      <c r="AL104" s="18">
        <v>4628.1360000000004</v>
      </c>
      <c r="AM104" s="18">
        <v>4646.2950000000001</v>
      </c>
      <c r="AN104" s="18">
        <v>4661.1809999999996</v>
      </c>
      <c r="AO104" s="18">
        <v>4687.8050000000003</v>
      </c>
      <c r="AP104" s="18">
        <v>4731.0810000000001</v>
      </c>
      <c r="AQ104" s="18">
        <v>4782.7479999999996</v>
      </c>
      <c r="AR104" s="18">
        <v>4832.4390000000003</v>
      </c>
      <c r="AS104" s="18">
        <v>4885.6019999999999</v>
      </c>
      <c r="AT104" s="18">
        <v>4912.875</v>
      </c>
      <c r="AU104" s="18">
        <v>4899.6660000000002</v>
      </c>
      <c r="AV104" s="18">
        <v>4860.3860000000004</v>
      </c>
      <c r="AW104" s="18">
        <v>4824.1760000000004</v>
      </c>
      <c r="AX104" s="18">
        <v>4785.3689999999997</v>
      </c>
      <c r="AY104" s="18">
        <v>4754.3459999999995</v>
      </c>
      <c r="AZ104" s="18">
        <v>4739.2640000000001</v>
      </c>
      <c r="BA104" s="18">
        <v>4734.91</v>
      </c>
      <c r="BB104" s="18">
        <v>4723.7929999999997</v>
      </c>
      <c r="BC104" s="18">
        <v>4704.4650000000001</v>
      </c>
      <c r="BD104" s="18">
        <v>4701.0240000000003</v>
      </c>
      <c r="BE104" s="18">
        <v>4722.1239999999998</v>
      </c>
      <c r="BF104" s="18">
        <v>4755.125</v>
      </c>
      <c r="BG104" s="18">
        <v>4781.2839999999997</v>
      </c>
      <c r="BH104" s="18">
        <v>4807.4049999999997</v>
      </c>
      <c r="BI104" s="18">
        <v>4800.2860000000001</v>
      </c>
      <c r="BJ104" s="18">
        <v>4742.4690000000001</v>
      </c>
      <c r="BK104" s="18">
        <v>4649.8360000000002</v>
      </c>
      <c r="BL104" s="18">
        <v>4556.6210000000001</v>
      </c>
      <c r="BM104" s="18">
        <v>4457.0559999999996</v>
      </c>
      <c r="BN104" s="18">
        <v>4355.2569999999996</v>
      </c>
      <c r="BO104" s="18">
        <v>4257.07</v>
      </c>
      <c r="BP104" s="18">
        <v>4160.0940000000001</v>
      </c>
      <c r="BQ104" s="18">
        <v>4056.8820000000001</v>
      </c>
      <c r="BR104" s="18">
        <v>3949.873</v>
      </c>
      <c r="BS104" s="18">
        <v>3842.1320000000001</v>
      </c>
      <c r="BT104" s="18">
        <v>3734.7649999999999</v>
      </c>
      <c r="BU104" s="18">
        <v>3628.3580000000002</v>
      </c>
      <c r="BV104" s="18">
        <v>3521.2260000000001</v>
      </c>
      <c r="BW104" s="18">
        <v>3412.306</v>
      </c>
      <c r="BX104" s="18">
        <v>3312.2910000000002</v>
      </c>
      <c r="BY104" s="18">
        <v>3225.8919999999998</v>
      </c>
      <c r="BZ104" s="18">
        <v>3148.027</v>
      </c>
      <c r="CA104" s="18">
        <v>3068.0520000000001</v>
      </c>
      <c r="CB104" s="18">
        <v>2987.0830000000001</v>
      </c>
      <c r="CC104" s="18">
        <v>2904.3110000000001</v>
      </c>
      <c r="CD104" s="18">
        <v>2817.933</v>
      </c>
      <c r="CE104" s="18">
        <v>2727.7420000000002</v>
      </c>
      <c r="CF104" s="18">
        <v>2634.8629999999998</v>
      </c>
      <c r="CG104" s="18">
        <v>2538.5</v>
      </c>
      <c r="CH104" s="18">
        <v>2435.636</v>
      </c>
      <c r="CI104" s="18">
        <v>2324.6819999999998</v>
      </c>
      <c r="CJ104" s="18">
        <v>2205.9059999999999</v>
      </c>
      <c r="CK104" s="18">
        <v>2079.855</v>
      </c>
      <c r="CL104" s="18">
        <v>1974.576</v>
      </c>
      <c r="CM104" s="18">
        <v>1841.4010000000001</v>
      </c>
      <c r="CN104" s="18">
        <v>1660.297</v>
      </c>
      <c r="CO104" s="18">
        <v>1438.45</v>
      </c>
      <c r="CP104" s="18">
        <v>1244.366</v>
      </c>
      <c r="CQ104" s="18">
        <v>1125.5840000000001</v>
      </c>
      <c r="CR104" s="18">
        <v>996.32600000000002</v>
      </c>
      <c r="CS104" s="18">
        <v>817.58</v>
      </c>
      <c r="CT104" s="18">
        <v>589.34400000000005</v>
      </c>
      <c r="CU104" s="18">
        <v>501.56599999999997</v>
      </c>
      <c r="CV104" s="18">
        <v>382.22800000000001</v>
      </c>
      <c r="CW104" s="18">
        <v>238.92</v>
      </c>
      <c r="CX104" s="18">
        <v>478.95499999999998</v>
      </c>
      <c r="CY104" s="3">
        <f t="shared" si="11"/>
        <v>381776.45000000013</v>
      </c>
    </row>
    <row r="105" spans="1:110" customFormat="1">
      <c r="A105" s="15">
        <v>2053</v>
      </c>
      <c r="B105" s="18">
        <v>4183.6130000000003</v>
      </c>
      <c r="C105" s="18">
        <v>4187.0870000000004</v>
      </c>
      <c r="D105" s="18">
        <v>4188.5330000000004</v>
      </c>
      <c r="E105" s="18">
        <v>4177.6080000000002</v>
      </c>
      <c r="F105" s="18">
        <v>4179.43</v>
      </c>
      <c r="G105" s="18">
        <v>4180.6549999999997</v>
      </c>
      <c r="H105" s="18">
        <v>4181.8739999999998</v>
      </c>
      <c r="I105" s="18">
        <v>4183.6710000000003</v>
      </c>
      <c r="J105" s="18">
        <v>4186.0839999999998</v>
      </c>
      <c r="K105" s="18">
        <v>4189.1530000000002</v>
      </c>
      <c r="L105" s="18">
        <v>4196.2079999999996</v>
      </c>
      <c r="M105" s="18">
        <v>4208.9350000000004</v>
      </c>
      <c r="N105" s="18">
        <v>4226.2749999999996</v>
      </c>
      <c r="O105" s="18">
        <v>4244.826</v>
      </c>
      <c r="P105" s="18">
        <v>4264.4799999999996</v>
      </c>
      <c r="Q105" s="18">
        <v>4289.2939999999999</v>
      </c>
      <c r="R105" s="18">
        <v>4320.692</v>
      </c>
      <c r="S105" s="18">
        <v>4356.6310000000003</v>
      </c>
      <c r="T105" s="18">
        <v>4392.6869999999999</v>
      </c>
      <c r="U105" s="18">
        <v>4428.5990000000002</v>
      </c>
      <c r="V105" s="18">
        <v>4465.902</v>
      </c>
      <c r="W105" s="18">
        <v>4504.5429999999997</v>
      </c>
      <c r="X105" s="18">
        <v>4542.9650000000001</v>
      </c>
      <c r="Y105" s="18">
        <v>4579.8879999999999</v>
      </c>
      <c r="Z105" s="18">
        <v>4615.8329999999996</v>
      </c>
      <c r="AA105" s="18">
        <v>4644.2650000000003</v>
      </c>
      <c r="AB105" s="18">
        <v>4661.8810000000003</v>
      </c>
      <c r="AC105" s="18">
        <v>4671.2489999999998</v>
      </c>
      <c r="AD105" s="18">
        <v>4680.0860000000002</v>
      </c>
      <c r="AE105" s="18">
        <v>4689.0550000000003</v>
      </c>
      <c r="AF105" s="18">
        <v>4689.1030000000001</v>
      </c>
      <c r="AG105" s="18">
        <v>4677.2129999999997</v>
      </c>
      <c r="AH105" s="18">
        <v>4658.4610000000002</v>
      </c>
      <c r="AI105" s="18">
        <v>4640.5770000000002</v>
      </c>
      <c r="AJ105" s="18">
        <v>4621.5749999999998</v>
      </c>
      <c r="AK105" s="18">
        <v>4612.7070000000003</v>
      </c>
      <c r="AL105" s="18">
        <v>4620.2250000000004</v>
      </c>
      <c r="AM105" s="18">
        <v>4639.3500000000004</v>
      </c>
      <c r="AN105" s="18">
        <v>4656.0479999999998</v>
      </c>
      <c r="AO105" s="18">
        <v>4669.5280000000002</v>
      </c>
      <c r="AP105" s="18">
        <v>4694.7849999999999</v>
      </c>
      <c r="AQ105" s="18">
        <v>4736.7139999999999</v>
      </c>
      <c r="AR105" s="18">
        <v>4787.0529999999999</v>
      </c>
      <c r="AS105" s="18">
        <v>4835.4449999999997</v>
      </c>
      <c r="AT105" s="18">
        <v>4887.3180000000002</v>
      </c>
      <c r="AU105" s="18">
        <v>4913.3209999999999</v>
      </c>
      <c r="AV105" s="18">
        <v>4898.8620000000001</v>
      </c>
      <c r="AW105" s="18">
        <v>4858.3329999999996</v>
      </c>
      <c r="AX105" s="18">
        <v>4820.8519999999999</v>
      </c>
      <c r="AY105" s="18">
        <v>4780.7610000000004</v>
      </c>
      <c r="AZ105" s="18">
        <v>4748.366</v>
      </c>
      <c r="BA105" s="18">
        <v>4731.79</v>
      </c>
      <c r="BB105" s="18">
        <v>4725.8440000000001</v>
      </c>
      <c r="BC105" s="18">
        <v>4713.125</v>
      </c>
      <c r="BD105" s="18">
        <v>4692.1940000000004</v>
      </c>
      <c r="BE105" s="18">
        <v>4687.0230000000001</v>
      </c>
      <c r="BF105" s="18">
        <v>4706.2160000000003</v>
      </c>
      <c r="BG105" s="18">
        <v>4737.2049999999999</v>
      </c>
      <c r="BH105" s="18">
        <v>4761.3429999999998</v>
      </c>
      <c r="BI105" s="18">
        <v>4785.3829999999998</v>
      </c>
      <c r="BJ105" s="18">
        <v>4776.3620000000001</v>
      </c>
      <c r="BK105" s="18">
        <v>4716.942</v>
      </c>
      <c r="BL105" s="18">
        <v>4622.884</v>
      </c>
      <c r="BM105" s="18">
        <v>4528.1549999999997</v>
      </c>
      <c r="BN105" s="18">
        <v>4427.0010000000002</v>
      </c>
      <c r="BO105" s="18">
        <v>4323.6049999999996</v>
      </c>
      <c r="BP105" s="18">
        <v>4223.8010000000004</v>
      </c>
      <c r="BQ105" s="18">
        <v>4125.1440000000002</v>
      </c>
      <c r="BR105" s="18">
        <v>4020.0949999999998</v>
      </c>
      <c r="BS105" s="18">
        <v>3911.0520000000001</v>
      </c>
      <c r="BT105" s="18">
        <v>3801.15</v>
      </c>
      <c r="BU105" s="18">
        <v>3691.4989999999998</v>
      </c>
      <c r="BV105" s="18">
        <v>3582.5970000000002</v>
      </c>
      <c r="BW105" s="18">
        <v>3472.6619999999998</v>
      </c>
      <c r="BX105" s="18">
        <v>3360.6439999999998</v>
      </c>
      <c r="BY105" s="18">
        <v>3256.9850000000001</v>
      </c>
      <c r="BZ105" s="18">
        <v>3166.261</v>
      </c>
      <c r="CA105" s="18">
        <v>3083.4690000000001</v>
      </c>
      <c r="CB105" s="18">
        <v>2998.308</v>
      </c>
      <c r="CC105" s="18">
        <v>2911.9720000000002</v>
      </c>
      <c r="CD105" s="18">
        <v>2822.9560000000001</v>
      </c>
      <c r="CE105" s="18">
        <v>2729.1869999999999</v>
      </c>
      <c r="CF105" s="18">
        <v>2630.8440000000001</v>
      </c>
      <c r="CG105" s="18">
        <v>2530.0839999999998</v>
      </c>
      <c r="CH105" s="18">
        <v>2426.37</v>
      </c>
      <c r="CI105" s="18">
        <v>2315.3649999999998</v>
      </c>
      <c r="CJ105" s="18">
        <v>2195.0830000000001</v>
      </c>
      <c r="CK105" s="18">
        <v>2066.6990000000001</v>
      </c>
      <c r="CL105" s="18">
        <v>1929.837</v>
      </c>
      <c r="CM105" s="18">
        <v>1824.914</v>
      </c>
      <c r="CN105" s="18">
        <v>1690.4860000000001</v>
      </c>
      <c r="CO105" s="18">
        <v>1501.5329999999999</v>
      </c>
      <c r="CP105" s="18">
        <v>1262.846</v>
      </c>
      <c r="CQ105" s="18">
        <v>1073.0630000000001</v>
      </c>
      <c r="CR105" s="18">
        <v>969.96500000000003</v>
      </c>
      <c r="CS105" s="18">
        <v>850.37099999999998</v>
      </c>
      <c r="CT105" s="18">
        <v>688.27</v>
      </c>
      <c r="CU105" s="18">
        <v>483.66300000000001</v>
      </c>
      <c r="CV105" s="18">
        <v>398.904</v>
      </c>
      <c r="CW105" s="18">
        <v>250.30799999999999</v>
      </c>
      <c r="CX105" s="18">
        <v>504.83199999999999</v>
      </c>
      <c r="CY105" s="3">
        <f t="shared" si="11"/>
        <v>382954.89</v>
      </c>
    </row>
    <row r="106" spans="1:110" customFormat="1">
      <c r="A106" s="15">
        <v>2054</v>
      </c>
      <c r="B106" s="18">
        <v>4197.3919999999998</v>
      </c>
      <c r="C106" s="18">
        <v>4198.8379999999997</v>
      </c>
      <c r="D106" s="18">
        <v>4198.2749999999996</v>
      </c>
      <c r="E106" s="18">
        <v>4196.2709999999997</v>
      </c>
      <c r="F106" s="18">
        <v>4186.9690000000001</v>
      </c>
      <c r="G106" s="18">
        <v>4185.5720000000001</v>
      </c>
      <c r="H106" s="18">
        <v>4184.3180000000002</v>
      </c>
      <c r="I106" s="18">
        <v>4183.8029999999999</v>
      </c>
      <c r="J106" s="18">
        <v>4184.6260000000002</v>
      </c>
      <c r="K106" s="18">
        <v>4186.6480000000001</v>
      </c>
      <c r="L106" s="18">
        <v>4189.7359999999999</v>
      </c>
      <c r="M106" s="18">
        <v>4198.1469999999999</v>
      </c>
      <c r="N106" s="18">
        <v>4213.9399999999996</v>
      </c>
      <c r="O106" s="18">
        <v>4235.5169999999998</v>
      </c>
      <c r="P106" s="18">
        <v>4258.402</v>
      </c>
      <c r="Q106" s="18">
        <v>4282.51</v>
      </c>
      <c r="R106" s="18">
        <v>4311.8410000000003</v>
      </c>
      <c r="S106" s="18">
        <v>4347.6210000000001</v>
      </c>
      <c r="T106" s="18">
        <v>4387.6729999999998</v>
      </c>
      <c r="U106" s="18">
        <v>4427.7539999999999</v>
      </c>
      <c r="V106" s="18">
        <v>4467.7060000000001</v>
      </c>
      <c r="W106" s="18">
        <v>4507.51</v>
      </c>
      <c r="X106" s="18">
        <v>4546.3990000000003</v>
      </c>
      <c r="Y106" s="18">
        <v>4583.4840000000004</v>
      </c>
      <c r="Z106" s="18">
        <v>4618.9399999999996</v>
      </c>
      <c r="AA106" s="18">
        <v>4653.0879999999997</v>
      </c>
      <c r="AB106" s="18">
        <v>4679.4440000000004</v>
      </c>
      <c r="AC106" s="18">
        <v>4694.9080000000004</v>
      </c>
      <c r="AD106" s="18">
        <v>4702.0349999999999</v>
      </c>
      <c r="AE106" s="18">
        <v>4708.3320000000003</v>
      </c>
      <c r="AF106" s="18">
        <v>4714.509</v>
      </c>
      <c r="AG106" s="18">
        <v>4711.9780000000001</v>
      </c>
      <c r="AH106" s="18">
        <v>4697.93</v>
      </c>
      <c r="AI106" s="18">
        <v>4677.3100000000004</v>
      </c>
      <c r="AJ106" s="18">
        <v>4657.4870000000001</v>
      </c>
      <c r="AK106" s="18">
        <v>4636.5339999999997</v>
      </c>
      <c r="AL106" s="18">
        <v>4625.8519999999999</v>
      </c>
      <c r="AM106" s="18">
        <v>4631.7299999999996</v>
      </c>
      <c r="AN106" s="18">
        <v>4649.3429999999998</v>
      </c>
      <c r="AO106" s="18">
        <v>4664.5770000000002</v>
      </c>
      <c r="AP106" s="18">
        <v>4676.6459999999997</v>
      </c>
      <c r="AQ106" s="18">
        <v>4700.5290000000005</v>
      </c>
      <c r="AR106" s="18">
        <v>4741.1000000000004</v>
      </c>
      <c r="AS106" s="18">
        <v>4790.1000000000004</v>
      </c>
      <c r="AT106" s="18">
        <v>4837.1779999999999</v>
      </c>
      <c r="AU106" s="18">
        <v>4887.7470000000003</v>
      </c>
      <c r="AV106" s="18">
        <v>4912.4750000000004</v>
      </c>
      <c r="AW106" s="18">
        <v>4896.7700000000004</v>
      </c>
      <c r="AX106" s="18">
        <v>4855.0010000000002</v>
      </c>
      <c r="AY106" s="18">
        <v>4816.2610000000004</v>
      </c>
      <c r="AZ106" s="18">
        <v>4774.8940000000002</v>
      </c>
      <c r="BA106" s="18">
        <v>4741.1369999999997</v>
      </c>
      <c r="BB106" s="18">
        <v>4723.0709999999999</v>
      </c>
      <c r="BC106" s="18">
        <v>4715.5360000000001</v>
      </c>
      <c r="BD106" s="18">
        <v>4701.2179999999998</v>
      </c>
      <c r="BE106" s="18">
        <v>4678.6899999999996</v>
      </c>
      <c r="BF106" s="18">
        <v>4671.7889999999998</v>
      </c>
      <c r="BG106" s="18">
        <v>4689.0709999999999</v>
      </c>
      <c r="BH106" s="18">
        <v>4718.0420000000004</v>
      </c>
      <c r="BI106" s="18">
        <v>4740.1509999999998</v>
      </c>
      <c r="BJ106" s="18">
        <v>4762.1040000000003</v>
      </c>
      <c r="BK106" s="18">
        <v>4751.1840000000002</v>
      </c>
      <c r="BL106" s="18">
        <v>4690.1760000000004</v>
      </c>
      <c r="BM106" s="18">
        <v>4594.7179999999998</v>
      </c>
      <c r="BN106" s="18">
        <v>4498.5</v>
      </c>
      <c r="BO106" s="18">
        <v>4395.7839999999997</v>
      </c>
      <c r="BP106" s="18">
        <v>4290.817</v>
      </c>
      <c r="BQ106" s="18">
        <v>4189.424</v>
      </c>
      <c r="BR106" s="18">
        <v>4089.11</v>
      </c>
      <c r="BS106" s="18">
        <v>3982.2510000000002</v>
      </c>
      <c r="BT106" s="18">
        <v>3871.2040000000002</v>
      </c>
      <c r="BU106" s="18">
        <v>3759.17</v>
      </c>
      <c r="BV106" s="18">
        <v>3647.2620000000002</v>
      </c>
      <c r="BW106" s="18">
        <v>3535.8939999999998</v>
      </c>
      <c r="BX106" s="18">
        <v>3423.1860000000001</v>
      </c>
      <c r="BY106" s="18">
        <v>3308.098</v>
      </c>
      <c r="BZ106" s="18">
        <v>3200.8240000000001</v>
      </c>
      <c r="CA106" s="18">
        <v>3105.799</v>
      </c>
      <c r="CB106" s="18">
        <v>3018.1030000000001</v>
      </c>
      <c r="CC106" s="18">
        <v>2927.779</v>
      </c>
      <c r="CD106" s="18">
        <v>2836.0990000000002</v>
      </c>
      <c r="CE106" s="18">
        <v>2740.8620000000001</v>
      </c>
      <c r="CF106" s="18">
        <v>2639.7280000000001</v>
      </c>
      <c r="CG106" s="18">
        <v>2533.259</v>
      </c>
      <c r="CH106" s="18">
        <v>2424.6469999999999</v>
      </c>
      <c r="CI106" s="18">
        <v>2313.61</v>
      </c>
      <c r="CJ106" s="18">
        <v>2194.4960000000001</v>
      </c>
      <c r="CK106" s="18">
        <v>2064.9160000000002</v>
      </c>
      <c r="CL106" s="18">
        <v>1926.9590000000001</v>
      </c>
      <c r="CM106" s="18">
        <v>1779.3240000000001</v>
      </c>
      <c r="CN106" s="18">
        <v>1674.7850000000001</v>
      </c>
      <c r="CO106" s="18">
        <v>1539.14</v>
      </c>
      <c r="CP106" s="18">
        <v>1342.3889999999999</v>
      </c>
      <c r="CQ106" s="18">
        <v>1086.9259999999999</v>
      </c>
      <c r="CR106" s="18">
        <v>901.49599999999998</v>
      </c>
      <c r="CS106" s="18">
        <v>814.10599999999999</v>
      </c>
      <c r="CT106" s="18">
        <v>704.20600000000002</v>
      </c>
      <c r="CU106" s="18">
        <v>558.79200000000003</v>
      </c>
      <c r="CV106" s="18">
        <v>377.86599999999999</v>
      </c>
      <c r="CW106" s="18">
        <v>261.41000000000003</v>
      </c>
      <c r="CX106" s="18">
        <v>530.98500000000001</v>
      </c>
      <c r="CY106" s="3">
        <f t="shared" si="11"/>
        <v>384139.7429999999</v>
      </c>
    </row>
    <row r="107" spans="1:110" customFormat="1">
      <c r="A107" s="15">
        <v>2055</v>
      </c>
      <c r="B107" s="18">
        <v>4209.9179999999997</v>
      </c>
      <c r="C107" s="18">
        <v>4209.9949999999999</v>
      </c>
      <c r="D107" s="18">
        <v>4207.9219999999996</v>
      </c>
      <c r="E107" s="18">
        <v>4204.3040000000001</v>
      </c>
      <c r="F107" s="18">
        <v>4199.7489999999998</v>
      </c>
      <c r="G107" s="18">
        <v>4194.8630000000003</v>
      </c>
      <c r="H107" s="18">
        <v>4190.2510000000002</v>
      </c>
      <c r="I107" s="18">
        <v>4186.518</v>
      </c>
      <c r="J107" s="18">
        <v>4184.2730000000001</v>
      </c>
      <c r="K107" s="18">
        <v>4184.1210000000001</v>
      </c>
      <c r="L107" s="18">
        <v>4185.7510000000002</v>
      </c>
      <c r="M107" s="18">
        <v>4188.8590000000004</v>
      </c>
      <c r="N107" s="18">
        <v>4198.62</v>
      </c>
      <c r="O107" s="18">
        <v>4217.4719999999998</v>
      </c>
      <c r="P107" s="18">
        <v>4243.2759999999998</v>
      </c>
      <c r="Q107" s="18">
        <v>4270.4830000000002</v>
      </c>
      <c r="R107" s="18">
        <v>4299.0339999999997</v>
      </c>
      <c r="S107" s="18">
        <v>4332.8680000000004</v>
      </c>
      <c r="T107" s="18">
        <v>4373.0150000000003</v>
      </c>
      <c r="U107" s="18">
        <v>4417.1620000000003</v>
      </c>
      <c r="V107" s="18">
        <v>4461.2520000000004</v>
      </c>
      <c r="W107" s="18">
        <v>4505.2250000000004</v>
      </c>
      <c r="X107" s="18">
        <v>4547.5140000000001</v>
      </c>
      <c r="Y107" s="18">
        <v>4586.6350000000002</v>
      </c>
      <c r="Z107" s="18">
        <v>4622.3710000000001</v>
      </c>
      <c r="AA107" s="18">
        <v>4656.3509999999997</v>
      </c>
      <c r="AB107" s="18">
        <v>4688.6899999999996</v>
      </c>
      <c r="AC107" s="18">
        <v>4712.9639999999999</v>
      </c>
      <c r="AD107" s="18">
        <v>4726.2700000000004</v>
      </c>
      <c r="AE107" s="18">
        <v>4731.1559999999999</v>
      </c>
      <c r="AF107" s="18">
        <v>4734.9139999999998</v>
      </c>
      <c r="AG107" s="18">
        <v>4738.2979999999998</v>
      </c>
      <c r="AH107" s="18">
        <v>4733.1890000000003</v>
      </c>
      <c r="AI107" s="18">
        <v>4716.991</v>
      </c>
      <c r="AJ107" s="18">
        <v>4694.51</v>
      </c>
      <c r="AK107" s="18">
        <v>4672.7569999999996</v>
      </c>
      <c r="AL107" s="18">
        <v>4649.8599999999997</v>
      </c>
      <c r="AM107" s="18">
        <v>4637.37</v>
      </c>
      <c r="AN107" s="18">
        <v>4641.6059999999998</v>
      </c>
      <c r="AO107" s="18">
        <v>4657.7039999999997</v>
      </c>
      <c r="AP107" s="18">
        <v>4671.4679999999998</v>
      </c>
      <c r="AQ107" s="18">
        <v>4682.1239999999998</v>
      </c>
      <c r="AR107" s="18">
        <v>4704.6260000000002</v>
      </c>
      <c r="AS107" s="18">
        <v>4743.826</v>
      </c>
      <c r="AT107" s="18">
        <v>4791.47</v>
      </c>
      <c r="AU107" s="18">
        <v>4837.22</v>
      </c>
      <c r="AV107" s="18">
        <v>4886.4690000000001</v>
      </c>
      <c r="AW107" s="18">
        <v>4909.9120000000003</v>
      </c>
      <c r="AX107" s="18">
        <v>4892.9679999999998</v>
      </c>
      <c r="AY107" s="18">
        <v>4849.9759999999997</v>
      </c>
      <c r="AZ107" s="18">
        <v>4809.99</v>
      </c>
      <c r="BA107" s="18">
        <v>4767.3630000000003</v>
      </c>
      <c r="BB107" s="18">
        <v>4732.2560000000003</v>
      </c>
      <c r="BC107" s="18">
        <v>4712.7079999999996</v>
      </c>
      <c r="BD107" s="18">
        <v>4703.5879999999997</v>
      </c>
      <c r="BE107" s="18">
        <v>4687.6750000000002</v>
      </c>
      <c r="BF107" s="18">
        <v>4663.5609999999997</v>
      </c>
      <c r="BG107" s="18">
        <v>4654.9319999999998</v>
      </c>
      <c r="BH107" s="18">
        <v>4670.299</v>
      </c>
      <c r="BI107" s="18">
        <v>4697.2430000000004</v>
      </c>
      <c r="BJ107" s="18">
        <v>4717.317</v>
      </c>
      <c r="BK107" s="18">
        <v>4737.1779999999999</v>
      </c>
      <c r="BL107" s="18">
        <v>4724.3639999999996</v>
      </c>
      <c r="BM107" s="18">
        <v>4661.7889999999998</v>
      </c>
      <c r="BN107" s="18">
        <v>4564.9650000000001</v>
      </c>
      <c r="BO107" s="18">
        <v>4467.2910000000002</v>
      </c>
      <c r="BP107" s="18">
        <v>4363.0519999999997</v>
      </c>
      <c r="BQ107" s="18">
        <v>4256.5519999999997</v>
      </c>
      <c r="BR107" s="18">
        <v>4153.6040000000003</v>
      </c>
      <c r="BS107" s="18">
        <v>4051.67</v>
      </c>
      <c r="BT107" s="18">
        <v>3943.0390000000002</v>
      </c>
      <c r="BU107" s="18">
        <v>3830.027</v>
      </c>
      <c r="BV107" s="18">
        <v>3715.9</v>
      </c>
      <c r="BW107" s="18">
        <v>3601.7759999999998</v>
      </c>
      <c r="BX107" s="18">
        <v>3487.9830000000002</v>
      </c>
      <c r="BY107" s="18">
        <v>3372.5419999999999</v>
      </c>
      <c r="BZ107" s="18">
        <v>3254.4279999999999</v>
      </c>
      <c r="CA107" s="18">
        <v>3143.5770000000002</v>
      </c>
      <c r="CB107" s="18">
        <v>3044.288</v>
      </c>
      <c r="CC107" s="18">
        <v>2951.721</v>
      </c>
      <c r="CD107" s="18">
        <v>2856.268</v>
      </c>
      <c r="CE107" s="18">
        <v>2759.2820000000002</v>
      </c>
      <c r="CF107" s="18">
        <v>2657.86</v>
      </c>
      <c r="CG107" s="18">
        <v>2549.4029999999998</v>
      </c>
      <c r="CH107" s="18">
        <v>2434.8519999999999</v>
      </c>
      <c r="CI107" s="18">
        <v>2318.4319999999998</v>
      </c>
      <c r="CJ107" s="18">
        <v>2200.116</v>
      </c>
      <c r="CK107" s="18">
        <v>2072.94</v>
      </c>
      <c r="CL107" s="18">
        <v>1934.117</v>
      </c>
      <c r="CM107" s="18">
        <v>1786.6410000000001</v>
      </c>
      <c r="CN107" s="18">
        <v>1628.2929999999999</v>
      </c>
      <c r="CO107" s="18">
        <v>1524.173</v>
      </c>
      <c r="CP107" s="18">
        <v>1387.36</v>
      </c>
      <c r="CQ107" s="18">
        <v>1182.885</v>
      </c>
      <c r="CR107" s="18">
        <v>910.75099999999998</v>
      </c>
      <c r="CS107" s="18">
        <v>729.73500000000001</v>
      </c>
      <c r="CT107" s="18">
        <v>658.07399999999996</v>
      </c>
      <c r="CU107" s="18">
        <v>557.899</v>
      </c>
      <c r="CV107" s="18">
        <v>429.21300000000002</v>
      </c>
      <c r="CW107" s="18">
        <v>272.01299999999998</v>
      </c>
      <c r="CX107" s="18">
        <v>557.72799999999995</v>
      </c>
      <c r="CY107" s="3">
        <f t="shared" si="11"/>
        <v>385334.85300000006</v>
      </c>
    </row>
    <row r="108" spans="1:110" customFormat="1">
      <c r="A108" s="15">
        <v>2056</v>
      </c>
      <c r="B108" s="18">
        <v>4226.6909999999998</v>
      </c>
      <c r="C108" s="18">
        <v>4220.7969999999996</v>
      </c>
      <c r="D108" s="18">
        <v>4218.5690000000004</v>
      </c>
      <c r="E108" s="18">
        <v>4214.585</v>
      </c>
      <c r="F108" s="18">
        <v>4209.5169999999998</v>
      </c>
      <c r="G108" s="18">
        <v>4204.0389999999998</v>
      </c>
      <c r="H108" s="18">
        <v>4198.585</v>
      </c>
      <c r="I108" s="18">
        <v>4193.5879999999997</v>
      </c>
      <c r="J108" s="18">
        <v>4190.924</v>
      </c>
      <c r="K108" s="18">
        <v>4191.7460000000001</v>
      </c>
      <c r="L108" s="18">
        <v>4196.0079999999998</v>
      </c>
      <c r="M108" s="18">
        <v>4202.0379999999996</v>
      </c>
      <c r="N108" s="18">
        <v>4209.607</v>
      </c>
      <c r="O108" s="18">
        <v>4223.902</v>
      </c>
      <c r="P108" s="18">
        <v>4247.1620000000003</v>
      </c>
      <c r="Q108" s="18">
        <v>4277.1120000000001</v>
      </c>
      <c r="R108" s="18">
        <v>4308.3770000000004</v>
      </c>
      <c r="S108" s="18">
        <v>4341</v>
      </c>
      <c r="T108" s="18">
        <v>4377.3720000000003</v>
      </c>
      <c r="U108" s="18">
        <v>4417.808</v>
      </c>
      <c r="V108" s="18">
        <v>4460.6620000000003</v>
      </c>
      <c r="W108" s="18">
        <v>4503.3289999999997</v>
      </c>
      <c r="X108" s="18">
        <v>4545.549</v>
      </c>
      <c r="Y108" s="18">
        <v>4585.7920000000004</v>
      </c>
      <c r="Z108" s="18">
        <v>4622.777</v>
      </c>
      <c r="AA108" s="18">
        <v>4656.2749999999996</v>
      </c>
      <c r="AB108" s="18">
        <v>4687.7209999999995</v>
      </c>
      <c r="AC108" s="18">
        <v>4717.2740000000003</v>
      </c>
      <c r="AD108" s="18">
        <v>4738.9669999999996</v>
      </c>
      <c r="AE108" s="18">
        <v>4750.1030000000001</v>
      </c>
      <c r="AF108" s="18">
        <v>4753.1019999999999</v>
      </c>
      <c r="AG108" s="18">
        <v>4754.9040000000005</v>
      </c>
      <c r="AH108" s="18">
        <v>4756.3239999999996</v>
      </c>
      <c r="AI108" s="18">
        <v>4749.4070000000002</v>
      </c>
      <c r="AJ108" s="18">
        <v>4731.6059999999998</v>
      </c>
      <c r="AK108" s="18">
        <v>4707.6760000000004</v>
      </c>
      <c r="AL108" s="18">
        <v>4684.5150000000003</v>
      </c>
      <c r="AM108" s="18">
        <v>4660.259</v>
      </c>
      <c r="AN108" s="18">
        <v>4646.47</v>
      </c>
      <c r="AO108" s="18">
        <v>4649.451</v>
      </c>
      <c r="AP108" s="18">
        <v>4664.3270000000002</v>
      </c>
      <c r="AQ108" s="18">
        <v>4676.8990000000003</v>
      </c>
      <c r="AR108" s="18">
        <v>4686.3879999999999</v>
      </c>
      <c r="AS108" s="18">
        <v>4707.6769999999997</v>
      </c>
      <c r="AT108" s="18">
        <v>4745.5829999999996</v>
      </c>
      <c r="AU108" s="18">
        <v>4791.8710000000001</v>
      </c>
      <c r="AV108" s="18">
        <v>4836.2640000000001</v>
      </c>
      <c r="AW108" s="18">
        <v>4884.1419999999998</v>
      </c>
      <c r="AX108" s="18">
        <v>4906.183</v>
      </c>
      <c r="AY108" s="18">
        <v>4887.8010000000004</v>
      </c>
      <c r="AZ108" s="18">
        <v>4843.3379999999997</v>
      </c>
      <c r="BA108" s="18">
        <v>4801.8440000000001</v>
      </c>
      <c r="BB108" s="18">
        <v>4757.6670000000004</v>
      </c>
      <c r="BC108" s="18">
        <v>4720.991</v>
      </c>
      <c r="BD108" s="18">
        <v>4699.8680000000004</v>
      </c>
      <c r="BE108" s="18">
        <v>4689.1469999999999</v>
      </c>
      <c r="BF108" s="18">
        <v>4671.5910000000003</v>
      </c>
      <c r="BG108" s="18">
        <v>4645.8040000000001</v>
      </c>
      <c r="BH108" s="18">
        <v>4635.3990000000003</v>
      </c>
      <c r="BI108" s="18">
        <v>4648.848</v>
      </c>
      <c r="BJ108" s="18">
        <v>4673.7719999999999</v>
      </c>
      <c r="BK108" s="18">
        <v>4691.7669999999998</v>
      </c>
      <c r="BL108" s="18">
        <v>4709.4409999999998</v>
      </c>
      <c r="BM108" s="18">
        <v>4694.5330000000004</v>
      </c>
      <c r="BN108" s="18">
        <v>4630.0460000000003</v>
      </c>
      <c r="BO108" s="18">
        <v>4531.3789999999999</v>
      </c>
      <c r="BP108" s="18">
        <v>4431.6970000000001</v>
      </c>
      <c r="BQ108" s="18">
        <v>4325.2950000000001</v>
      </c>
      <c r="BR108" s="18">
        <v>4216.4709999999995</v>
      </c>
      <c r="BS108" s="18">
        <v>4111</v>
      </c>
      <c r="BT108" s="18">
        <v>4006.3209999999999</v>
      </c>
      <c r="BU108" s="18">
        <v>3894.7130000000002</v>
      </c>
      <c r="BV108" s="18">
        <v>3778.462</v>
      </c>
      <c r="BW108" s="18">
        <v>3660.7860000000001</v>
      </c>
      <c r="BX108" s="18">
        <v>3542.768</v>
      </c>
      <c r="BY108" s="18">
        <v>3424.7159999999999</v>
      </c>
      <c r="BZ108" s="18">
        <v>3304.768</v>
      </c>
      <c r="CA108" s="18">
        <v>3181.998</v>
      </c>
      <c r="CB108" s="18">
        <v>3065.6779999999999</v>
      </c>
      <c r="CC108" s="18">
        <v>2959.8240000000001</v>
      </c>
      <c r="CD108" s="18">
        <v>2859.9540000000002</v>
      </c>
      <c r="CE108" s="18">
        <v>2757.3470000000002</v>
      </c>
      <c r="CF108" s="18">
        <v>2653.4760000000001</v>
      </c>
      <c r="CG108" s="18">
        <v>2544.67</v>
      </c>
      <c r="CH108" s="18">
        <v>2428.13</v>
      </c>
      <c r="CI108" s="18">
        <v>2305.346</v>
      </c>
      <c r="CJ108" s="18">
        <v>2179.5160000000001</v>
      </c>
      <c r="CK108" s="18">
        <v>2061.192</v>
      </c>
      <c r="CL108" s="18">
        <v>1932.52</v>
      </c>
      <c r="CM108" s="18">
        <v>1783.9870000000001</v>
      </c>
      <c r="CN108" s="18">
        <v>1617.9870000000001</v>
      </c>
      <c r="CO108" s="18">
        <v>1459.8420000000001</v>
      </c>
      <c r="CP108" s="18">
        <v>1362.681</v>
      </c>
      <c r="CQ108" s="18">
        <v>1233.021</v>
      </c>
      <c r="CR108" s="18">
        <v>1042.874</v>
      </c>
      <c r="CS108" s="18">
        <v>792.24199999999996</v>
      </c>
      <c r="CT108" s="18">
        <v>674.33399999999995</v>
      </c>
      <c r="CU108" s="18">
        <v>573.40599999999995</v>
      </c>
      <c r="CV108" s="18">
        <v>442.786</v>
      </c>
      <c r="CW108" s="18">
        <v>282.47300000000001</v>
      </c>
      <c r="CX108" s="18">
        <v>585.86300000000006</v>
      </c>
      <c r="CY108" s="3">
        <f t="shared" si="11"/>
        <v>386542.30400000018</v>
      </c>
    </row>
    <row r="109" spans="1:110" customFormat="1">
      <c r="A109" s="15">
        <v>2057</v>
      </c>
      <c r="B109" s="18">
        <v>4242.8019999999997</v>
      </c>
      <c r="C109" s="18">
        <v>4242.2370000000001</v>
      </c>
      <c r="D109" s="18">
        <v>4231.1000000000004</v>
      </c>
      <c r="E109" s="18">
        <v>4226.5649999999996</v>
      </c>
      <c r="F109" s="18">
        <v>4220.6670000000004</v>
      </c>
      <c r="G109" s="18">
        <v>4214.1469999999999</v>
      </c>
      <c r="H109" s="18">
        <v>4207.7470000000003</v>
      </c>
      <c r="I109" s="18">
        <v>4201.7269999999999</v>
      </c>
      <c r="J109" s="18">
        <v>4196.3469999999998</v>
      </c>
      <c r="K109" s="18">
        <v>4194.7510000000002</v>
      </c>
      <c r="L109" s="18">
        <v>4198.643</v>
      </c>
      <c r="M109" s="18">
        <v>4207.3220000000001</v>
      </c>
      <c r="N109" s="18">
        <v>4217.7529999999997</v>
      </c>
      <c r="O109" s="18">
        <v>4229.7870000000003</v>
      </c>
      <c r="P109" s="18">
        <v>4248.6170000000002</v>
      </c>
      <c r="Q109" s="18">
        <v>4276.2839999999997</v>
      </c>
      <c r="R109" s="18">
        <v>4310.38</v>
      </c>
      <c r="S109" s="18">
        <v>4345.7020000000002</v>
      </c>
      <c r="T109" s="18">
        <v>4382.3959999999997</v>
      </c>
      <c r="U109" s="18">
        <v>4421.3019999999997</v>
      </c>
      <c r="V109" s="18">
        <v>4462.0209999999997</v>
      </c>
      <c r="W109" s="18">
        <v>4503.576</v>
      </c>
      <c r="X109" s="18">
        <v>4544.8119999999999</v>
      </c>
      <c r="Y109" s="18">
        <v>4585.2690000000002</v>
      </c>
      <c r="Z109" s="18">
        <v>4623.4620000000004</v>
      </c>
      <c r="AA109" s="18">
        <v>4658.3019999999997</v>
      </c>
      <c r="AB109" s="18">
        <v>4689.5569999999998</v>
      </c>
      <c r="AC109" s="18">
        <v>4718.4620000000004</v>
      </c>
      <c r="AD109" s="18">
        <v>4745.2250000000004</v>
      </c>
      <c r="AE109" s="18">
        <v>4764.3310000000001</v>
      </c>
      <c r="AF109" s="18">
        <v>4773.2939999999999</v>
      </c>
      <c r="AG109" s="18">
        <v>4774.4030000000002</v>
      </c>
      <c r="AH109" s="18">
        <v>4774.2510000000002</v>
      </c>
      <c r="AI109" s="18">
        <v>4773.7020000000002</v>
      </c>
      <c r="AJ109" s="18">
        <v>4764.9780000000001</v>
      </c>
      <c r="AK109" s="18">
        <v>4745.5749999999998</v>
      </c>
      <c r="AL109" s="18">
        <v>4720.1970000000001</v>
      </c>
      <c r="AM109" s="18">
        <v>4695.6310000000003</v>
      </c>
      <c r="AN109" s="18">
        <v>4670.0190000000002</v>
      </c>
      <c r="AO109" s="18">
        <v>4654.9279999999999</v>
      </c>
      <c r="AP109" s="18">
        <v>4656.6559999999999</v>
      </c>
      <c r="AQ109" s="18">
        <v>4670.308</v>
      </c>
      <c r="AR109" s="18">
        <v>4681.6819999999998</v>
      </c>
      <c r="AS109" s="18">
        <v>4690.0029999999997</v>
      </c>
      <c r="AT109" s="18">
        <v>4710.076</v>
      </c>
      <c r="AU109" s="18">
        <v>4746.68</v>
      </c>
      <c r="AV109" s="18">
        <v>4791.6059999999998</v>
      </c>
      <c r="AW109" s="18">
        <v>4834.6350000000002</v>
      </c>
      <c r="AX109" s="18">
        <v>4881.1350000000002</v>
      </c>
      <c r="AY109" s="18">
        <v>4901.7669999999998</v>
      </c>
      <c r="AZ109" s="18">
        <v>4881.951</v>
      </c>
      <c r="BA109" s="18">
        <v>4836.0219999999999</v>
      </c>
      <c r="BB109" s="18">
        <v>4793.0259999999998</v>
      </c>
      <c r="BC109" s="18">
        <v>4747.3019999999997</v>
      </c>
      <c r="BD109" s="18">
        <v>4709.0619999999999</v>
      </c>
      <c r="BE109" s="18">
        <v>4686.3639999999996</v>
      </c>
      <c r="BF109" s="18">
        <v>4674.0429999999997</v>
      </c>
      <c r="BG109" s="18">
        <v>4654.8459999999995</v>
      </c>
      <c r="BH109" s="18">
        <v>4627.3879999999999</v>
      </c>
      <c r="BI109" s="18">
        <v>4615.2060000000001</v>
      </c>
      <c r="BJ109" s="18">
        <v>4626.7330000000002</v>
      </c>
      <c r="BK109" s="18">
        <v>4649.6329999999998</v>
      </c>
      <c r="BL109" s="18">
        <v>4665.5439999999999</v>
      </c>
      <c r="BM109" s="18">
        <v>4681.0280000000002</v>
      </c>
      <c r="BN109" s="18">
        <v>4664.027</v>
      </c>
      <c r="BO109" s="18">
        <v>4597.6369999999997</v>
      </c>
      <c r="BP109" s="18">
        <v>4497.1379999999999</v>
      </c>
      <c r="BQ109" s="18">
        <v>4395.46</v>
      </c>
      <c r="BR109" s="18">
        <v>4286.9080000000004</v>
      </c>
      <c r="BS109" s="18">
        <v>4175.7740000000003</v>
      </c>
      <c r="BT109" s="18">
        <v>4067.7930000000001</v>
      </c>
      <c r="BU109" s="18">
        <v>3960.3809999999999</v>
      </c>
      <c r="BV109" s="18">
        <v>3845.8090000000002</v>
      </c>
      <c r="BW109" s="18">
        <v>3726.3319999999999</v>
      </c>
      <c r="BX109" s="18">
        <v>3605.1210000000001</v>
      </c>
      <c r="BY109" s="18">
        <v>3483.2220000000002</v>
      </c>
      <c r="BZ109" s="18">
        <v>3360.9229999999998</v>
      </c>
      <c r="CA109" s="18">
        <v>3236.482</v>
      </c>
      <c r="CB109" s="18">
        <v>3109.069</v>
      </c>
      <c r="CC109" s="18">
        <v>2987.2910000000002</v>
      </c>
      <c r="CD109" s="18">
        <v>2874.8820000000001</v>
      </c>
      <c r="CE109" s="18">
        <v>2767.7190000000001</v>
      </c>
      <c r="CF109" s="18">
        <v>2657.9650000000001</v>
      </c>
      <c r="CG109" s="18">
        <v>2547.2190000000001</v>
      </c>
      <c r="CH109" s="18">
        <v>2431.038</v>
      </c>
      <c r="CI109" s="18">
        <v>2306.4250000000002</v>
      </c>
      <c r="CJ109" s="18">
        <v>2175.422</v>
      </c>
      <c r="CK109" s="18">
        <v>2040.191</v>
      </c>
      <c r="CL109" s="18">
        <v>1921.875</v>
      </c>
      <c r="CM109" s="18">
        <v>1791.723</v>
      </c>
      <c r="CN109" s="18">
        <v>1633.492</v>
      </c>
      <c r="CO109" s="18">
        <v>1448.9780000000001</v>
      </c>
      <c r="CP109" s="18">
        <v>1291.058</v>
      </c>
      <c r="CQ109" s="18">
        <v>1200.876</v>
      </c>
      <c r="CR109" s="18">
        <v>1078.3920000000001</v>
      </c>
      <c r="CS109" s="18">
        <v>902.61099999999999</v>
      </c>
      <c r="CT109" s="18">
        <v>673.53200000000004</v>
      </c>
      <c r="CU109" s="18">
        <v>586.99900000000002</v>
      </c>
      <c r="CV109" s="18">
        <v>455.06099999999998</v>
      </c>
      <c r="CW109" s="18">
        <v>292.42700000000002</v>
      </c>
      <c r="CX109" s="18">
        <v>614.33900000000006</v>
      </c>
      <c r="CY109" s="3">
        <f t="shared" si="11"/>
        <v>387762.5579999999</v>
      </c>
    </row>
    <row r="110" spans="1:110" customFormat="1">
      <c r="A110" s="15">
        <v>2058</v>
      </c>
      <c r="B110" s="18">
        <v>4257.2269999999999</v>
      </c>
      <c r="C110" s="18">
        <v>4257.3810000000003</v>
      </c>
      <c r="D110" s="18">
        <v>4254.0249999999996</v>
      </c>
      <c r="E110" s="18">
        <v>4240.482</v>
      </c>
      <c r="F110" s="18">
        <v>4233.6400000000003</v>
      </c>
      <c r="G110" s="18">
        <v>4225.8310000000001</v>
      </c>
      <c r="H110" s="18">
        <v>4217.8609999999999</v>
      </c>
      <c r="I110" s="18">
        <v>4210.5389999999998</v>
      </c>
      <c r="J110" s="18">
        <v>4203.9539999999997</v>
      </c>
      <c r="K110" s="18">
        <v>4198.1890000000003</v>
      </c>
      <c r="L110" s="18">
        <v>4197.6639999999998</v>
      </c>
      <c r="M110" s="18">
        <v>4204.6260000000002</v>
      </c>
      <c r="N110" s="18">
        <v>4217.723</v>
      </c>
      <c r="O110" s="18">
        <v>4232.5540000000001</v>
      </c>
      <c r="P110" s="18">
        <v>4249.05</v>
      </c>
      <c r="Q110" s="18">
        <v>4272.4129999999996</v>
      </c>
      <c r="R110" s="18">
        <v>4304.4849999999997</v>
      </c>
      <c r="S110" s="18">
        <v>4342.7190000000001</v>
      </c>
      <c r="T110" s="18">
        <v>4382.0910000000003</v>
      </c>
      <c r="U110" s="18">
        <v>4422.8509999999997</v>
      </c>
      <c r="V110" s="18">
        <v>4464.2830000000004</v>
      </c>
      <c r="W110" s="18">
        <v>4505.2759999999998</v>
      </c>
      <c r="X110" s="18">
        <v>4545.5209999999997</v>
      </c>
      <c r="Y110" s="18">
        <v>4585.3180000000002</v>
      </c>
      <c r="Z110" s="18">
        <v>4624.0039999999999</v>
      </c>
      <c r="AA110" s="18">
        <v>4660.1369999999997</v>
      </c>
      <c r="AB110" s="18">
        <v>4692.8239999999996</v>
      </c>
      <c r="AC110" s="18">
        <v>4721.8270000000002</v>
      </c>
      <c r="AD110" s="18">
        <v>4748.183</v>
      </c>
      <c r="AE110" s="18">
        <v>4772.1499999999996</v>
      </c>
      <c r="AF110" s="18">
        <v>4788.6629999999996</v>
      </c>
      <c r="AG110" s="18">
        <v>4795.45</v>
      </c>
      <c r="AH110" s="18">
        <v>4794.6689999999999</v>
      </c>
      <c r="AI110" s="18">
        <v>4792.5600000000004</v>
      </c>
      <c r="AJ110" s="18">
        <v>4790.0429999999997</v>
      </c>
      <c r="AK110" s="18">
        <v>4779.5119999999997</v>
      </c>
      <c r="AL110" s="18">
        <v>4758.5119999999997</v>
      </c>
      <c r="AM110" s="18">
        <v>4731.6899999999996</v>
      </c>
      <c r="AN110" s="18">
        <v>4705.723</v>
      </c>
      <c r="AO110" s="18">
        <v>4678.76</v>
      </c>
      <c r="AP110" s="18">
        <v>4662.3729999999996</v>
      </c>
      <c r="AQ110" s="18">
        <v>4662.8440000000001</v>
      </c>
      <c r="AR110" s="18">
        <v>4675.2690000000002</v>
      </c>
      <c r="AS110" s="18">
        <v>4685.4440000000004</v>
      </c>
      <c r="AT110" s="18">
        <v>4692.5929999999998</v>
      </c>
      <c r="AU110" s="18">
        <v>4711.4449999999997</v>
      </c>
      <c r="AV110" s="18">
        <v>4746.74</v>
      </c>
      <c r="AW110" s="18">
        <v>4790.2929999999997</v>
      </c>
      <c r="AX110" s="18">
        <v>4831.9480000000003</v>
      </c>
      <c r="AY110" s="18">
        <v>4877.058</v>
      </c>
      <c r="AZ110" s="18">
        <v>4896.2790000000005</v>
      </c>
      <c r="BA110" s="18">
        <v>4875.03</v>
      </c>
      <c r="BB110" s="18">
        <v>4827.6440000000002</v>
      </c>
      <c r="BC110" s="18">
        <v>4783.1530000000002</v>
      </c>
      <c r="BD110" s="18">
        <v>4735.8940000000002</v>
      </c>
      <c r="BE110" s="18">
        <v>4696.0969999999998</v>
      </c>
      <c r="BF110" s="18">
        <v>4671.8289999999997</v>
      </c>
      <c r="BG110" s="18">
        <v>4657.91</v>
      </c>
      <c r="BH110" s="18">
        <v>4637.0749999999998</v>
      </c>
      <c r="BI110" s="18">
        <v>4607.951</v>
      </c>
      <c r="BJ110" s="18">
        <v>4593.9949999999999</v>
      </c>
      <c r="BK110" s="18">
        <v>4603.598</v>
      </c>
      <c r="BL110" s="18">
        <v>4624.4669999999996</v>
      </c>
      <c r="BM110" s="18">
        <v>4638.29</v>
      </c>
      <c r="BN110" s="18">
        <v>4651.5789999999997</v>
      </c>
      <c r="BO110" s="18">
        <v>4632.4880000000003</v>
      </c>
      <c r="BP110" s="18">
        <v>4564.2060000000001</v>
      </c>
      <c r="BQ110" s="18">
        <v>4461.8980000000001</v>
      </c>
      <c r="BR110" s="18">
        <v>4358.2449999999999</v>
      </c>
      <c r="BS110" s="18">
        <v>4247.5659999999998</v>
      </c>
      <c r="BT110" s="18">
        <v>4134.1450000000004</v>
      </c>
      <c r="BU110" s="18">
        <v>4023.6759999999999</v>
      </c>
      <c r="BV110" s="18">
        <v>3913.5529999999999</v>
      </c>
      <c r="BW110" s="18">
        <v>3796.0410000000002</v>
      </c>
      <c r="BX110" s="18">
        <v>3673.364</v>
      </c>
      <c r="BY110" s="18">
        <v>3548.6410000000001</v>
      </c>
      <c r="BZ110" s="18">
        <v>3422.8870000000002</v>
      </c>
      <c r="CA110" s="18">
        <v>3296.366</v>
      </c>
      <c r="CB110" s="18">
        <v>3167.4560000000001</v>
      </c>
      <c r="CC110" s="18">
        <v>3035.4279999999999</v>
      </c>
      <c r="CD110" s="18">
        <v>2908.2150000000001</v>
      </c>
      <c r="CE110" s="18">
        <v>2789.2739999999999</v>
      </c>
      <c r="CF110" s="18">
        <v>2674.837</v>
      </c>
      <c r="CG110" s="18">
        <v>2557.9580000000001</v>
      </c>
      <c r="CH110" s="18">
        <v>2440.3580000000002</v>
      </c>
      <c r="CI110" s="18">
        <v>2316.8240000000001</v>
      </c>
      <c r="CJ110" s="18">
        <v>2184.163</v>
      </c>
      <c r="CK110" s="18">
        <v>2044.9639999999999</v>
      </c>
      <c r="CL110" s="18">
        <v>1900.36</v>
      </c>
      <c r="CM110" s="18">
        <v>1782.079</v>
      </c>
      <c r="CN110" s="18">
        <v>1650.4749999999999</v>
      </c>
      <c r="CO110" s="18">
        <v>1482.578</v>
      </c>
      <c r="CP110" s="18">
        <v>1279.5830000000001</v>
      </c>
      <c r="CQ110" s="18">
        <v>1121.921</v>
      </c>
      <c r="CR110" s="18">
        <v>1038.74</v>
      </c>
      <c r="CS110" s="18">
        <v>923.46199999999999</v>
      </c>
      <c r="CT110" s="18">
        <v>762.09</v>
      </c>
      <c r="CU110" s="18">
        <v>554.62400000000002</v>
      </c>
      <c r="CV110" s="18">
        <v>465.68099999999998</v>
      </c>
      <c r="CW110" s="18">
        <v>301.60500000000002</v>
      </c>
      <c r="CX110" s="18">
        <v>642.524</v>
      </c>
      <c r="CY110" s="3">
        <f t="shared" si="11"/>
        <v>388995.48299999989</v>
      </c>
    </row>
    <row r="111" spans="1:110" customFormat="1">
      <c r="A111" s="15">
        <v>2059</v>
      </c>
      <c r="B111" s="18">
        <v>4268.7920000000004</v>
      </c>
      <c r="C111" s="18">
        <v>4270.3490000000002</v>
      </c>
      <c r="D111" s="18">
        <v>4267.7259999999997</v>
      </c>
      <c r="E111" s="18">
        <v>4261.7920000000004</v>
      </c>
      <c r="F111" s="18">
        <v>4248.5810000000001</v>
      </c>
      <c r="G111" s="18">
        <v>4239.4350000000004</v>
      </c>
      <c r="H111" s="18">
        <v>4229.7160000000003</v>
      </c>
      <c r="I111" s="18">
        <v>4220.2979999999998</v>
      </c>
      <c r="J111" s="18">
        <v>4212.0569999999998</v>
      </c>
      <c r="K111" s="18">
        <v>4204.9070000000002</v>
      </c>
      <c r="L111" s="18">
        <v>4198.7640000000001</v>
      </c>
      <c r="M111" s="18">
        <v>4199.3059999999996</v>
      </c>
      <c r="N111" s="18">
        <v>4209.3370000000004</v>
      </c>
      <c r="O111" s="18">
        <v>4226.8450000000003</v>
      </c>
      <c r="P111" s="18">
        <v>4246.0720000000001</v>
      </c>
      <c r="Q111" s="18">
        <v>4267.027</v>
      </c>
      <c r="R111" s="18">
        <v>4294.9139999999998</v>
      </c>
      <c r="S111" s="18">
        <v>4331.3789999999999</v>
      </c>
      <c r="T111" s="18">
        <v>4373.74</v>
      </c>
      <c r="U111" s="18">
        <v>4417.1499999999996</v>
      </c>
      <c r="V111" s="18">
        <v>4461.9620000000004</v>
      </c>
      <c r="W111" s="18">
        <v>4505.9070000000002</v>
      </c>
      <c r="X111" s="18">
        <v>4547.1629999999996</v>
      </c>
      <c r="Y111" s="18">
        <v>4586.0860000000002</v>
      </c>
      <c r="Z111" s="18">
        <v>4624.43</v>
      </c>
      <c r="AA111" s="18">
        <v>4661.3339999999998</v>
      </c>
      <c r="AB111" s="18">
        <v>4695.3959999999997</v>
      </c>
      <c r="AC111" s="18">
        <v>4725.9210000000003</v>
      </c>
      <c r="AD111" s="18">
        <v>4752.6629999999996</v>
      </c>
      <c r="AE111" s="18">
        <v>4776.4639999999999</v>
      </c>
      <c r="AF111" s="18">
        <v>4797.6260000000002</v>
      </c>
      <c r="AG111" s="18">
        <v>4811.5420000000004</v>
      </c>
      <c r="AH111" s="18">
        <v>4816.1509999999998</v>
      </c>
      <c r="AI111" s="18">
        <v>4813.4809999999998</v>
      </c>
      <c r="AJ111" s="18">
        <v>4809.415</v>
      </c>
      <c r="AK111" s="18">
        <v>4804.9309999999996</v>
      </c>
      <c r="AL111" s="18">
        <v>4792.5969999999998</v>
      </c>
      <c r="AM111" s="18">
        <v>4770.0050000000001</v>
      </c>
      <c r="AN111" s="18">
        <v>4741.7489999999998</v>
      </c>
      <c r="AO111" s="18">
        <v>4714.3900000000003</v>
      </c>
      <c r="AP111" s="18">
        <v>4686.0829999999996</v>
      </c>
      <c r="AQ111" s="18">
        <v>4668.4040000000005</v>
      </c>
      <c r="AR111" s="18">
        <v>4667.62</v>
      </c>
      <c r="AS111" s="18">
        <v>4678.8130000000001</v>
      </c>
      <c r="AT111" s="18">
        <v>4687.7860000000001</v>
      </c>
      <c r="AU111" s="18">
        <v>4693.7619999999997</v>
      </c>
      <c r="AV111" s="18">
        <v>4711.3869999999997</v>
      </c>
      <c r="AW111" s="18">
        <v>4745.3620000000001</v>
      </c>
      <c r="AX111" s="18">
        <v>4787.5280000000002</v>
      </c>
      <c r="AY111" s="18">
        <v>4827.7979999999998</v>
      </c>
      <c r="AZ111" s="18">
        <v>4871.5039999999999</v>
      </c>
      <c r="BA111" s="18">
        <v>4889.308</v>
      </c>
      <c r="BB111" s="18">
        <v>4866.6329999999998</v>
      </c>
      <c r="BC111" s="18">
        <v>4817.8050000000003</v>
      </c>
      <c r="BD111" s="18">
        <v>4771.835</v>
      </c>
      <c r="BE111" s="18">
        <v>4723.0519999999997</v>
      </c>
      <c r="BF111" s="18">
        <v>4681.7110000000002</v>
      </c>
      <c r="BG111" s="18">
        <v>4655.8810000000003</v>
      </c>
      <c r="BH111" s="18">
        <v>4640.3680000000004</v>
      </c>
      <c r="BI111" s="18">
        <v>4617.8990000000003</v>
      </c>
      <c r="BJ111" s="18">
        <v>4587.12</v>
      </c>
      <c r="BK111" s="18">
        <v>4571.393</v>
      </c>
      <c r="BL111" s="18">
        <v>4579.0690000000004</v>
      </c>
      <c r="BM111" s="18">
        <v>4597.902</v>
      </c>
      <c r="BN111" s="18">
        <v>4609.634</v>
      </c>
      <c r="BO111" s="18">
        <v>4620.7250000000004</v>
      </c>
      <c r="BP111" s="18">
        <v>4599.5479999999998</v>
      </c>
      <c r="BQ111" s="18">
        <v>4529.3969999999999</v>
      </c>
      <c r="BR111" s="18">
        <v>4425.3100000000004</v>
      </c>
      <c r="BS111" s="18">
        <v>4319.7129999999997</v>
      </c>
      <c r="BT111" s="18">
        <v>4206.9409999999998</v>
      </c>
      <c r="BU111" s="18">
        <v>4091.268</v>
      </c>
      <c r="BV111" s="18">
        <v>3978.3440000000001</v>
      </c>
      <c r="BW111" s="18">
        <v>3865.5430000000001</v>
      </c>
      <c r="BX111" s="18">
        <v>3745.125</v>
      </c>
      <c r="BY111" s="18">
        <v>3619.2849999999999</v>
      </c>
      <c r="BZ111" s="18">
        <v>3491.0909999999999</v>
      </c>
      <c r="CA111" s="18">
        <v>3361.5169999999998</v>
      </c>
      <c r="CB111" s="18">
        <v>3230.8139999999999</v>
      </c>
      <c r="CC111" s="18">
        <v>3097.4749999999999</v>
      </c>
      <c r="CD111" s="18">
        <v>2960.87</v>
      </c>
      <c r="CE111" s="18">
        <v>2828.2629999999999</v>
      </c>
      <c r="CF111" s="18">
        <v>2702.826</v>
      </c>
      <c r="CG111" s="18">
        <v>2581.1509999999998</v>
      </c>
      <c r="CH111" s="18">
        <v>2457.183</v>
      </c>
      <c r="CI111" s="18">
        <v>2332.7660000000001</v>
      </c>
      <c r="CJ111" s="18">
        <v>2201.9180000000001</v>
      </c>
      <c r="CK111" s="18">
        <v>2061.2489999999998</v>
      </c>
      <c r="CL111" s="18">
        <v>1913.9</v>
      </c>
      <c r="CM111" s="18">
        <v>1759.9659999999999</v>
      </c>
      <c r="CN111" s="18">
        <v>1641.7560000000001</v>
      </c>
      <c r="CO111" s="18">
        <v>1508.742</v>
      </c>
      <c r="CP111" s="18">
        <v>1331.229</v>
      </c>
      <c r="CQ111" s="18">
        <v>1109.818</v>
      </c>
      <c r="CR111" s="18">
        <v>952.46299999999997</v>
      </c>
      <c r="CS111" s="18">
        <v>876.30700000000002</v>
      </c>
      <c r="CT111" s="18">
        <v>768.27</v>
      </c>
      <c r="CU111" s="18">
        <v>621.35500000000002</v>
      </c>
      <c r="CV111" s="18">
        <v>435.56200000000001</v>
      </c>
      <c r="CW111" s="18">
        <v>309.68</v>
      </c>
      <c r="CX111" s="18">
        <v>669.58500000000004</v>
      </c>
      <c r="CY111" s="3">
        <f t="shared" si="11"/>
        <v>390240.01199999999</v>
      </c>
    </row>
    <row r="112" spans="1:110" customFormat="1">
      <c r="A112" s="15">
        <v>2060</v>
      </c>
      <c r="B112" s="18">
        <v>4276.5810000000001</v>
      </c>
      <c r="C112" s="18">
        <v>4280.1689999999999</v>
      </c>
      <c r="D112" s="18">
        <v>4278.8670000000002</v>
      </c>
      <c r="E112" s="18">
        <v>4273.6139999999996</v>
      </c>
      <c r="F112" s="18">
        <v>4265.357</v>
      </c>
      <c r="G112" s="18">
        <v>4255.0339999999997</v>
      </c>
      <c r="H112" s="18">
        <v>4243.59</v>
      </c>
      <c r="I112" s="18">
        <v>4231.9669999999996</v>
      </c>
      <c r="J112" s="18">
        <v>4221.1059999999998</v>
      </c>
      <c r="K112" s="18">
        <v>4211.95</v>
      </c>
      <c r="L112" s="18">
        <v>4204.24</v>
      </c>
      <c r="M112" s="18">
        <v>4197.7169999999996</v>
      </c>
      <c r="N112" s="18">
        <v>4199.3289999999997</v>
      </c>
      <c r="O112" s="18">
        <v>4212.4210000000003</v>
      </c>
      <c r="P112" s="18">
        <v>4234.3310000000001</v>
      </c>
      <c r="Q112" s="18">
        <v>4257.942</v>
      </c>
      <c r="R112" s="18">
        <v>4283.3429999999998</v>
      </c>
      <c r="S112" s="18">
        <v>4315.741</v>
      </c>
      <c r="T112" s="18">
        <v>4356.5820000000003</v>
      </c>
      <c r="U112" s="18">
        <v>4403.049</v>
      </c>
      <c r="V112" s="18">
        <v>4450.4769999999999</v>
      </c>
      <c r="W112" s="18">
        <v>4499.3190000000004</v>
      </c>
      <c r="X112" s="18">
        <v>4545.759</v>
      </c>
      <c r="Y112" s="18">
        <v>4587.2610000000004</v>
      </c>
      <c r="Z112" s="18">
        <v>4624.848</v>
      </c>
      <c r="AA112" s="18">
        <v>4661.7269999999999</v>
      </c>
      <c r="AB112" s="18">
        <v>4696.835</v>
      </c>
      <c r="AC112" s="18">
        <v>4728.8149999999996</v>
      </c>
      <c r="AD112" s="18">
        <v>4757.1679999999997</v>
      </c>
      <c r="AE112" s="18">
        <v>4781.6409999999996</v>
      </c>
      <c r="AF112" s="18">
        <v>4802.8779999999997</v>
      </c>
      <c r="AG112" s="18">
        <v>4821.2290000000003</v>
      </c>
      <c r="AH112" s="18">
        <v>4832.5460000000003</v>
      </c>
      <c r="AI112" s="18">
        <v>4834.9759999999997</v>
      </c>
      <c r="AJ112" s="18">
        <v>4830.4189999999999</v>
      </c>
      <c r="AK112" s="18">
        <v>4824.4009999999998</v>
      </c>
      <c r="AL112" s="18">
        <v>4817.9520000000002</v>
      </c>
      <c r="AM112" s="18">
        <v>4803.8209999999999</v>
      </c>
      <c r="AN112" s="18">
        <v>4779.6469999999999</v>
      </c>
      <c r="AO112" s="18">
        <v>4749.9690000000001</v>
      </c>
      <c r="AP112" s="18">
        <v>4721.2290000000003</v>
      </c>
      <c r="AQ112" s="18">
        <v>4691.59</v>
      </c>
      <c r="AR112" s="18">
        <v>4672.6270000000004</v>
      </c>
      <c r="AS112" s="18">
        <v>4670.59</v>
      </c>
      <c r="AT112" s="18">
        <v>4680.5479999999998</v>
      </c>
      <c r="AU112" s="18">
        <v>4688.317</v>
      </c>
      <c r="AV112" s="18">
        <v>4693.1170000000002</v>
      </c>
      <c r="AW112" s="18">
        <v>4709.51</v>
      </c>
      <c r="AX112" s="18">
        <v>4742.152</v>
      </c>
      <c r="AY112" s="18">
        <v>4782.9179999999997</v>
      </c>
      <c r="AZ112" s="18">
        <v>4821.7860000000001</v>
      </c>
      <c r="BA112" s="18">
        <v>4864.0739999999996</v>
      </c>
      <c r="BB112" s="18">
        <v>4880.4539999999997</v>
      </c>
      <c r="BC112" s="18">
        <v>4856.3639999999996</v>
      </c>
      <c r="BD112" s="18">
        <v>4806.1139999999996</v>
      </c>
      <c r="BE112" s="18">
        <v>4758.68</v>
      </c>
      <c r="BF112" s="18">
        <v>4708.3969999999999</v>
      </c>
      <c r="BG112" s="18">
        <v>4665.5280000000002</v>
      </c>
      <c r="BH112" s="18">
        <v>4638.1469999999999</v>
      </c>
      <c r="BI112" s="18">
        <v>4621.0469999999996</v>
      </c>
      <c r="BJ112" s="18">
        <v>4596.9560000000001</v>
      </c>
      <c r="BK112" s="18">
        <v>4564.5339999999997</v>
      </c>
      <c r="BL112" s="18">
        <v>4547.0429999999997</v>
      </c>
      <c r="BM112" s="18">
        <v>4552.7910000000002</v>
      </c>
      <c r="BN112" s="18">
        <v>4569.5810000000001</v>
      </c>
      <c r="BO112" s="18">
        <v>4579.2179999999998</v>
      </c>
      <c r="BP112" s="18">
        <v>4588.1090000000004</v>
      </c>
      <c r="BQ112" s="18">
        <v>4564.857</v>
      </c>
      <c r="BR112" s="18">
        <v>4492.8649999999998</v>
      </c>
      <c r="BS112" s="18">
        <v>4387.0410000000002</v>
      </c>
      <c r="BT112" s="18">
        <v>4279.5420000000004</v>
      </c>
      <c r="BU112" s="18">
        <v>4164.7219999999998</v>
      </c>
      <c r="BV112" s="18">
        <v>4046.8409999999999</v>
      </c>
      <c r="BW112" s="18">
        <v>3931.5079999999998</v>
      </c>
      <c r="BX112" s="18">
        <v>3816.0749999999998</v>
      </c>
      <c r="BY112" s="18">
        <v>3692.8009999999999</v>
      </c>
      <c r="BZ112" s="18">
        <v>3563.848</v>
      </c>
      <c r="CA112" s="18">
        <v>3432.232</v>
      </c>
      <c r="CB112" s="18">
        <v>3298.895</v>
      </c>
      <c r="CC112" s="18">
        <v>3164.0610000000001</v>
      </c>
      <c r="CD112" s="18">
        <v>3026.35</v>
      </c>
      <c r="CE112" s="18">
        <v>2885.2240000000002</v>
      </c>
      <c r="CF112" s="18">
        <v>2747.279</v>
      </c>
      <c r="CG112" s="18">
        <v>2615.4</v>
      </c>
      <c r="CH112" s="18">
        <v>2486.538</v>
      </c>
      <c r="CI112" s="18">
        <v>2355.5349999999999</v>
      </c>
      <c r="CJ112" s="18">
        <v>2224.355</v>
      </c>
      <c r="CK112" s="18">
        <v>2086.248</v>
      </c>
      <c r="CL112" s="18">
        <v>1937.634</v>
      </c>
      <c r="CM112" s="18">
        <v>1782.1959999999999</v>
      </c>
      <c r="CN112" s="18">
        <v>1619.0029999999999</v>
      </c>
      <c r="CO112" s="18">
        <v>1500.91</v>
      </c>
      <c r="CP112" s="18">
        <v>1366.5360000000001</v>
      </c>
      <c r="CQ112" s="18">
        <v>1179.4860000000001</v>
      </c>
      <c r="CR112" s="18">
        <v>939.76</v>
      </c>
      <c r="CS112" s="18">
        <v>782.77300000000002</v>
      </c>
      <c r="CT112" s="18">
        <v>713.66600000000005</v>
      </c>
      <c r="CU112" s="18">
        <v>612.90599999999995</v>
      </c>
      <c r="CV112" s="18">
        <v>480.49299999999999</v>
      </c>
      <c r="CW112" s="18">
        <v>316.428</v>
      </c>
      <c r="CX112" s="18">
        <v>694.84500000000003</v>
      </c>
      <c r="CY112" s="3">
        <f t="shared" si="11"/>
        <v>391494.89200000005</v>
      </c>
    </row>
    <row r="113" spans="1:103" customFormat="1">
      <c r="A113" s="15">
        <v>2061</v>
      </c>
      <c r="B113" s="18">
        <v>4286.7259999999997</v>
      </c>
      <c r="C113" s="18">
        <v>4288.3969999999999</v>
      </c>
      <c r="D113" s="18">
        <v>4289.2969999999996</v>
      </c>
      <c r="E113" s="18">
        <v>4285.8419999999996</v>
      </c>
      <c r="F113" s="18">
        <v>4279.0150000000003</v>
      </c>
      <c r="G113" s="18">
        <v>4269.8050000000003</v>
      </c>
      <c r="H113" s="18">
        <v>4258.9809999999998</v>
      </c>
      <c r="I113" s="18">
        <v>4247.3130000000001</v>
      </c>
      <c r="J113" s="18">
        <v>4236.87</v>
      </c>
      <c r="K113" s="18">
        <v>4229.0739999999996</v>
      </c>
      <c r="L113" s="18">
        <v>4224.26</v>
      </c>
      <c r="M113" s="18">
        <v>4220.924</v>
      </c>
      <c r="N113" s="18">
        <v>4218.8630000000003</v>
      </c>
      <c r="O113" s="18">
        <v>4225.0119999999997</v>
      </c>
      <c r="P113" s="18">
        <v>4242.5200000000004</v>
      </c>
      <c r="Q113" s="18">
        <v>4268.5889999999999</v>
      </c>
      <c r="R113" s="18">
        <v>4296.2700000000004</v>
      </c>
      <c r="S113" s="18">
        <v>4325.7579999999998</v>
      </c>
      <c r="T113" s="18">
        <v>4360.7079999999996</v>
      </c>
      <c r="U113" s="18">
        <v>4401.8590000000004</v>
      </c>
      <c r="V113" s="18">
        <v>4447.0569999999998</v>
      </c>
      <c r="W113" s="18">
        <v>4493.085</v>
      </c>
      <c r="X113" s="18">
        <v>4540.1959999999999</v>
      </c>
      <c r="Y113" s="18">
        <v>4584.6120000000001</v>
      </c>
      <c r="Z113" s="18">
        <v>4623.9930000000004</v>
      </c>
      <c r="AA113" s="18">
        <v>4659.3540000000003</v>
      </c>
      <c r="AB113" s="18">
        <v>4693.7110000000002</v>
      </c>
      <c r="AC113" s="18">
        <v>4726.0469999999996</v>
      </c>
      <c r="AD113" s="18">
        <v>4755.451</v>
      </c>
      <c r="AE113" s="18">
        <v>4781.634</v>
      </c>
      <c r="AF113" s="18">
        <v>4804.2139999999999</v>
      </c>
      <c r="AG113" s="18">
        <v>4823.4930000000004</v>
      </c>
      <c r="AH113" s="18">
        <v>4839.8770000000004</v>
      </c>
      <c r="AI113" s="18">
        <v>4849.3819999999996</v>
      </c>
      <c r="AJ113" s="18">
        <v>4850.1989999999996</v>
      </c>
      <c r="AK113" s="18">
        <v>4844.1809999999996</v>
      </c>
      <c r="AL113" s="18">
        <v>4836.75</v>
      </c>
      <c r="AM113" s="18">
        <v>4828.9390000000003</v>
      </c>
      <c r="AN113" s="18">
        <v>4813.5200000000004</v>
      </c>
      <c r="AO113" s="18">
        <v>4788.125</v>
      </c>
      <c r="AP113" s="18">
        <v>4757.2749999999996</v>
      </c>
      <c r="AQ113" s="18">
        <v>4727.3879999999999</v>
      </c>
      <c r="AR113" s="18">
        <v>4696.6229999999996</v>
      </c>
      <c r="AS113" s="18">
        <v>4676.5169999999998</v>
      </c>
      <c r="AT113" s="18">
        <v>4673.2969999999996</v>
      </c>
      <c r="AU113" s="18">
        <v>4682.0360000000001</v>
      </c>
      <c r="AV113" s="18">
        <v>4688.5829999999996</v>
      </c>
      <c r="AW113" s="18">
        <v>4692.1679999999997</v>
      </c>
      <c r="AX113" s="18">
        <v>4707.2299999999996</v>
      </c>
      <c r="AY113" s="18">
        <v>4738.375</v>
      </c>
      <c r="AZ113" s="18">
        <v>4777.5320000000002</v>
      </c>
      <c r="BA113" s="18">
        <v>4814.7780000000002</v>
      </c>
      <c r="BB113" s="18">
        <v>4855.3999999999996</v>
      </c>
      <c r="BC113" s="18">
        <v>4870.1710000000003</v>
      </c>
      <c r="BD113" s="18">
        <v>4844.5820000000003</v>
      </c>
      <c r="BE113" s="18">
        <v>4792.8919999999998</v>
      </c>
      <c r="BF113" s="18">
        <v>4743.9449999999997</v>
      </c>
      <c r="BG113" s="18">
        <v>4692.0649999999996</v>
      </c>
      <c r="BH113" s="18">
        <v>4647.6220000000003</v>
      </c>
      <c r="BI113" s="18">
        <v>4618.7129999999997</v>
      </c>
      <c r="BJ113" s="18">
        <v>4600.0720000000001</v>
      </c>
      <c r="BK113" s="18">
        <v>4574.34</v>
      </c>
      <c r="BL113" s="18">
        <v>4540.2020000000002</v>
      </c>
      <c r="BM113" s="18">
        <v>4520.7489999999998</v>
      </c>
      <c r="BN113" s="18">
        <v>4524.1959999999999</v>
      </c>
      <c r="BO113" s="18">
        <v>4538.4179999999997</v>
      </c>
      <c r="BP113" s="18">
        <v>4545.3509999999997</v>
      </c>
      <c r="BQ113" s="18">
        <v>4551.3360000000002</v>
      </c>
      <c r="BR113" s="18">
        <v>4525.1369999999997</v>
      </c>
      <c r="BS113" s="18">
        <v>4450.24</v>
      </c>
      <c r="BT113" s="18">
        <v>4341.4449999999997</v>
      </c>
      <c r="BU113" s="18">
        <v>4230.7240000000002</v>
      </c>
      <c r="BV113" s="18">
        <v>4112.4750000000004</v>
      </c>
      <c r="BW113" s="18">
        <v>3990.7840000000001</v>
      </c>
      <c r="BX113" s="18">
        <v>3871.1559999999999</v>
      </c>
      <c r="BY113" s="18">
        <v>3751.02</v>
      </c>
      <c r="BZ113" s="18">
        <v>3622.8760000000002</v>
      </c>
      <c r="CA113" s="18">
        <v>3488.913</v>
      </c>
      <c r="CB113" s="18">
        <v>3351.819</v>
      </c>
      <c r="CC113" s="18">
        <v>3212.4160000000002</v>
      </c>
      <c r="CD113" s="18">
        <v>3071.1149999999998</v>
      </c>
      <c r="CE113" s="18">
        <v>2927.058</v>
      </c>
      <c r="CF113" s="18">
        <v>2779.875</v>
      </c>
      <c r="CG113" s="18">
        <v>2635.355</v>
      </c>
      <c r="CH113" s="18">
        <v>2496.1239999999998</v>
      </c>
      <c r="CI113" s="18">
        <v>2359.6819999999998</v>
      </c>
      <c r="CJ113" s="18">
        <v>2219.7759999999998</v>
      </c>
      <c r="CK113" s="18">
        <v>2089.0390000000002</v>
      </c>
      <c r="CL113" s="18">
        <v>1949.8879999999999</v>
      </c>
      <c r="CM113" s="18">
        <v>1792.05</v>
      </c>
      <c r="CN113" s="18">
        <v>1618.4749999999999</v>
      </c>
      <c r="CO113" s="18">
        <v>1454.979</v>
      </c>
      <c r="CP113" s="18">
        <v>1345.413</v>
      </c>
      <c r="CQ113" s="18">
        <v>1217.5450000000001</v>
      </c>
      <c r="CR113" s="18">
        <v>1042.2439999999999</v>
      </c>
      <c r="CS113" s="18">
        <v>819.51099999999997</v>
      </c>
      <c r="CT113" s="18">
        <v>717.43399999999997</v>
      </c>
      <c r="CU113" s="18">
        <v>616.73599999999999</v>
      </c>
      <c r="CV113" s="18">
        <v>485.005</v>
      </c>
      <c r="CW113" s="18">
        <v>322.24200000000002</v>
      </c>
      <c r="CX113" s="18">
        <v>719.33100000000002</v>
      </c>
      <c r="CY113" s="3">
        <f t="shared" si="11"/>
        <v>392759.64099999995</v>
      </c>
    </row>
    <row r="114" spans="1:103" customFormat="1">
      <c r="A114" s="15">
        <v>2062</v>
      </c>
      <c r="B114" s="18">
        <v>4293.8050000000003</v>
      </c>
      <c r="C114" s="18">
        <v>4303.4219999999996</v>
      </c>
      <c r="D114" s="18">
        <v>4299.4799999999996</v>
      </c>
      <c r="E114" s="18">
        <v>4297.6909999999998</v>
      </c>
      <c r="F114" s="18">
        <v>4292.0810000000001</v>
      </c>
      <c r="G114" s="18">
        <v>4283.6790000000001</v>
      </c>
      <c r="H114" s="18">
        <v>4273.518</v>
      </c>
      <c r="I114" s="18">
        <v>4262.1930000000002</v>
      </c>
      <c r="J114" s="18">
        <v>4250.3019999999997</v>
      </c>
      <c r="K114" s="18">
        <v>4241.0429999999997</v>
      </c>
      <c r="L114" s="18">
        <v>4236.3149999999996</v>
      </c>
      <c r="M114" s="18">
        <v>4235.848</v>
      </c>
      <c r="N114" s="18">
        <v>4236.8900000000003</v>
      </c>
      <c r="O114" s="18">
        <v>4239.2950000000001</v>
      </c>
      <c r="P114" s="18">
        <v>4249.9849999999997</v>
      </c>
      <c r="Q114" s="18">
        <v>4271.9110000000001</v>
      </c>
      <c r="R114" s="18">
        <v>4302.1360000000004</v>
      </c>
      <c r="S114" s="18">
        <v>4333.8869999999997</v>
      </c>
      <c r="T114" s="18">
        <v>4367.4589999999998</v>
      </c>
      <c r="U114" s="18">
        <v>4404.96</v>
      </c>
      <c r="V114" s="18">
        <v>4446.4139999999998</v>
      </c>
      <c r="W114" s="18">
        <v>4490.3320000000003</v>
      </c>
      <c r="X114" s="18">
        <v>4534.9520000000002</v>
      </c>
      <c r="Y114" s="18">
        <v>4580.3209999999999</v>
      </c>
      <c r="Z114" s="18">
        <v>4622.7039999999997</v>
      </c>
      <c r="AA114" s="18">
        <v>4659.9539999999997</v>
      </c>
      <c r="AB114" s="18">
        <v>4693.0839999999998</v>
      </c>
      <c r="AC114" s="18">
        <v>4724.91</v>
      </c>
      <c r="AD114" s="18">
        <v>4754.4660000000003</v>
      </c>
      <c r="AE114" s="18">
        <v>4781.2879999999996</v>
      </c>
      <c r="AF114" s="18">
        <v>4805.2920000000004</v>
      </c>
      <c r="AG114" s="18">
        <v>4825.9740000000002</v>
      </c>
      <c r="AH114" s="18">
        <v>4843.29</v>
      </c>
      <c r="AI114" s="18">
        <v>4857.7020000000002</v>
      </c>
      <c r="AJ114" s="18">
        <v>4865.3909999999996</v>
      </c>
      <c r="AK114" s="18">
        <v>4864.5940000000001</v>
      </c>
      <c r="AL114" s="18">
        <v>4857.1149999999998</v>
      </c>
      <c r="AM114" s="18">
        <v>4848.2709999999997</v>
      </c>
      <c r="AN114" s="18">
        <v>4839.098</v>
      </c>
      <c r="AO114" s="18">
        <v>4822.3909999999996</v>
      </c>
      <c r="AP114" s="18">
        <v>4795.78</v>
      </c>
      <c r="AQ114" s="18">
        <v>4763.7610000000004</v>
      </c>
      <c r="AR114" s="18">
        <v>4732.732</v>
      </c>
      <c r="AS114" s="18">
        <v>4700.8440000000001</v>
      </c>
      <c r="AT114" s="18">
        <v>4679.598</v>
      </c>
      <c r="AU114" s="18">
        <v>4675.1949999999997</v>
      </c>
      <c r="AV114" s="18">
        <v>4682.7120000000004</v>
      </c>
      <c r="AW114" s="18">
        <v>4688.0349999999999</v>
      </c>
      <c r="AX114" s="18">
        <v>4690.4030000000002</v>
      </c>
      <c r="AY114" s="18">
        <v>4704.1310000000003</v>
      </c>
      <c r="AZ114" s="18">
        <v>4733.7719999999999</v>
      </c>
      <c r="BA114" s="18">
        <v>4771.3119999999999</v>
      </c>
      <c r="BB114" s="18">
        <v>4806.9279999999999</v>
      </c>
      <c r="BC114" s="18">
        <v>4845.8760000000002</v>
      </c>
      <c r="BD114" s="18">
        <v>4859.0330000000004</v>
      </c>
      <c r="BE114" s="18">
        <v>4831.9489999999996</v>
      </c>
      <c r="BF114" s="18">
        <v>4778.8280000000004</v>
      </c>
      <c r="BG114" s="18">
        <v>4728.3729999999996</v>
      </c>
      <c r="BH114" s="18">
        <v>4674.9059999999999</v>
      </c>
      <c r="BI114" s="18">
        <v>4628.893</v>
      </c>
      <c r="BJ114" s="18">
        <v>4598.4610000000002</v>
      </c>
      <c r="BK114" s="18">
        <v>4578.2790000000005</v>
      </c>
      <c r="BL114" s="18">
        <v>4550.9089999999997</v>
      </c>
      <c r="BM114" s="18">
        <v>4515.0590000000002</v>
      </c>
      <c r="BN114" s="18">
        <v>4493.6469999999999</v>
      </c>
      <c r="BO114" s="18">
        <v>4494.79</v>
      </c>
      <c r="BP114" s="18">
        <v>4506.4390000000003</v>
      </c>
      <c r="BQ114" s="18">
        <v>4510.6629999999996</v>
      </c>
      <c r="BR114" s="18">
        <v>4513.7389999999996</v>
      </c>
      <c r="BS114" s="18">
        <v>4484.5969999999998</v>
      </c>
      <c r="BT114" s="18">
        <v>4406.8050000000003</v>
      </c>
      <c r="BU114" s="18">
        <v>4295.0550000000003</v>
      </c>
      <c r="BV114" s="18">
        <v>4181.13</v>
      </c>
      <c r="BW114" s="18">
        <v>4059.4670000000001</v>
      </c>
      <c r="BX114" s="18">
        <v>3933.9830000000002</v>
      </c>
      <c r="BY114" s="18">
        <v>3810.0790000000002</v>
      </c>
      <c r="BZ114" s="18">
        <v>3685.2559999999999</v>
      </c>
      <c r="CA114" s="18">
        <v>3552.2579999999998</v>
      </c>
      <c r="CB114" s="18">
        <v>3413.3049999999998</v>
      </c>
      <c r="CC114" s="18">
        <v>3270.75</v>
      </c>
      <c r="CD114" s="18">
        <v>3125.3009999999999</v>
      </c>
      <c r="CE114" s="18">
        <v>2977.5520000000001</v>
      </c>
      <c r="CF114" s="18">
        <v>2827.1680000000001</v>
      </c>
      <c r="CG114" s="18">
        <v>2673.9470000000001</v>
      </c>
      <c r="CH114" s="18">
        <v>2522.8710000000001</v>
      </c>
      <c r="CI114" s="18">
        <v>2376.306</v>
      </c>
      <c r="CJ114" s="18">
        <v>2232.3020000000001</v>
      </c>
      <c r="CK114" s="18">
        <v>2083.5079999999998</v>
      </c>
      <c r="CL114" s="18">
        <v>1953.2380000000001</v>
      </c>
      <c r="CM114" s="18">
        <v>1813.0640000000001</v>
      </c>
      <c r="CN114" s="18">
        <v>1646.0219999999999</v>
      </c>
      <c r="CO114" s="18">
        <v>1454.325</v>
      </c>
      <c r="CP114" s="18">
        <v>1290.5540000000001</v>
      </c>
      <c r="CQ114" s="18">
        <v>1189.5409999999999</v>
      </c>
      <c r="CR114" s="18">
        <v>1068.2080000000001</v>
      </c>
      <c r="CS114" s="18">
        <v>904.697</v>
      </c>
      <c r="CT114" s="18">
        <v>699.01</v>
      </c>
      <c r="CU114" s="18">
        <v>618.04499999999996</v>
      </c>
      <c r="CV114" s="18">
        <v>487.4</v>
      </c>
      <c r="CW114" s="18">
        <v>326.81900000000002</v>
      </c>
      <c r="CX114" s="18">
        <v>742.14800000000002</v>
      </c>
      <c r="CY114" s="3">
        <f t="shared" si="11"/>
        <v>394033.201</v>
      </c>
    </row>
    <row r="115" spans="1:103" customFormat="1">
      <c r="A115" s="15">
        <v>2063</v>
      </c>
      <c r="B115" s="18">
        <v>4297.9930000000004</v>
      </c>
      <c r="C115" s="18">
        <v>4311.0990000000002</v>
      </c>
      <c r="D115" s="18">
        <v>4317.0379999999996</v>
      </c>
      <c r="E115" s="18">
        <v>4309.3919999999998</v>
      </c>
      <c r="F115" s="18">
        <v>4304.9129999999996</v>
      </c>
      <c r="G115" s="18">
        <v>4297.1499999999996</v>
      </c>
      <c r="H115" s="18">
        <v>4287.1750000000002</v>
      </c>
      <c r="I115" s="18">
        <v>4276.0640000000003</v>
      </c>
      <c r="J115" s="18">
        <v>4264.2420000000002</v>
      </c>
      <c r="K115" s="18">
        <v>4252.1310000000003</v>
      </c>
      <c r="L115" s="18">
        <v>4244.0590000000002</v>
      </c>
      <c r="M115" s="18">
        <v>4242.402</v>
      </c>
      <c r="N115" s="18">
        <v>4246.2830000000004</v>
      </c>
      <c r="O115" s="18">
        <v>4251.7060000000001</v>
      </c>
      <c r="P115" s="18">
        <v>4258.5789999999997</v>
      </c>
      <c r="Q115" s="18">
        <v>4273.808</v>
      </c>
      <c r="R115" s="18">
        <v>4300.1469999999999</v>
      </c>
      <c r="S115" s="18">
        <v>4334.5219999999999</v>
      </c>
      <c r="T115" s="18">
        <v>4370.3360000000002</v>
      </c>
      <c r="U115" s="18">
        <v>4407.9859999999999</v>
      </c>
      <c r="V115" s="18">
        <v>4448.027</v>
      </c>
      <c r="W115" s="18">
        <v>4489.7719999999999</v>
      </c>
      <c r="X115" s="18">
        <v>4532.3990000000003</v>
      </c>
      <c r="Y115" s="18">
        <v>4575.5969999999998</v>
      </c>
      <c r="Z115" s="18">
        <v>4619.2120000000004</v>
      </c>
      <c r="AA115" s="18">
        <v>4659.549</v>
      </c>
      <c r="AB115" s="18">
        <v>4694.6589999999997</v>
      </c>
      <c r="AC115" s="18">
        <v>4725.5439999999999</v>
      </c>
      <c r="AD115" s="18">
        <v>4754.83</v>
      </c>
      <c r="AE115" s="18">
        <v>4781.5959999999995</v>
      </c>
      <c r="AF115" s="18">
        <v>4805.8270000000002</v>
      </c>
      <c r="AG115" s="18">
        <v>4827.6459999999997</v>
      </c>
      <c r="AH115" s="18">
        <v>4846.4229999999998</v>
      </c>
      <c r="AI115" s="18">
        <v>4861.7719999999999</v>
      </c>
      <c r="AJ115" s="18">
        <v>4874.2060000000001</v>
      </c>
      <c r="AK115" s="18">
        <v>4880.0770000000002</v>
      </c>
      <c r="AL115" s="18">
        <v>4877.6660000000002</v>
      </c>
      <c r="AM115" s="18">
        <v>4868.7259999999997</v>
      </c>
      <c r="AN115" s="18">
        <v>4858.47</v>
      </c>
      <c r="AO115" s="18">
        <v>4847.9369999999999</v>
      </c>
      <c r="AP115" s="18">
        <v>4829.9470000000001</v>
      </c>
      <c r="AQ115" s="18">
        <v>4802.125</v>
      </c>
      <c r="AR115" s="18">
        <v>4768.9470000000001</v>
      </c>
      <c r="AS115" s="18">
        <v>4736.7839999999997</v>
      </c>
      <c r="AT115" s="18">
        <v>4703.7809999999999</v>
      </c>
      <c r="AU115" s="18">
        <v>4681.3999999999996</v>
      </c>
      <c r="AV115" s="18">
        <v>4675.8159999999998</v>
      </c>
      <c r="AW115" s="18">
        <v>4682.1080000000002</v>
      </c>
      <c r="AX115" s="18">
        <v>4686.2049999999999</v>
      </c>
      <c r="AY115" s="18">
        <v>4687.3549999999996</v>
      </c>
      <c r="AZ115" s="18">
        <v>4699.7439999999997</v>
      </c>
      <c r="BA115" s="18">
        <v>4727.8710000000001</v>
      </c>
      <c r="BB115" s="18">
        <v>4763.7830000000004</v>
      </c>
      <c r="BC115" s="18">
        <v>4797.7579999999998</v>
      </c>
      <c r="BD115" s="18">
        <v>4835.0219999999999</v>
      </c>
      <c r="BE115" s="18">
        <v>4846.5600000000004</v>
      </c>
      <c r="BF115" s="18">
        <v>4817.9870000000001</v>
      </c>
      <c r="BG115" s="18">
        <v>4763.45</v>
      </c>
      <c r="BH115" s="18">
        <v>4711.4989999999998</v>
      </c>
      <c r="BI115" s="18">
        <v>4656.4579999999996</v>
      </c>
      <c r="BJ115" s="18">
        <v>4608.8890000000001</v>
      </c>
      <c r="BK115" s="18">
        <v>4576.9399999999996</v>
      </c>
      <c r="BL115" s="18">
        <v>4555.2219999999998</v>
      </c>
      <c r="BM115" s="18">
        <v>4526.2209999999995</v>
      </c>
      <c r="BN115" s="18">
        <v>4488.67</v>
      </c>
      <c r="BO115" s="18">
        <v>4465.3010000000004</v>
      </c>
      <c r="BP115" s="18">
        <v>4464.1400000000003</v>
      </c>
      <c r="BQ115" s="18">
        <v>4473.2120000000004</v>
      </c>
      <c r="BR115" s="18">
        <v>4474.7259999999997</v>
      </c>
      <c r="BS115" s="18">
        <v>4474.8900000000003</v>
      </c>
      <c r="BT115" s="18">
        <v>4442.8100000000004</v>
      </c>
      <c r="BU115" s="18">
        <v>4362.143</v>
      </c>
      <c r="BV115" s="18">
        <v>4247.4669999999996</v>
      </c>
      <c r="BW115" s="18">
        <v>4130.366</v>
      </c>
      <c r="BX115" s="18">
        <v>4005.3240000000001</v>
      </c>
      <c r="BY115" s="18">
        <v>3876.0790000000002</v>
      </c>
      <c r="BZ115" s="18">
        <v>3747.9279999999999</v>
      </c>
      <c r="CA115" s="18">
        <v>3618.451</v>
      </c>
      <c r="CB115" s="18">
        <v>3480.634</v>
      </c>
      <c r="CC115" s="18">
        <v>3336.7260000000001</v>
      </c>
      <c r="CD115" s="18">
        <v>3188.7469999999998</v>
      </c>
      <c r="CE115" s="18">
        <v>3037.288</v>
      </c>
      <c r="CF115" s="18">
        <v>2883.1280000000002</v>
      </c>
      <c r="CG115" s="18">
        <v>2726.4560000000001</v>
      </c>
      <c r="CH115" s="18">
        <v>2567.2379999999998</v>
      </c>
      <c r="CI115" s="18">
        <v>2409.6439999999998</v>
      </c>
      <c r="CJ115" s="18">
        <v>2255.7809999999999</v>
      </c>
      <c r="CK115" s="18">
        <v>2104.25</v>
      </c>
      <c r="CL115" s="18">
        <v>1946.606</v>
      </c>
      <c r="CM115" s="18">
        <v>1816.838</v>
      </c>
      <c r="CN115" s="18">
        <v>1675.68</v>
      </c>
      <c r="CO115" s="18">
        <v>1499.4749999999999</v>
      </c>
      <c r="CP115" s="18">
        <v>1289.7</v>
      </c>
      <c r="CQ115" s="18">
        <v>1125.701</v>
      </c>
      <c r="CR115" s="18">
        <v>1033.2719999999999</v>
      </c>
      <c r="CS115" s="18">
        <v>918.50900000000001</v>
      </c>
      <c r="CT115" s="18">
        <v>766.83900000000006</v>
      </c>
      <c r="CU115" s="18">
        <v>578.26300000000003</v>
      </c>
      <c r="CV115" s="18">
        <v>488.43900000000002</v>
      </c>
      <c r="CW115" s="18">
        <v>330.428</v>
      </c>
      <c r="CX115" s="18">
        <v>762.82899999999995</v>
      </c>
      <c r="CY115" s="3">
        <f t="shared" si="11"/>
        <v>395312.81000000011</v>
      </c>
    </row>
    <row r="116" spans="1:103" customFormat="1">
      <c r="A116" s="15">
        <v>2064</v>
      </c>
      <c r="B116" s="18">
        <v>4299.8630000000003</v>
      </c>
      <c r="C116" s="18">
        <v>4316.0940000000001</v>
      </c>
      <c r="D116" s="18">
        <v>4324.6090000000004</v>
      </c>
      <c r="E116" s="18">
        <v>4326.5659999999998</v>
      </c>
      <c r="F116" s="18">
        <v>4317.7730000000001</v>
      </c>
      <c r="G116" s="18">
        <v>4310.6049999999996</v>
      </c>
      <c r="H116" s="18">
        <v>4300.692</v>
      </c>
      <c r="I116" s="18">
        <v>4289.1480000000001</v>
      </c>
      <c r="J116" s="18">
        <v>4277.0929999999998</v>
      </c>
      <c r="K116" s="18">
        <v>4264.7759999999998</v>
      </c>
      <c r="L116" s="18">
        <v>4252.45</v>
      </c>
      <c r="M116" s="18">
        <v>4245.567</v>
      </c>
      <c r="N116" s="18">
        <v>4246.9809999999998</v>
      </c>
      <c r="O116" s="18">
        <v>4255.2089999999998</v>
      </c>
      <c r="P116" s="18">
        <v>4265.009</v>
      </c>
      <c r="Q116" s="18">
        <v>4276.3469999999998</v>
      </c>
      <c r="R116" s="18">
        <v>4296.1080000000002</v>
      </c>
      <c r="S116" s="18">
        <v>4326.8509999999997</v>
      </c>
      <c r="T116" s="18">
        <v>4365.3639999999996</v>
      </c>
      <c r="U116" s="18">
        <v>4405.2259999999997</v>
      </c>
      <c r="V116" s="18">
        <v>4446.9390000000003</v>
      </c>
      <c r="W116" s="18">
        <v>4489.5060000000003</v>
      </c>
      <c r="X116" s="18">
        <v>4531.5280000000002</v>
      </c>
      <c r="Y116" s="18">
        <v>4572.848</v>
      </c>
      <c r="Z116" s="18">
        <v>4614.607</v>
      </c>
      <c r="AA116" s="18">
        <v>4656.4530000000004</v>
      </c>
      <c r="AB116" s="18">
        <v>4694.7309999999998</v>
      </c>
      <c r="AC116" s="18">
        <v>4727.6880000000001</v>
      </c>
      <c r="AD116" s="18">
        <v>4756.3190000000004</v>
      </c>
      <c r="AE116" s="18">
        <v>4783.0540000000001</v>
      </c>
      <c r="AF116" s="18">
        <v>4807.0219999999999</v>
      </c>
      <c r="AG116" s="18">
        <v>4828.6540000000005</v>
      </c>
      <c r="AH116" s="18">
        <v>4848.2809999999999</v>
      </c>
      <c r="AI116" s="18">
        <v>4865.1459999999997</v>
      </c>
      <c r="AJ116" s="18">
        <v>4878.5209999999997</v>
      </c>
      <c r="AK116" s="18">
        <v>4888.9740000000002</v>
      </c>
      <c r="AL116" s="18">
        <v>4893.0259999999998</v>
      </c>
      <c r="AM116" s="18">
        <v>4889</v>
      </c>
      <c r="AN116" s="18">
        <v>4878.6049999999996</v>
      </c>
      <c r="AO116" s="18">
        <v>4866.9409999999998</v>
      </c>
      <c r="AP116" s="18">
        <v>4855.0519999999997</v>
      </c>
      <c r="AQ116" s="18">
        <v>4835.7849999999999</v>
      </c>
      <c r="AR116" s="18">
        <v>4806.7619999999997</v>
      </c>
      <c r="AS116" s="18">
        <v>4772.4369999999999</v>
      </c>
      <c r="AT116" s="18">
        <v>4739.1509999999998</v>
      </c>
      <c r="AU116" s="18">
        <v>4705.0450000000001</v>
      </c>
      <c r="AV116" s="18">
        <v>4681.5379999999996</v>
      </c>
      <c r="AW116" s="18">
        <v>4674.7740000000003</v>
      </c>
      <c r="AX116" s="18">
        <v>4679.8389999999999</v>
      </c>
      <c r="AY116" s="18">
        <v>4682.7089999999998</v>
      </c>
      <c r="AZ116" s="18">
        <v>4682.6400000000003</v>
      </c>
      <c r="BA116" s="18">
        <v>4693.6859999999997</v>
      </c>
      <c r="BB116" s="18">
        <v>4720.2910000000002</v>
      </c>
      <c r="BC116" s="18">
        <v>4754.5619999999999</v>
      </c>
      <c r="BD116" s="18">
        <v>4786.8850000000002</v>
      </c>
      <c r="BE116" s="18">
        <v>4822.45</v>
      </c>
      <c r="BF116" s="18">
        <v>4832.3670000000002</v>
      </c>
      <c r="BG116" s="18">
        <v>4802.3159999999998</v>
      </c>
      <c r="BH116" s="18">
        <v>4746.3789999999999</v>
      </c>
      <c r="BI116" s="18">
        <v>4692.9530000000004</v>
      </c>
      <c r="BJ116" s="18">
        <v>4636.3580000000002</v>
      </c>
      <c r="BK116" s="18">
        <v>4587.2489999999998</v>
      </c>
      <c r="BL116" s="18">
        <v>4553.7960000000003</v>
      </c>
      <c r="BM116" s="18">
        <v>4530.549</v>
      </c>
      <c r="BN116" s="18">
        <v>4499.9279999999999</v>
      </c>
      <c r="BO116" s="18">
        <v>4460.6880000000001</v>
      </c>
      <c r="BP116" s="18">
        <v>4435.3720000000003</v>
      </c>
      <c r="BQ116" s="18">
        <v>4431.9070000000002</v>
      </c>
      <c r="BR116" s="18">
        <v>4438.3990000000003</v>
      </c>
      <c r="BS116" s="18">
        <v>4437.2020000000002</v>
      </c>
      <c r="BT116" s="18">
        <v>4434.4549999999999</v>
      </c>
      <c r="BU116" s="18">
        <v>4399.4489999999996</v>
      </c>
      <c r="BV116" s="18">
        <v>4315.9380000000001</v>
      </c>
      <c r="BW116" s="18">
        <v>4198.375</v>
      </c>
      <c r="BX116" s="18">
        <v>4078.1419999999998</v>
      </c>
      <c r="BY116" s="18">
        <v>3949.7629999999999</v>
      </c>
      <c r="BZ116" s="18">
        <v>3816.8049999999998</v>
      </c>
      <c r="CA116" s="18">
        <v>3684.453</v>
      </c>
      <c r="CB116" s="18">
        <v>3550.3679999999999</v>
      </c>
      <c r="CC116" s="18">
        <v>3407.7829999999999</v>
      </c>
      <c r="CD116" s="18">
        <v>3258.971</v>
      </c>
      <c r="CE116" s="18">
        <v>3105.6210000000001</v>
      </c>
      <c r="CF116" s="18">
        <v>2948.2080000000001</v>
      </c>
      <c r="CG116" s="18">
        <v>2787.6930000000002</v>
      </c>
      <c r="CH116" s="18">
        <v>2624.79</v>
      </c>
      <c r="CI116" s="18">
        <v>2459.63</v>
      </c>
      <c r="CJ116" s="18">
        <v>2295.5770000000002</v>
      </c>
      <c r="CK116" s="18">
        <v>2134.473</v>
      </c>
      <c r="CL116" s="18">
        <v>1975.4690000000001</v>
      </c>
      <c r="CM116" s="18">
        <v>1809.0340000000001</v>
      </c>
      <c r="CN116" s="18">
        <v>1679.8140000000001</v>
      </c>
      <c r="CO116" s="18">
        <v>1537.721</v>
      </c>
      <c r="CP116" s="18">
        <v>1352.4190000000001</v>
      </c>
      <c r="CQ116" s="18">
        <v>1124.645</v>
      </c>
      <c r="CR116" s="18">
        <v>960.476</v>
      </c>
      <c r="CS116" s="18">
        <v>876.66300000000001</v>
      </c>
      <c r="CT116" s="18">
        <v>768.51</v>
      </c>
      <c r="CU116" s="18">
        <v>628.73199999999997</v>
      </c>
      <c r="CV116" s="18">
        <v>457.33100000000002</v>
      </c>
      <c r="CW116" s="18">
        <v>333.483</v>
      </c>
      <c r="CX116" s="18">
        <v>780.87400000000002</v>
      </c>
      <c r="CY116" s="3">
        <f t="shared" si="11"/>
        <v>396594.90800000011</v>
      </c>
    </row>
    <row r="117" spans="1:103" customFormat="1">
      <c r="A117" s="15">
        <v>2065</v>
      </c>
      <c r="B117" s="18">
        <v>4299.8559999999998</v>
      </c>
      <c r="C117" s="18">
        <v>4318.4650000000001</v>
      </c>
      <c r="D117" s="18">
        <v>4329.0609999999997</v>
      </c>
      <c r="E117" s="18">
        <v>4332.8029999999999</v>
      </c>
      <c r="F117" s="18">
        <v>4330.8559999999998</v>
      </c>
      <c r="G117" s="18">
        <v>4324.3760000000002</v>
      </c>
      <c r="H117" s="18">
        <v>4314.5259999999998</v>
      </c>
      <c r="I117" s="18">
        <v>4302.4679999999998</v>
      </c>
      <c r="J117" s="18">
        <v>4289.3599999999997</v>
      </c>
      <c r="K117" s="18">
        <v>4276.3670000000002</v>
      </c>
      <c r="L117" s="18">
        <v>4263.5619999999999</v>
      </c>
      <c r="M117" s="18">
        <v>4251.0259999999998</v>
      </c>
      <c r="N117" s="18">
        <v>4245.335</v>
      </c>
      <c r="O117" s="18">
        <v>4249.8159999999998</v>
      </c>
      <c r="P117" s="18">
        <v>4262.3810000000003</v>
      </c>
      <c r="Q117" s="18">
        <v>4276.5510000000004</v>
      </c>
      <c r="R117" s="18">
        <v>4292.3440000000001</v>
      </c>
      <c r="S117" s="18">
        <v>4316.6260000000002</v>
      </c>
      <c r="T117" s="18">
        <v>4351.7539999999999</v>
      </c>
      <c r="U117" s="18">
        <v>4394.3850000000002</v>
      </c>
      <c r="V117" s="18">
        <v>4438.277</v>
      </c>
      <c r="W117" s="18">
        <v>4484.03</v>
      </c>
      <c r="X117" s="18">
        <v>4529.1030000000001</v>
      </c>
      <c r="Y117" s="18">
        <v>4571.384</v>
      </c>
      <c r="Z117" s="18">
        <v>4611.3829999999998</v>
      </c>
      <c r="AA117" s="18">
        <v>4651.6890000000003</v>
      </c>
      <c r="AB117" s="18">
        <v>4691.7489999999998</v>
      </c>
      <c r="AC117" s="18">
        <v>4727.9539999999997</v>
      </c>
      <c r="AD117" s="18">
        <v>4758.7460000000001</v>
      </c>
      <c r="AE117" s="18">
        <v>4785.1130000000003</v>
      </c>
      <c r="AF117" s="18">
        <v>4809.29</v>
      </c>
      <c r="AG117" s="18">
        <v>4830.4520000000002</v>
      </c>
      <c r="AH117" s="18">
        <v>4849.4780000000001</v>
      </c>
      <c r="AI117" s="18">
        <v>4866.9070000000002</v>
      </c>
      <c r="AJ117" s="18">
        <v>4881.8559999999998</v>
      </c>
      <c r="AK117" s="18">
        <v>4893.2520000000004</v>
      </c>
      <c r="AL117" s="18">
        <v>4901.723</v>
      </c>
      <c r="AM117" s="18">
        <v>4903.9539999999997</v>
      </c>
      <c r="AN117" s="18">
        <v>4898.3180000000002</v>
      </c>
      <c r="AO117" s="18">
        <v>4886.4719999999998</v>
      </c>
      <c r="AP117" s="18">
        <v>4873.4059999999999</v>
      </c>
      <c r="AQ117" s="18">
        <v>4860.1670000000004</v>
      </c>
      <c r="AR117" s="18">
        <v>4839.6329999999998</v>
      </c>
      <c r="AS117" s="18">
        <v>4809.4229999999998</v>
      </c>
      <c r="AT117" s="18">
        <v>4773.9650000000001</v>
      </c>
      <c r="AU117" s="18">
        <v>4739.5709999999999</v>
      </c>
      <c r="AV117" s="18">
        <v>4704.3770000000004</v>
      </c>
      <c r="AW117" s="18">
        <v>4679.7529999999997</v>
      </c>
      <c r="AX117" s="18">
        <v>4671.8149999999996</v>
      </c>
      <c r="AY117" s="18">
        <v>4675.6509999999998</v>
      </c>
      <c r="AZ117" s="18">
        <v>4677.2950000000001</v>
      </c>
      <c r="BA117" s="18">
        <v>4676.0079999999998</v>
      </c>
      <c r="BB117" s="18">
        <v>4685.7089999999998</v>
      </c>
      <c r="BC117" s="18">
        <v>4710.7809999999999</v>
      </c>
      <c r="BD117" s="18">
        <v>4743.3980000000001</v>
      </c>
      <c r="BE117" s="18">
        <v>4774.058</v>
      </c>
      <c r="BF117" s="18">
        <v>4807.9110000000001</v>
      </c>
      <c r="BG117" s="18">
        <v>4816.2020000000002</v>
      </c>
      <c r="BH117" s="18">
        <v>4784.6869999999999</v>
      </c>
      <c r="BI117" s="18">
        <v>4727.3770000000004</v>
      </c>
      <c r="BJ117" s="18">
        <v>4672.4989999999998</v>
      </c>
      <c r="BK117" s="18">
        <v>4614.3729999999996</v>
      </c>
      <c r="BL117" s="18">
        <v>4563.7460000000001</v>
      </c>
      <c r="BM117" s="18">
        <v>4528.8029999999999</v>
      </c>
      <c r="BN117" s="18">
        <v>4504.0389999999998</v>
      </c>
      <c r="BO117" s="18">
        <v>4471.8109999999997</v>
      </c>
      <c r="BP117" s="18">
        <v>4430.8999999999996</v>
      </c>
      <c r="BQ117" s="18">
        <v>4403.6490000000003</v>
      </c>
      <c r="BR117" s="18">
        <v>4397.884</v>
      </c>
      <c r="BS117" s="18">
        <v>4401.7960000000003</v>
      </c>
      <c r="BT117" s="18">
        <v>4397.8909999999996</v>
      </c>
      <c r="BU117" s="18">
        <v>4392.2370000000001</v>
      </c>
      <c r="BV117" s="18">
        <v>4354.3220000000001</v>
      </c>
      <c r="BW117" s="18">
        <v>4268.0020000000004</v>
      </c>
      <c r="BX117" s="18">
        <v>4147.6059999999998</v>
      </c>
      <c r="BY117" s="18">
        <v>4024.29</v>
      </c>
      <c r="BZ117" s="18">
        <v>3892.6320000000001</v>
      </c>
      <c r="CA117" s="18">
        <v>3756.0169999999998</v>
      </c>
      <c r="CB117" s="18">
        <v>3619.5239999999999</v>
      </c>
      <c r="CC117" s="18">
        <v>3480.89</v>
      </c>
      <c r="CD117" s="18">
        <v>3333.5990000000002</v>
      </c>
      <c r="CE117" s="18">
        <v>3179.9479999999999</v>
      </c>
      <c r="CF117" s="18">
        <v>3021.2959999999998</v>
      </c>
      <c r="CG117" s="18">
        <v>2857.998</v>
      </c>
      <c r="CH117" s="18">
        <v>2691.2</v>
      </c>
      <c r="CI117" s="18">
        <v>2522.1379999999999</v>
      </c>
      <c r="CJ117" s="18">
        <v>2351.1120000000001</v>
      </c>
      <c r="CK117" s="18">
        <v>2180.6709999999998</v>
      </c>
      <c r="CL117" s="18">
        <v>2012.3989999999999</v>
      </c>
      <c r="CM117" s="18">
        <v>1845.9970000000001</v>
      </c>
      <c r="CN117" s="18">
        <v>1670.846</v>
      </c>
      <c r="CO117" s="18">
        <v>1542.2270000000001</v>
      </c>
      <c r="CP117" s="18">
        <v>1399.26</v>
      </c>
      <c r="CQ117" s="18">
        <v>1204.9459999999999</v>
      </c>
      <c r="CR117" s="18">
        <v>959.28399999999999</v>
      </c>
      <c r="CS117" s="18">
        <v>795.01099999999997</v>
      </c>
      <c r="CT117" s="18">
        <v>719.84100000000001</v>
      </c>
      <c r="CU117" s="18">
        <v>618.33699999999999</v>
      </c>
      <c r="CV117" s="18">
        <v>490.49900000000002</v>
      </c>
      <c r="CW117" s="18">
        <v>336.32600000000002</v>
      </c>
      <c r="CX117" s="18">
        <v>796.01300000000003</v>
      </c>
      <c r="CY117" s="3">
        <f t="shared" si="11"/>
        <v>397876.09399999981</v>
      </c>
    </row>
    <row r="118" spans="1:103" customFormat="1">
      <c r="A118" s="15">
        <v>2066</v>
      </c>
      <c r="B118" s="18">
        <v>4305.6170000000002</v>
      </c>
      <c r="C118" s="18">
        <v>4314.3</v>
      </c>
      <c r="D118" s="18">
        <v>4328.5469999999996</v>
      </c>
      <c r="E118" s="18">
        <v>4335.9430000000002</v>
      </c>
      <c r="F118" s="18">
        <v>4337.5870000000004</v>
      </c>
      <c r="G118" s="18">
        <v>4334.58</v>
      </c>
      <c r="H118" s="18">
        <v>4327.9110000000001</v>
      </c>
      <c r="I118" s="18">
        <v>4318.5680000000002</v>
      </c>
      <c r="J118" s="18">
        <v>4308.2120000000004</v>
      </c>
      <c r="K118" s="18">
        <v>4298.1679999999997</v>
      </c>
      <c r="L118" s="18">
        <v>4289.2</v>
      </c>
      <c r="M118" s="18">
        <v>4280.665</v>
      </c>
      <c r="N118" s="18">
        <v>4272.5910000000003</v>
      </c>
      <c r="O118" s="18">
        <v>4271.4390000000003</v>
      </c>
      <c r="P118" s="18">
        <v>4280.3410000000003</v>
      </c>
      <c r="Q118" s="18">
        <v>4297.0720000000001</v>
      </c>
      <c r="R118" s="18">
        <v>4315.3190000000004</v>
      </c>
      <c r="S118" s="18">
        <v>4335.2070000000003</v>
      </c>
      <c r="T118" s="18">
        <v>4362.0550000000003</v>
      </c>
      <c r="U118" s="18">
        <v>4397.5110000000004</v>
      </c>
      <c r="V118" s="18">
        <v>4438.8959999999997</v>
      </c>
      <c r="W118" s="18">
        <v>4481.41</v>
      </c>
      <c r="X118" s="18">
        <v>4525.4560000000001</v>
      </c>
      <c r="Y118" s="18">
        <v>4568.5259999999998</v>
      </c>
      <c r="Z118" s="18">
        <v>4608.7049999999999</v>
      </c>
      <c r="AA118" s="18">
        <v>4646.4939999999997</v>
      </c>
      <c r="AB118" s="18">
        <v>4684.2929999999997</v>
      </c>
      <c r="AC118" s="18">
        <v>4721.5950000000003</v>
      </c>
      <c r="AD118" s="18">
        <v>4755.2380000000003</v>
      </c>
      <c r="AE118" s="18">
        <v>4783.87</v>
      </c>
      <c r="AF118" s="18">
        <v>4808.3530000000001</v>
      </c>
      <c r="AG118" s="18">
        <v>4830.58</v>
      </c>
      <c r="AH118" s="18">
        <v>4849.7830000000004</v>
      </c>
      <c r="AI118" s="18">
        <v>4867.0020000000004</v>
      </c>
      <c r="AJ118" s="18">
        <v>4882.8159999999998</v>
      </c>
      <c r="AK118" s="18">
        <v>4896.3010000000004</v>
      </c>
      <c r="AL118" s="18">
        <v>4906.2820000000002</v>
      </c>
      <c r="AM118" s="18">
        <v>4913.3940000000002</v>
      </c>
      <c r="AN118" s="18">
        <v>4914.3329999999996</v>
      </c>
      <c r="AO118" s="18">
        <v>4907.4639999999999</v>
      </c>
      <c r="AP118" s="18">
        <v>4894.4309999999996</v>
      </c>
      <c r="AQ118" s="18">
        <v>4880.21</v>
      </c>
      <c r="AR118" s="18">
        <v>4865.8419999999996</v>
      </c>
      <c r="AS118" s="18">
        <v>4844.1819999999998</v>
      </c>
      <c r="AT118" s="18">
        <v>4812.8360000000002</v>
      </c>
      <c r="AU118" s="18">
        <v>4776.2290000000003</v>
      </c>
      <c r="AV118" s="18">
        <v>4740.6790000000001</v>
      </c>
      <c r="AW118" s="18">
        <v>4704.3230000000003</v>
      </c>
      <c r="AX118" s="18">
        <v>4678.4679999999998</v>
      </c>
      <c r="AY118" s="18">
        <v>4669.201</v>
      </c>
      <c r="AZ118" s="18">
        <v>4671.6310000000003</v>
      </c>
      <c r="BA118" s="18">
        <v>4671.8540000000003</v>
      </c>
      <c r="BB118" s="18">
        <v>4669.1319999999996</v>
      </c>
      <c r="BC118" s="18">
        <v>4677.3249999999998</v>
      </c>
      <c r="BD118" s="18">
        <v>4700.8040000000001</v>
      </c>
      <c r="BE118" s="18">
        <v>4731.768</v>
      </c>
      <c r="BF118" s="18">
        <v>4760.732</v>
      </c>
      <c r="BG118" s="18">
        <v>4792.808</v>
      </c>
      <c r="BH118" s="18">
        <v>4799.4409999999998</v>
      </c>
      <c r="BI118" s="18">
        <v>4766.4780000000001</v>
      </c>
      <c r="BJ118" s="18">
        <v>4707.8180000000002</v>
      </c>
      <c r="BK118" s="18">
        <v>4651.4480000000003</v>
      </c>
      <c r="BL118" s="18">
        <v>4591.6819999999998</v>
      </c>
      <c r="BM118" s="18">
        <v>4539.3440000000001</v>
      </c>
      <c r="BN118" s="18">
        <v>4502.6139999999996</v>
      </c>
      <c r="BO118" s="18">
        <v>4475.9189999999999</v>
      </c>
      <c r="BP118" s="18">
        <v>4441.5640000000003</v>
      </c>
      <c r="BQ118" s="18">
        <v>4398.3590000000004</v>
      </c>
      <c r="BR118" s="18">
        <v>4368.3289999999997</v>
      </c>
      <c r="BS118" s="18">
        <v>4359.1379999999999</v>
      </c>
      <c r="BT118" s="18">
        <v>4359.1099999999997</v>
      </c>
      <c r="BU118" s="18">
        <v>4351.0429999999997</v>
      </c>
      <c r="BV118" s="18">
        <v>4340.9489999999996</v>
      </c>
      <c r="BW118" s="18">
        <v>4298.3339999999998</v>
      </c>
      <c r="BX118" s="18">
        <v>4207.0879999999997</v>
      </c>
      <c r="BY118" s="18">
        <v>4081.5239999999999</v>
      </c>
      <c r="BZ118" s="18">
        <v>3952.84</v>
      </c>
      <c r="CA118" s="18">
        <v>3815.7269999999999</v>
      </c>
      <c r="CB118" s="18">
        <v>3673.0889999999999</v>
      </c>
      <c r="CC118" s="18">
        <v>3529.81</v>
      </c>
      <c r="CD118" s="18">
        <v>3383.9250000000002</v>
      </c>
      <c r="CE118" s="18">
        <v>3229.5880000000002</v>
      </c>
      <c r="CF118" s="18">
        <v>3069.1660000000002</v>
      </c>
      <c r="CG118" s="18">
        <v>2903.6860000000001</v>
      </c>
      <c r="CH118" s="18">
        <v>2733.4769999999999</v>
      </c>
      <c r="CI118" s="18">
        <v>2559.9850000000001</v>
      </c>
      <c r="CJ118" s="18">
        <v>2382.2370000000001</v>
      </c>
      <c r="CK118" s="18">
        <v>2212.3739999999998</v>
      </c>
      <c r="CL118" s="18">
        <v>2043.6569999999999</v>
      </c>
      <c r="CM118" s="18">
        <v>1866.35</v>
      </c>
      <c r="CN118" s="18">
        <v>1680.21</v>
      </c>
      <c r="CO118" s="18">
        <v>1504.92</v>
      </c>
      <c r="CP118" s="18">
        <v>1385.5519999999999</v>
      </c>
      <c r="CQ118" s="18">
        <v>1249.5409999999999</v>
      </c>
      <c r="CR118" s="18">
        <v>1067.271</v>
      </c>
      <c r="CS118" s="18">
        <v>838.74099999999999</v>
      </c>
      <c r="CT118" s="18">
        <v>723.923</v>
      </c>
      <c r="CU118" s="18">
        <v>621.63800000000003</v>
      </c>
      <c r="CV118" s="18">
        <v>493.56400000000002</v>
      </c>
      <c r="CW118" s="18">
        <v>339.702</v>
      </c>
      <c r="CX118" s="18">
        <v>809.49</v>
      </c>
      <c r="CY118" s="3">
        <f t="shared" si="11"/>
        <v>399154.72399999999</v>
      </c>
    </row>
    <row r="119" spans="1:103" customFormat="1">
      <c r="A119" s="15">
        <v>2067</v>
      </c>
      <c r="B119" s="18">
        <v>4310.3209999999999</v>
      </c>
      <c r="C119" s="18">
        <v>4331.0219999999999</v>
      </c>
      <c r="D119" s="18">
        <v>4327.6620000000003</v>
      </c>
      <c r="E119" s="18">
        <v>4337.5420000000004</v>
      </c>
      <c r="F119" s="18">
        <v>4341.7330000000002</v>
      </c>
      <c r="G119" s="18">
        <v>4341.2759999999998</v>
      </c>
      <c r="H119" s="18">
        <v>4337.21</v>
      </c>
      <c r="I119" s="18">
        <v>4330.3530000000001</v>
      </c>
      <c r="J119" s="18">
        <v>4321.518</v>
      </c>
      <c r="K119" s="18">
        <v>4312.8689999999997</v>
      </c>
      <c r="L119" s="18">
        <v>4305.893</v>
      </c>
      <c r="M119" s="18">
        <v>4300.9570000000003</v>
      </c>
      <c r="N119" s="18">
        <v>4296.6980000000003</v>
      </c>
      <c r="O119" s="18">
        <v>4293.0929999999998</v>
      </c>
      <c r="P119" s="18">
        <v>4296.4849999999997</v>
      </c>
      <c r="Q119" s="18">
        <v>4309.8109999999997</v>
      </c>
      <c r="R119" s="18">
        <v>4330.7049999999999</v>
      </c>
      <c r="S119" s="18">
        <v>4353.0309999999999</v>
      </c>
      <c r="T119" s="18">
        <v>4377.0110000000004</v>
      </c>
      <c r="U119" s="18">
        <v>4406.4210000000003</v>
      </c>
      <c r="V119" s="18">
        <v>4442.1980000000003</v>
      </c>
      <c r="W119" s="18">
        <v>4482.3230000000003</v>
      </c>
      <c r="X119" s="18">
        <v>4523.4480000000003</v>
      </c>
      <c r="Y119" s="18">
        <v>4565.7730000000001</v>
      </c>
      <c r="Z119" s="18">
        <v>4606.83</v>
      </c>
      <c r="AA119" s="18">
        <v>4644.8919999999998</v>
      </c>
      <c r="AB119" s="18">
        <v>4680.4589999999998</v>
      </c>
      <c r="AC119" s="18">
        <v>4715.7389999999996</v>
      </c>
      <c r="AD119" s="18">
        <v>4750.2719999999999</v>
      </c>
      <c r="AE119" s="18">
        <v>4781.3419999999996</v>
      </c>
      <c r="AF119" s="18">
        <v>4807.8040000000001</v>
      </c>
      <c r="AG119" s="18">
        <v>4830.3969999999999</v>
      </c>
      <c r="AH119" s="18">
        <v>4850.6660000000002</v>
      </c>
      <c r="AI119" s="18">
        <v>4867.9009999999998</v>
      </c>
      <c r="AJ119" s="18">
        <v>4883.3059999999996</v>
      </c>
      <c r="AK119" s="18">
        <v>4897.5020000000004</v>
      </c>
      <c r="AL119" s="18">
        <v>4909.5169999999998</v>
      </c>
      <c r="AM119" s="18">
        <v>4918.0789999999997</v>
      </c>
      <c r="AN119" s="18">
        <v>4923.8280000000004</v>
      </c>
      <c r="AO119" s="18">
        <v>4923.4740000000002</v>
      </c>
      <c r="AP119" s="18">
        <v>4915.3729999999996</v>
      </c>
      <c r="AQ119" s="18">
        <v>4901.1559999999999</v>
      </c>
      <c r="AR119" s="18">
        <v>4885.7830000000004</v>
      </c>
      <c r="AS119" s="18">
        <v>4870.2860000000001</v>
      </c>
      <c r="AT119" s="18">
        <v>4847.5060000000003</v>
      </c>
      <c r="AU119" s="18">
        <v>4815.0320000000002</v>
      </c>
      <c r="AV119" s="18">
        <v>4777.2820000000002</v>
      </c>
      <c r="AW119" s="18">
        <v>4740.5839999999998</v>
      </c>
      <c r="AX119" s="18">
        <v>4703.0739999999996</v>
      </c>
      <c r="AY119" s="18">
        <v>4675.9949999999999</v>
      </c>
      <c r="AZ119" s="18">
        <v>4665.3980000000001</v>
      </c>
      <c r="BA119" s="18">
        <v>4666.4210000000003</v>
      </c>
      <c r="BB119" s="18">
        <v>4665.2209999999995</v>
      </c>
      <c r="BC119" s="18">
        <v>4661.0619999999999</v>
      </c>
      <c r="BD119" s="18">
        <v>4667.7460000000001</v>
      </c>
      <c r="BE119" s="18">
        <v>4689.6239999999998</v>
      </c>
      <c r="BF119" s="18">
        <v>4718.9260000000004</v>
      </c>
      <c r="BG119" s="18">
        <v>4746.1859999999997</v>
      </c>
      <c r="BH119" s="18">
        <v>4776.473</v>
      </c>
      <c r="BI119" s="18">
        <v>4781.4440000000004</v>
      </c>
      <c r="BJ119" s="18">
        <v>4747.0389999999998</v>
      </c>
      <c r="BK119" s="18">
        <v>4687.0450000000001</v>
      </c>
      <c r="BL119" s="18">
        <v>4629.1940000000004</v>
      </c>
      <c r="BM119" s="18">
        <v>4567.8029999999999</v>
      </c>
      <c r="BN119" s="18">
        <v>4513.7650000000003</v>
      </c>
      <c r="BO119" s="18">
        <v>4475.2560000000003</v>
      </c>
      <c r="BP119" s="18">
        <v>4446.634</v>
      </c>
      <c r="BQ119" s="18">
        <v>4410.1589999999997</v>
      </c>
      <c r="BR119" s="18">
        <v>4364.6689999999999</v>
      </c>
      <c r="BS119" s="18">
        <v>4331.8630000000003</v>
      </c>
      <c r="BT119" s="18">
        <v>4319.2460000000001</v>
      </c>
      <c r="BU119" s="18">
        <v>4315.2749999999996</v>
      </c>
      <c r="BV119" s="18">
        <v>4303.0429999999997</v>
      </c>
      <c r="BW119" s="18">
        <v>4288.509</v>
      </c>
      <c r="BX119" s="18">
        <v>4241.2</v>
      </c>
      <c r="BY119" s="18">
        <v>4145.0460000000003</v>
      </c>
      <c r="BZ119" s="18">
        <v>4014.3389999999999</v>
      </c>
      <c r="CA119" s="18">
        <v>3880.3139999999999</v>
      </c>
      <c r="CB119" s="18">
        <v>3737.7759999999998</v>
      </c>
      <c r="CC119" s="18">
        <v>3589.145</v>
      </c>
      <c r="CD119" s="18">
        <v>3439.11</v>
      </c>
      <c r="CE119" s="18">
        <v>3286.0050000000001</v>
      </c>
      <c r="CF119" s="18">
        <v>3124.6550000000002</v>
      </c>
      <c r="CG119" s="18">
        <v>2957.4929999999999</v>
      </c>
      <c r="CH119" s="18">
        <v>2785.2220000000002</v>
      </c>
      <c r="CI119" s="18">
        <v>2608.1379999999999</v>
      </c>
      <c r="CJ119" s="18">
        <v>2427.989</v>
      </c>
      <c r="CK119" s="18">
        <v>2241.59</v>
      </c>
      <c r="CL119" s="18">
        <v>2072.9360000000001</v>
      </c>
      <c r="CM119" s="18">
        <v>1905.9880000000001</v>
      </c>
      <c r="CN119" s="18">
        <v>1719.68</v>
      </c>
      <c r="CO119" s="18">
        <v>1513.8320000000001</v>
      </c>
      <c r="CP119" s="18">
        <v>1338.4480000000001</v>
      </c>
      <c r="CQ119" s="18">
        <v>1228.3689999999999</v>
      </c>
      <c r="CR119" s="18">
        <v>1099.355</v>
      </c>
      <c r="CS119" s="18">
        <v>929.18799999999999</v>
      </c>
      <c r="CT119" s="18">
        <v>717.86599999999999</v>
      </c>
      <c r="CU119" s="18">
        <v>626.44600000000003</v>
      </c>
      <c r="CV119" s="18">
        <v>497.57100000000003</v>
      </c>
      <c r="CW119" s="18">
        <v>343.113</v>
      </c>
      <c r="CX119" s="18">
        <v>820.37599999999998</v>
      </c>
      <c r="CY119" s="3">
        <f t="shared" si="11"/>
        <v>400428.62300000008</v>
      </c>
    </row>
    <row r="120" spans="1:103" customFormat="1">
      <c r="A120" s="15">
        <v>2068</v>
      </c>
      <c r="B120" s="18">
        <v>4313.4560000000001</v>
      </c>
      <c r="C120" s="18">
        <v>4334.1909999999998</v>
      </c>
      <c r="D120" s="18">
        <v>4347.5870000000004</v>
      </c>
      <c r="E120" s="18">
        <v>4339.7179999999998</v>
      </c>
      <c r="F120" s="18">
        <v>4345.2240000000002</v>
      </c>
      <c r="G120" s="18">
        <v>4346.2079999999996</v>
      </c>
      <c r="H120" s="18">
        <v>4343.6490000000003</v>
      </c>
      <c r="I120" s="18">
        <v>4338.5249999999996</v>
      </c>
      <c r="J120" s="18">
        <v>4331.482</v>
      </c>
      <c r="K120" s="18">
        <v>4323.16</v>
      </c>
      <c r="L120" s="18">
        <v>4316.2209999999995</v>
      </c>
      <c r="M120" s="18">
        <v>4312.3159999999998</v>
      </c>
      <c r="N120" s="18">
        <v>4311.4160000000002</v>
      </c>
      <c r="O120" s="18">
        <v>4311.4340000000002</v>
      </c>
      <c r="P120" s="18">
        <v>4312.3010000000004</v>
      </c>
      <c r="Q120" s="18">
        <v>4320.2380000000003</v>
      </c>
      <c r="R120" s="18">
        <v>4337.9849999999997</v>
      </c>
      <c r="S120" s="18">
        <v>4363.0389999999998</v>
      </c>
      <c r="T120" s="18">
        <v>4389.4369999999999</v>
      </c>
      <c r="U120" s="18">
        <v>4417.5060000000003</v>
      </c>
      <c r="V120" s="18">
        <v>4449.4690000000001</v>
      </c>
      <c r="W120" s="18">
        <v>4485.5550000000003</v>
      </c>
      <c r="X120" s="18">
        <v>4524.41</v>
      </c>
      <c r="Y120" s="18">
        <v>4564.1319999999996</v>
      </c>
      <c r="Z120" s="18">
        <v>4604.7219999999998</v>
      </c>
      <c r="AA120" s="18">
        <v>4643.75</v>
      </c>
      <c r="AB120" s="18">
        <v>4679.6850000000004</v>
      </c>
      <c r="AC120" s="18">
        <v>4713.0190000000002</v>
      </c>
      <c r="AD120" s="18">
        <v>4745.768</v>
      </c>
      <c r="AE120" s="18">
        <v>4777.5190000000002</v>
      </c>
      <c r="AF120" s="18">
        <v>4806.0050000000001</v>
      </c>
      <c r="AG120" s="18">
        <v>4830.2889999999998</v>
      </c>
      <c r="AH120" s="18">
        <v>4850.9830000000002</v>
      </c>
      <c r="AI120" s="18">
        <v>4869.2870000000003</v>
      </c>
      <c r="AJ120" s="18">
        <v>4884.5510000000004</v>
      </c>
      <c r="AK120" s="18">
        <v>4898.1360000000004</v>
      </c>
      <c r="AL120" s="18">
        <v>4910.7079999999996</v>
      </c>
      <c r="AM120" s="18">
        <v>4921.2479999999996</v>
      </c>
      <c r="AN120" s="18">
        <v>4928.3890000000001</v>
      </c>
      <c r="AO120" s="18">
        <v>4932.7730000000001</v>
      </c>
      <c r="AP120" s="18">
        <v>4931.1260000000002</v>
      </c>
      <c r="AQ120" s="18">
        <v>4921.7939999999999</v>
      </c>
      <c r="AR120" s="18">
        <v>4906.3950000000004</v>
      </c>
      <c r="AS120" s="18">
        <v>4889.875</v>
      </c>
      <c r="AT120" s="18">
        <v>4873.2550000000001</v>
      </c>
      <c r="AU120" s="18">
        <v>4849.3609999999999</v>
      </c>
      <c r="AV120" s="18">
        <v>4815.768</v>
      </c>
      <c r="AW120" s="18">
        <v>4776.8860000000004</v>
      </c>
      <c r="AX120" s="18">
        <v>4739.05</v>
      </c>
      <c r="AY120" s="18">
        <v>4700.3980000000001</v>
      </c>
      <c r="AZ120" s="18">
        <v>4672.1000000000004</v>
      </c>
      <c r="BA120" s="18">
        <v>4660.1790000000001</v>
      </c>
      <c r="BB120" s="18">
        <v>4659.7929999999997</v>
      </c>
      <c r="BC120" s="18">
        <v>4657.17</v>
      </c>
      <c r="BD120" s="18">
        <v>4651.5749999999998</v>
      </c>
      <c r="BE120" s="18">
        <v>4656.7470000000003</v>
      </c>
      <c r="BF120" s="18">
        <v>4677.0159999999996</v>
      </c>
      <c r="BG120" s="18">
        <v>4704.6469999999999</v>
      </c>
      <c r="BH120" s="18">
        <v>4730.192</v>
      </c>
      <c r="BI120" s="18">
        <v>4758.6819999999998</v>
      </c>
      <c r="BJ120" s="18">
        <v>4761.9889999999996</v>
      </c>
      <c r="BK120" s="18">
        <v>4726.152</v>
      </c>
      <c r="BL120" s="18">
        <v>4664.8410000000003</v>
      </c>
      <c r="BM120" s="18">
        <v>4605.527</v>
      </c>
      <c r="BN120" s="18">
        <v>4542.527</v>
      </c>
      <c r="BO120" s="18">
        <v>4486.8059999999996</v>
      </c>
      <c r="BP120" s="18">
        <v>4446.527</v>
      </c>
      <c r="BQ120" s="18">
        <v>4415.9870000000001</v>
      </c>
      <c r="BR120" s="18">
        <v>4377.402</v>
      </c>
      <c r="BS120" s="18">
        <v>4329.6390000000001</v>
      </c>
      <c r="BT120" s="18">
        <v>4294.0659999999998</v>
      </c>
      <c r="BU120" s="18">
        <v>4278.027</v>
      </c>
      <c r="BV120" s="18">
        <v>4270.1109999999999</v>
      </c>
      <c r="BW120" s="18">
        <v>4253.7160000000003</v>
      </c>
      <c r="BX120" s="18">
        <v>4234.7439999999997</v>
      </c>
      <c r="BY120" s="18">
        <v>4182.7520000000004</v>
      </c>
      <c r="BZ120" s="18">
        <v>4081.7190000000001</v>
      </c>
      <c r="CA120" s="18">
        <v>3945.9070000000002</v>
      </c>
      <c r="CB120" s="18">
        <v>3806.5790000000002</v>
      </c>
      <c r="CC120" s="18">
        <v>3658.6559999999999</v>
      </c>
      <c r="CD120" s="18">
        <v>3504.0770000000002</v>
      </c>
      <c r="CE120" s="18">
        <v>3347.326</v>
      </c>
      <c r="CF120" s="18">
        <v>3187.0450000000001</v>
      </c>
      <c r="CG120" s="18">
        <v>3018.7269999999999</v>
      </c>
      <c r="CH120" s="18">
        <v>2844.875</v>
      </c>
      <c r="CI120" s="18">
        <v>2665.86</v>
      </c>
      <c r="CJ120" s="18">
        <v>2481.9540000000002</v>
      </c>
      <c r="CK120" s="18">
        <v>2295.1990000000001</v>
      </c>
      <c r="CL120" s="18">
        <v>2100.2020000000002</v>
      </c>
      <c r="CM120" s="18">
        <v>1932.809</v>
      </c>
      <c r="CN120" s="18">
        <v>1767.681</v>
      </c>
      <c r="CO120" s="18">
        <v>1572.4259999999999</v>
      </c>
      <c r="CP120" s="18">
        <v>1346.923</v>
      </c>
      <c r="CQ120" s="18">
        <v>1171.498</v>
      </c>
      <c r="CR120" s="18">
        <v>1070.7449999999999</v>
      </c>
      <c r="CS120" s="18">
        <v>948.77099999999996</v>
      </c>
      <c r="CT120" s="18">
        <v>790.76400000000001</v>
      </c>
      <c r="CU120" s="18">
        <v>596.721</v>
      </c>
      <c r="CV120" s="18">
        <v>502.38299999999998</v>
      </c>
      <c r="CW120" s="18">
        <v>346.61500000000001</v>
      </c>
      <c r="CX120" s="18">
        <v>829.47699999999998</v>
      </c>
      <c r="CY120" s="3">
        <f t="shared" si="11"/>
        <v>401693.25200000004</v>
      </c>
    </row>
    <row r="121" spans="1:103" customFormat="1">
      <c r="A121" s="15">
        <v>2069</v>
      </c>
      <c r="B121" s="18">
        <v>4314.2969999999996</v>
      </c>
      <c r="C121" s="18">
        <v>4334.884</v>
      </c>
      <c r="D121" s="18">
        <v>4348.5969999999998</v>
      </c>
      <c r="E121" s="18">
        <v>4356.3540000000003</v>
      </c>
      <c r="F121" s="18">
        <v>4350.2160000000003</v>
      </c>
      <c r="G121" s="18">
        <v>4351.3469999999998</v>
      </c>
      <c r="H121" s="18">
        <v>4349.1220000000003</v>
      </c>
      <c r="I121" s="18">
        <v>4344.4620000000004</v>
      </c>
      <c r="J121" s="18">
        <v>4338.2839999999997</v>
      </c>
      <c r="K121" s="18">
        <v>4331.0559999999996</v>
      </c>
      <c r="L121" s="18">
        <v>4323.25</v>
      </c>
      <c r="M121" s="18">
        <v>4318.0240000000003</v>
      </c>
      <c r="N121" s="18">
        <v>4317.1909999999998</v>
      </c>
      <c r="O121" s="18">
        <v>4320.326</v>
      </c>
      <c r="P121" s="18">
        <v>4324.6210000000001</v>
      </c>
      <c r="Q121" s="18">
        <v>4329.9579999999996</v>
      </c>
      <c r="R121" s="18">
        <v>4342.4359999999997</v>
      </c>
      <c r="S121" s="18">
        <v>4364.5969999999998</v>
      </c>
      <c r="T121" s="18">
        <v>4393.8010000000004</v>
      </c>
      <c r="U121" s="18">
        <v>4424.2619999999997</v>
      </c>
      <c r="V121" s="18">
        <v>4456.4059999999999</v>
      </c>
      <c r="W121" s="18">
        <v>4490.9110000000001</v>
      </c>
      <c r="X121" s="18">
        <v>4527.2929999999997</v>
      </c>
      <c r="Y121" s="18">
        <v>4564.8620000000001</v>
      </c>
      <c r="Z121" s="18">
        <v>4603.1689999999999</v>
      </c>
      <c r="AA121" s="18">
        <v>4642.01</v>
      </c>
      <c r="AB121" s="18">
        <v>4678.9970000000003</v>
      </c>
      <c r="AC121" s="18">
        <v>4712.7910000000002</v>
      </c>
      <c r="AD121" s="18">
        <v>4743.8810000000003</v>
      </c>
      <c r="AE121" s="18">
        <v>4774.0870000000004</v>
      </c>
      <c r="AF121" s="18">
        <v>4803.0460000000003</v>
      </c>
      <c r="AG121" s="18">
        <v>4828.9380000000001</v>
      </c>
      <c r="AH121" s="18">
        <v>4851.0370000000003</v>
      </c>
      <c r="AI121" s="18">
        <v>4869.8230000000003</v>
      </c>
      <c r="AJ121" s="18">
        <v>4886.1580000000004</v>
      </c>
      <c r="AK121" s="18">
        <v>4899.4430000000002</v>
      </c>
      <c r="AL121" s="18">
        <v>4911.2049999999999</v>
      </c>
      <c r="AM121" s="18">
        <v>4922.1480000000001</v>
      </c>
      <c r="AN121" s="18">
        <v>4931.2120000000004</v>
      </c>
      <c r="AO121" s="18">
        <v>4936.9279999999999</v>
      </c>
      <c r="AP121" s="18">
        <v>4939.9459999999999</v>
      </c>
      <c r="AQ121" s="18">
        <v>4937.0060000000003</v>
      </c>
      <c r="AR121" s="18">
        <v>4926.4470000000001</v>
      </c>
      <c r="AS121" s="18">
        <v>4909.8729999999996</v>
      </c>
      <c r="AT121" s="18">
        <v>4892.2110000000002</v>
      </c>
      <c r="AU121" s="18">
        <v>4874.4750000000004</v>
      </c>
      <c r="AV121" s="18">
        <v>4849.4750000000004</v>
      </c>
      <c r="AW121" s="18">
        <v>4814.7749999999996</v>
      </c>
      <c r="AX121" s="18">
        <v>4774.7759999999998</v>
      </c>
      <c r="AY121" s="18">
        <v>4735.8159999999998</v>
      </c>
      <c r="AZ121" s="18">
        <v>4696.0339999999997</v>
      </c>
      <c r="BA121" s="18">
        <v>4666.53</v>
      </c>
      <c r="BB121" s="18">
        <v>4653.2879999999996</v>
      </c>
      <c r="BC121" s="18">
        <v>4651.4930000000004</v>
      </c>
      <c r="BD121" s="18">
        <v>4647.45</v>
      </c>
      <c r="BE121" s="18">
        <v>4640.4210000000003</v>
      </c>
      <c r="BF121" s="18">
        <v>4644.0780000000004</v>
      </c>
      <c r="BG121" s="18">
        <v>4662.732</v>
      </c>
      <c r="BH121" s="18">
        <v>4688.6809999999996</v>
      </c>
      <c r="BI121" s="18">
        <v>4712.5050000000001</v>
      </c>
      <c r="BJ121" s="18">
        <v>4739.1869999999999</v>
      </c>
      <c r="BK121" s="18">
        <v>4740.8289999999997</v>
      </c>
      <c r="BL121" s="18">
        <v>4703.5730000000003</v>
      </c>
      <c r="BM121" s="18">
        <v>4640.9669999999996</v>
      </c>
      <c r="BN121" s="18">
        <v>4580.2120000000004</v>
      </c>
      <c r="BO121" s="18">
        <v>4515.6270000000004</v>
      </c>
      <c r="BP121" s="18">
        <v>4458.241</v>
      </c>
      <c r="BQ121" s="18">
        <v>4416.21</v>
      </c>
      <c r="BR121" s="18">
        <v>4383.7610000000004</v>
      </c>
      <c r="BS121" s="18">
        <v>4343.08</v>
      </c>
      <c r="BT121" s="18">
        <v>4293.0630000000001</v>
      </c>
      <c r="BU121" s="18">
        <v>4254.7370000000001</v>
      </c>
      <c r="BV121" s="18">
        <v>4235.2790000000005</v>
      </c>
      <c r="BW121" s="18">
        <v>4223.424</v>
      </c>
      <c r="BX121" s="18">
        <v>4202.875</v>
      </c>
      <c r="BY121" s="18">
        <v>4179.4709999999995</v>
      </c>
      <c r="BZ121" s="18">
        <v>4122.8159999999998</v>
      </c>
      <c r="CA121" s="18">
        <v>4016.9409999999998</v>
      </c>
      <c r="CB121" s="18">
        <v>3876.0740000000001</v>
      </c>
      <c r="CC121" s="18">
        <v>3731.4929999999999</v>
      </c>
      <c r="CD121" s="18">
        <v>3578.2420000000002</v>
      </c>
      <c r="CE121" s="18">
        <v>3417.77</v>
      </c>
      <c r="CF121" s="18">
        <v>3254.3609999999999</v>
      </c>
      <c r="CG121" s="18">
        <v>3086.9630000000002</v>
      </c>
      <c r="CH121" s="18">
        <v>2911.739</v>
      </c>
      <c r="CI121" s="18">
        <v>2731.261</v>
      </c>
      <c r="CJ121" s="18">
        <v>2545.5700000000002</v>
      </c>
      <c r="CK121" s="18">
        <v>2354.9070000000002</v>
      </c>
      <c r="CL121" s="18">
        <v>2161.616</v>
      </c>
      <c r="CM121" s="18">
        <v>1958.0940000000001</v>
      </c>
      <c r="CN121" s="18">
        <v>1792.019</v>
      </c>
      <c r="CO121" s="18">
        <v>1628.77</v>
      </c>
      <c r="CP121" s="18">
        <v>1424.6410000000001</v>
      </c>
      <c r="CQ121" s="18">
        <v>1179.568</v>
      </c>
      <c r="CR121" s="18">
        <v>1004.167</v>
      </c>
      <c r="CS121" s="18">
        <v>912.774</v>
      </c>
      <c r="CT121" s="18">
        <v>797.88300000000004</v>
      </c>
      <c r="CU121" s="18">
        <v>652.08900000000006</v>
      </c>
      <c r="CV121" s="18">
        <v>475.39100000000002</v>
      </c>
      <c r="CW121" s="18">
        <v>350.22800000000001</v>
      </c>
      <c r="CX121" s="18">
        <v>837.91499999999996</v>
      </c>
      <c r="CY121" s="3">
        <f t="shared" si="11"/>
        <v>402943.26999999996</v>
      </c>
    </row>
    <row r="122" spans="1:103" customFormat="1">
      <c r="A122" s="15">
        <v>2070</v>
      </c>
      <c r="B122" s="18">
        <v>4312.28</v>
      </c>
      <c r="C122" s="18">
        <v>4332.8190000000004</v>
      </c>
      <c r="D122" s="18">
        <v>4346.8890000000001</v>
      </c>
      <c r="E122" s="18">
        <v>4355.3469999999998</v>
      </c>
      <c r="F122" s="18">
        <v>4359.049</v>
      </c>
      <c r="G122" s="18">
        <v>4358.8519999999999</v>
      </c>
      <c r="H122" s="18">
        <v>4355.6120000000001</v>
      </c>
      <c r="I122" s="18">
        <v>4350.1850000000004</v>
      </c>
      <c r="J122" s="18">
        <v>4343.4290000000001</v>
      </c>
      <c r="K122" s="18">
        <v>4336.1989999999996</v>
      </c>
      <c r="L122" s="18">
        <v>4328.7910000000002</v>
      </c>
      <c r="M122" s="18">
        <v>4321.5029999999997</v>
      </c>
      <c r="N122" s="18">
        <v>4317.9880000000003</v>
      </c>
      <c r="O122" s="18">
        <v>4320.2259999999997</v>
      </c>
      <c r="P122" s="18">
        <v>4327.3890000000001</v>
      </c>
      <c r="Q122" s="18">
        <v>4335.9560000000001</v>
      </c>
      <c r="R122" s="18">
        <v>4345.7560000000003</v>
      </c>
      <c r="S122" s="18">
        <v>4362.7650000000003</v>
      </c>
      <c r="T122" s="18">
        <v>4389.3249999999998</v>
      </c>
      <c r="U122" s="18">
        <v>4422.6620000000003</v>
      </c>
      <c r="V122" s="18">
        <v>4457.1670000000004</v>
      </c>
      <c r="W122" s="18">
        <v>4493.37</v>
      </c>
      <c r="X122" s="18">
        <v>4530.3990000000003</v>
      </c>
      <c r="Y122" s="18">
        <v>4567.0619999999999</v>
      </c>
      <c r="Z122" s="18">
        <v>4603.3320000000003</v>
      </c>
      <c r="AA122" s="18">
        <v>4640.2070000000003</v>
      </c>
      <c r="AB122" s="18">
        <v>4677.2849999999999</v>
      </c>
      <c r="AC122" s="18">
        <v>4712.2169999999996</v>
      </c>
      <c r="AD122" s="18">
        <v>4743.8590000000004</v>
      </c>
      <c r="AE122" s="18">
        <v>4772.6909999999998</v>
      </c>
      <c r="AF122" s="18">
        <v>4800.3459999999995</v>
      </c>
      <c r="AG122" s="18">
        <v>4826.5039999999999</v>
      </c>
      <c r="AH122" s="18">
        <v>4849.7939999999999</v>
      </c>
      <c r="AI122" s="18">
        <v>4869.6980000000003</v>
      </c>
      <c r="AJ122" s="18">
        <v>4886.5730000000003</v>
      </c>
      <c r="AK122" s="18">
        <v>4900.9319999999998</v>
      </c>
      <c r="AL122" s="18">
        <v>4912.2359999999999</v>
      </c>
      <c r="AM122" s="18">
        <v>4922.17</v>
      </c>
      <c r="AN122" s="18">
        <v>4931.482</v>
      </c>
      <c r="AO122" s="18">
        <v>4939.0659999999998</v>
      </c>
      <c r="AP122" s="18">
        <v>4943.357</v>
      </c>
      <c r="AQ122" s="18">
        <v>4945.01</v>
      </c>
      <c r="AR122" s="18">
        <v>4940.7790000000005</v>
      </c>
      <c r="AS122" s="18">
        <v>4928.9989999999998</v>
      </c>
      <c r="AT122" s="18">
        <v>4911.2579999999998</v>
      </c>
      <c r="AU122" s="18">
        <v>4892.4629999999997</v>
      </c>
      <c r="AV122" s="18">
        <v>4873.6189999999997</v>
      </c>
      <c r="AW122" s="18">
        <v>4847.5249999999996</v>
      </c>
      <c r="AX122" s="18">
        <v>4811.7349999999997</v>
      </c>
      <c r="AY122" s="18">
        <v>4770.6360000000004</v>
      </c>
      <c r="AZ122" s="18">
        <v>4730.57</v>
      </c>
      <c r="BA122" s="18">
        <v>4689.6779999999999</v>
      </c>
      <c r="BB122" s="18">
        <v>4658.9799999999996</v>
      </c>
      <c r="BC122" s="18">
        <v>4644.424</v>
      </c>
      <c r="BD122" s="18">
        <v>4641.223</v>
      </c>
      <c r="BE122" s="18">
        <v>4635.7610000000004</v>
      </c>
      <c r="BF122" s="18">
        <v>4627.3019999999997</v>
      </c>
      <c r="BG122" s="18">
        <v>4629.4459999999999</v>
      </c>
      <c r="BH122" s="18">
        <v>4646.4780000000001</v>
      </c>
      <c r="BI122" s="18">
        <v>4670.7380000000003</v>
      </c>
      <c r="BJ122" s="18">
        <v>4692.8289999999997</v>
      </c>
      <c r="BK122" s="18">
        <v>4717.6930000000002</v>
      </c>
      <c r="BL122" s="18">
        <v>4717.6719999999996</v>
      </c>
      <c r="BM122" s="18">
        <v>4679.0159999999996</v>
      </c>
      <c r="BN122" s="18">
        <v>4615.1419999999998</v>
      </c>
      <c r="BO122" s="18">
        <v>4552.973</v>
      </c>
      <c r="BP122" s="18">
        <v>4486.83</v>
      </c>
      <c r="BQ122" s="18">
        <v>4427.8069999999998</v>
      </c>
      <c r="BR122" s="18">
        <v>4384.0410000000002</v>
      </c>
      <c r="BS122" s="18">
        <v>4349.701</v>
      </c>
      <c r="BT122" s="18">
        <v>4306.9449999999997</v>
      </c>
      <c r="BU122" s="18">
        <v>4254.6949999999997</v>
      </c>
      <c r="BV122" s="18">
        <v>4213.6350000000002</v>
      </c>
      <c r="BW122" s="18">
        <v>4190.7719999999999</v>
      </c>
      <c r="BX122" s="18">
        <v>4174.9849999999997</v>
      </c>
      <c r="BY122" s="18">
        <v>4150.2929999999997</v>
      </c>
      <c r="BZ122" s="18">
        <v>4122.4740000000002</v>
      </c>
      <c r="CA122" s="18">
        <v>4061.1840000000002</v>
      </c>
      <c r="CB122" s="18">
        <v>3950.5160000000001</v>
      </c>
      <c r="CC122" s="18">
        <v>3804.6590000000001</v>
      </c>
      <c r="CD122" s="18">
        <v>3654.8939999999998</v>
      </c>
      <c r="CE122" s="18">
        <v>3496.384</v>
      </c>
      <c r="CF122" s="18">
        <v>3330.0929999999998</v>
      </c>
      <c r="CG122" s="18">
        <v>3160.1030000000001</v>
      </c>
      <c r="CH122" s="18">
        <v>2985.6660000000002</v>
      </c>
      <c r="CI122" s="18">
        <v>2803.6179999999999</v>
      </c>
      <c r="CJ122" s="18">
        <v>2616.596</v>
      </c>
      <c r="CK122" s="18">
        <v>2424.3139999999999</v>
      </c>
      <c r="CL122" s="18">
        <v>2226.9839999999999</v>
      </c>
      <c r="CM122" s="18">
        <v>2027.2460000000001</v>
      </c>
      <c r="CN122" s="18">
        <v>1815.2940000000001</v>
      </c>
      <c r="CO122" s="18">
        <v>1650.6079999999999</v>
      </c>
      <c r="CP122" s="18">
        <v>1489.307</v>
      </c>
      <c r="CQ122" s="18">
        <v>1276.3969999999999</v>
      </c>
      <c r="CR122" s="18">
        <v>1011.881</v>
      </c>
      <c r="CS122" s="18">
        <v>836.57799999999997</v>
      </c>
      <c r="CT122" s="18">
        <v>754.57500000000005</v>
      </c>
      <c r="CU122" s="18">
        <v>646.80700000000002</v>
      </c>
      <c r="CV122" s="18">
        <v>513.27700000000004</v>
      </c>
      <c r="CW122" s="18">
        <v>353.98099999999999</v>
      </c>
      <c r="CX122" s="18">
        <v>846.54600000000005</v>
      </c>
      <c r="CY122" s="3">
        <f t="shared" si="11"/>
        <v>404174.40400000004</v>
      </c>
    </row>
    <row r="123" spans="1:103" customFormat="1">
      <c r="A123" s="15">
        <v>2071</v>
      </c>
      <c r="B123" s="18">
        <v>4315.0889999999999</v>
      </c>
      <c r="C123" s="18">
        <v>4326.2489999999998</v>
      </c>
      <c r="D123" s="18">
        <v>4342.9449999999997</v>
      </c>
      <c r="E123" s="18">
        <v>4354.1400000000003</v>
      </c>
      <c r="F123" s="18">
        <v>4360.6610000000001</v>
      </c>
      <c r="G123" s="18">
        <v>4363.3379999999997</v>
      </c>
      <c r="H123" s="18">
        <v>4362.8540000000003</v>
      </c>
      <c r="I123" s="18">
        <v>4359.893</v>
      </c>
      <c r="J123" s="18">
        <v>4356.009</v>
      </c>
      <c r="K123" s="18">
        <v>4352.3190000000004</v>
      </c>
      <c r="L123" s="18">
        <v>4349.2179999999998</v>
      </c>
      <c r="M123" s="18">
        <v>4346.1180000000004</v>
      </c>
      <c r="N123" s="18">
        <v>4343.2979999999998</v>
      </c>
      <c r="O123" s="18">
        <v>4344.33</v>
      </c>
      <c r="P123" s="18">
        <v>4350.9920000000002</v>
      </c>
      <c r="Q123" s="18">
        <v>4362.3239999999996</v>
      </c>
      <c r="R123" s="18">
        <v>4374.973</v>
      </c>
      <c r="S123" s="18">
        <v>4388.8720000000003</v>
      </c>
      <c r="T123" s="18">
        <v>4408.4549999999999</v>
      </c>
      <c r="U123" s="18">
        <v>4435.357</v>
      </c>
      <c r="V123" s="18">
        <v>4467.4650000000001</v>
      </c>
      <c r="W123" s="18">
        <v>4500.6090000000004</v>
      </c>
      <c r="X123" s="18">
        <v>4535.1210000000001</v>
      </c>
      <c r="Y123" s="18">
        <v>4570.1660000000002</v>
      </c>
      <c r="Z123" s="18">
        <v>4604.7430000000004</v>
      </c>
      <c r="AA123" s="18">
        <v>4638.8209999999999</v>
      </c>
      <c r="AB123" s="18">
        <v>4673.2060000000001</v>
      </c>
      <c r="AC123" s="18">
        <v>4707.5450000000001</v>
      </c>
      <c r="AD123" s="18">
        <v>4739.9279999999999</v>
      </c>
      <c r="AE123" s="18">
        <v>4769.4189999999999</v>
      </c>
      <c r="AF123" s="18">
        <v>4796.375</v>
      </c>
      <c r="AG123" s="18">
        <v>4822.0839999999998</v>
      </c>
      <c r="AH123" s="18">
        <v>4846.2860000000001</v>
      </c>
      <c r="AI123" s="18">
        <v>4867.7740000000003</v>
      </c>
      <c r="AJ123" s="18">
        <v>4886.0720000000001</v>
      </c>
      <c r="AK123" s="18">
        <v>4901.49</v>
      </c>
      <c r="AL123" s="18">
        <v>4914.4409999999998</v>
      </c>
      <c r="AM123" s="18">
        <v>4924.393</v>
      </c>
      <c r="AN123" s="18">
        <v>4933.04</v>
      </c>
      <c r="AO123" s="18">
        <v>4941.1229999999996</v>
      </c>
      <c r="AP123" s="18">
        <v>4947.5219999999999</v>
      </c>
      <c r="AQ123" s="18">
        <v>4950.6639999999998</v>
      </c>
      <c r="AR123" s="18">
        <v>4951.2020000000002</v>
      </c>
      <c r="AS123" s="18">
        <v>4945.8490000000002</v>
      </c>
      <c r="AT123" s="18">
        <v>4932.9189999999999</v>
      </c>
      <c r="AU123" s="18">
        <v>4914.0060000000003</v>
      </c>
      <c r="AV123" s="18">
        <v>4894.0429999999997</v>
      </c>
      <c r="AW123" s="18">
        <v>4874.0309999999999</v>
      </c>
      <c r="AX123" s="18">
        <v>4846.732</v>
      </c>
      <c r="AY123" s="18">
        <v>4809.6869999999999</v>
      </c>
      <c r="AZ123" s="18">
        <v>4767.2929999999997</v>
      </c>
      <c r="BA123" s="18">
        <v>4725.91</v>
      </c>
      <c r="BB123" s="18">
        <v>4683.6679999999997</v>
      </c>
      <c r="BC123" s="18">
        <v>4651.6040000000003</v>
      </c>
      <c r="BD123" s="18">
        <v>4635.6729999999998</v>
      </c>
      <c r="BE123" s="18">
        <v>4631.0749999999998</v>
      </c>
      <c r="BF123" s="18">
        <v>4624.1710000000003</v>
      </c>
      <c r="BG123" s="18">
        <v>4614.2240000000002</v>
      </c>
      <c r="BH123" s="18">
        <v>4614.83</v>
      </c>
      <c r="BI123" s="18">
        <v>4630.2669999999998</v>
      </c>
      <c r="BJ123" s="18">
        <v>4652.8739999999998</v>
      </c>
      <c r="BK123" s="18">
        <v>4673.2120000000004</v>
      </c>
      <c r="BL123" s="18">
        <v>4696.1729999999998</v>
      </c>
      <c r="BM123" s="18">
        <v>4694.3119999999999</v>
      </c>
      <c r="BN123" s="18">
        <v>4653.9610000000002</v>
      </c>
      <c r="BO123" s="18">
        <v>4588.4049999999997</v>
      </c>
      <c r="BP123" s="18">
        <v>4524.2910000000002</v>
      </c>
      <c r="BQ123" s="18">
        <v>4455.9269999999997</v>
      </c>
      <c r="BR123" s="18">
        <v>4394.4539999999997</v>
      </c>
      <c r="BS123" s="18">
        <v>4347.9849999999997</v>
      </c>
      <c r="BT123" s="18">
        <v>4310.6099999999997</v>
      </c>
      <c r="BU123" s="18">
        <v>4264.5010000000002</v>
      </c>
      <c r="BV123" s="18">
        <v>4208.66</v>
      </c>
      <c r="BW123" s="18">
        <v>4163.0910000000003</v>
      </c>
      <c r="BX123" s="18">
        <v>4134.4889999999996</v>
      </c>
      <c r="BY123" s="18">
        <v>4112.0559999999996</v>
      </c>
      <c r="BZ123" s="18">
        <v>4080.5509999999999</v>
      </c>
      <c r="CA123" s="18">
        <v>4045.7339999999999</v>
      </c>
      <c r="CB123" s="18">
        <v>3977.0030000000002</v>
      </c>
      <c r="CC123" s="18">
        <v>3858.4389999999999</v>
      </c>
      <c r="CD123" s="18">
        <v>3704.42</v>
      </c>
      <c r="CE123" s="18">
        <v>3546.6469999999999</v>
      </c>
      <c r="CF123" s="18">
        <v>3380.4659999999999</v>
      </c>
      <c r="CG123" s="18">
        <v>3206.3429999999998</v>
      </c>
      <c r="CH123" s="18">
        <v>3028.2460000000001</v>
      </c>
      <c r="CI123" s="18">
        <v>2845.8690000000001</v>
      </c>
      <c r="CJ123" s="18">
        <v>2653.5079999999998</v>
      </c>
      <c r="CK123" s="18">
        <v>2467.9549999999999</v>
      </c>
      <c r="CL123" s="18">
        <v>2277.88</v>
      </c>
      <c r="CM123" s="18">
        <v>2070.683</v>
      </c>
      <c r="CN123" s="18">
        <v>1848.481</v>
      </c>
      <c r="CO123" s="18">
        <v>1637.1859999999999</v>
      </c>
      <c r="CP123" s="18">
        <v>1486.567</v>
      </c>
      <c r="CQ123" s="18">
        <v>1333.268</v>
      </c>
      <c r="CR123" s="18">
        <v>1133.268</v>
      </c>
      <c r="CS123" s="18">
        <v>886.56899999999996</v>
      </c>
      <c r="CT123" s="18">
        <v>765.755</v>
      </c>
      <c r="CU123" s="18">
        <v>655.81399999999996</v>
      </c>
      <c r="CV123" s="18">
        <v>520.08900000000006</v>
      </c>
      <c r="CW123" s="18">
        <v>358.584</v>
      </c>
      <c r="CX123" s="18">
        <v>857.34100000000001</v>
      </c>
      <c r="CY123" s="3">
        <f t="shared" si="11"/>
        <v>405384.57199999999</v>
      </c>
    </row>
    <row r="124" spans="1:103" customFormat="1">
      <c r="A124" s="15">
        <v>2072</v>
      </c>
      <c r="B124" s="18">
        <v>4315.99</v>
      </c>
      <c r="C124" s="18">
        <v>4337.0150000000003</v>
      </c>
      <c r="D124" s="18">
        <v>4339.0950000000003</v>
      </c>
      <c r="E124" s="18">
        <v>4351.9409999999998</v>
      </c>
      <c r="F124" s="18">
        <v>4360.2539999999999</v>
      </c>
      <c r="G124" s="18">
        <v>4364.8339999999998</v>
      </c>
      <c r="H124" s="18">
        <v>4366.4840000000004</v>
      </c>
      <c r="I124" s="18">
        <v>4365.7139999999999</v>
      </c>
      <c r="J124" s="18">
        <v>4363.0339999999997</v>
      </c>
      <c r="K124" s="18">
        <v>4360.6940000000004</v>
      </c>
      <c r="L124" s="18">
        <v>4360.0749999999998</v>
      </c>
      <c r="M124" s="18">
        <v>4361.107</v>
      </c>
      <c r="N124" s="18">
        <v>4362.32</v>
      </c>
      <c r="O124" s="18">
        <v>4363.9759999999997</v>
      </c>
      <c r="P124" s="18">
        <v>4369.5569999999998</v>
      </c>
      <c r="Q124" s="18">
        <v>4380.6469999999999</v>
      </c>
      <c r="R124" s="18">
        <v>4396.1480000000001</v>
      </c>
      <c r="S124" s="18">
        <v>4412.88</v>
      </c>
      <c r="T124" s="18">
        <v>4430.8779999999997</v>
      </c>
      <c r="U124" s="18">
        <v>4453.0330000000004</v>
      </c>
      <c r="V124" s="18">
        <v>4480.2709999999997</v>
      </c>
      <c r="W124" s="18">
        <v>4511.1390000000001</v>
      </c>
      <c r="X124" s="18">
        <v>4542.9139999999998</v>
      </c>
      <c r="Y124" s="18">
        <v>4575.723</v>
      </c>
      <c r="Z124" s="18">
        <v>4608.7730000000001</v>
      </c>
      <c r="AA124" s="18">
        <v>4641.2529999999997</v>
      </c>
      <c r="AB124" s="18">
        <v>4673.1270000000004</v>
      </c>
      <c r="AC124" s="18">
        <v>4705.0110000000004</v>
      </c>
      <c r="AD124" s="18">
        <v>4736.598</v>
      </c>
      <c r="AE124" s="18">
        <v>4766.4229999999998</v>
      </c>
      <c r="AF124" s="18">
        <v>4793.7529999999997</v>
      </c>
      <c r="AG124" s="18">
        <v>4818.8209999999999</v>
      </c>
      <c r="AH124" s="18">
        <v>4842.5780000000004</v>
      </c>
      <c r="AI124" s="18">
        <v>4864.8159999999998</v>
      </c>
      <c r="AJ124" s="18">
        <v>4884.4930000000004</v>
      </c>
      <c r="AK124" s="18">
        <v>4901.1779999999999</v>
      </c>
      <c r="AL124" s="18">
        <v>4915.134</v>
      </c>
      <c r="AM124" s="18">
        <v>4926.6710000000003</v>
      </c>
      <c r="AN124" s="18">
        <v>4935.2669999999998</v>
      </c>
      <c r="AO124" s="18">
        <v>4942.625</v>
      </c>
      <c r="AP124" s="18">
        <v>4949.4740000000002</v>
      </c>
      <c r="AQ124" s="18">
        <v>4954.6850000000004</v>
      </c>
      <c r="AR124" s="18">
        <v>4956.6779999999999</v>
      </c>
      <c r="AS124" s="18">
        <v>4956.0990000000002</v>
      </c>
      <c r="AT124" s="18">
        <v>4949.6239999999998</v>
      </c>
      <c r="AU124" s="18">
        <v>4935.5460000000003</v>
      </c>
      <c r="AV124" s="18">
        <v>4915.4639999999999</v>
      </c>
      <c r="AW124" s="18">
        <v>4894.3379999999997</v>
      </c>
      <c r="AX124" s="18">
        <v>4873.1610000000001</v>
      </c>
      <c r="AY124" s="18">
        <v>4844.665</v>
      </c>
      <c r="AZ124" s="18">
        <v>4806.375</v>
      </c>
      <c r="BA124" s="18">
        <v>4762.6940000000004</v>
      </c>
      <c r="BB124" s="18">
        <v>4720.0020000000004</v>
      </c>
      <c r="BC124" s="18">
        <v>4676.4210000000003</v>
      </c>
      <c r="BD124" s="18">
        <v>4642.9970000000003</v>
      </c>
      <c r="BE124" s="18">
        <v>4625.6940000000004</v>
      </c>
      <c r="BF124" s="18">
        <v>4619.6989999999996</v>
      </c>
      <c r="BG124" s="18">
        <v>4611.3519999999999</v>
      </c>
      <c r="BH124" s="18">
        <v>4599.9179999999997</v>
      </c>
      <c r="BI124" s="18">
        <v>4598.9840000000004</v>
      </c>
      <c r="BJ124" s="18">
        <v>4612.8220000000001</v>
      </c>
      <c r="BK124" s="18">
        <v>4633.7690000000002</v>
      </c>
      <c r="BL124" s="18">
        <v>4652.3459999999995</v>
      </c>
      <c r="BM124" s="18">
        <v>4673.3959999999997</v>
      </c>
      <c r="BN124" s="18">
        <v>4669.6930000000002</v>
      </c>
      <c r="BO124" s="18">
        <v>4627.6570000000002</v>
      </c>
      <c r="BP124" s="18">
        <v>4560.4340000000002</v>
      </c>
      <c r="BQ124" s="18">
        <v>4494.3900000000003</v>
      </c>
      <c r="BR124" s="18">
        <v>4423.8190000000004</v>
      </c>
      <c r="BS124" s="18">
        <v>4359.9089999999997</v>
      </c>
      <c r="BT124" s="18">
        <v>4310.7479999999996</v>
      </c>
      <c r="BU124" s="18">
        <v>4270.3450000000003</v>
      </c>
      <c r="BV124" s="18">
        <v>4220.8909999999996</v>
      </c>
      <c r="BW124" s="18">
        <v>4161.47</v>
      </c>
      <c r="BX124" s="18">
        <v>4111.3969999999999</v>
      </c>
      <c r="BY124" s="18">
        <v>4077.06</v>
      </c>
      <c r="BZ124" s="18">
        <v>4047.98</v>
      </c>
      <c r="CA124" s="18">
        <v>4009.6640000000002</v>
      </c>
      <c r="CB124" s="18">
        <v>3967.85</v>
      </c>
      <c r="CC124" s="18">
        <v>3891.6880000000001</v>
      </c>
      <c r="CD124" s="18">
        <v>3765.2510000000002</v>
      </c>
      <c r="CE124" s="18">
        <v>3603.1010000000001</v>
      </c>
      <c r="CF124" s="18">
        <v>3437.3530000000001</v>
      </c>
      <c r="CG124" s="18">
        <v>3263.5369999999998</v>
      </c>
      <c r="CH124" s="18">
        <v>3081.6210000000001</v>
      </c>
      <c r="CI124" s="18">
        <v>2895.453</v>
      </c>
      <c r="CJ124" s="18">
        <v>2705.1770000000001</v>
      </c>
      <c r="CK124" s="18">
        <v>2502.5419999999999</v>
      </c>
      <c r="CL124" s="18">
        <v>2318.5079999999998</v>
      </c>
      <c r="CM124" s="18">
        <v>2130.692</v>
      </c>
      <c r="CN124" s="18">
        <v>1913.674</v>
      </c>
      <c r="CO124" s="18">
        <v>1669.0419999999999</v>
      </c>
      <c r="CP124" s="18">
        <v>1458.462</v>
      </c>
      <c r="CQ124" s="18">
        <v>1321.961</v>
      </c>
      <c r="CR124" s="18">
        <v>1176.713</v>
      </c>
      <c r="CS124" s="18">
        <v>989.68899999999996</v>
      </c>
      <c r="CT124" s="18">
        <v>760.89099999999996</v>
      </c>
      <c r="CU124" s="18">
        <v>665.69100000000003</v>
      </c>
      <c r="CV124" s="18">
        <v>527.529</v>
      </c>
      <c r="CW124" s="18">
        <v>363.572</v>
      </c>
      <c r="CX124" s="18">
        <v>868.93799999999999</v>
      </c>
      <c r="CY124" s="3">
        <f t="shared" si="11"/>
        <v>406572.83899999998</v>
      </c>
    </row>
    <row r="125" spans="1:103" customFormat="1">
      <c r="A125" s="15">
        <v>2073</v>
      </c>
      <c r="B125" s="18">
        <v>4315.4319999999998</v>
      </c>
      <c r="C125" s="18">
        <v>4336.6329999999998</v>
      </c>
      <c r="D125" s="18">
        <v>4352.0690000000004</v>
      </c>
      <c r="E125" s="18">
        <v>4350.5439999999999</v>
      </c>
      <c r="F125" s="18">
        <v>4359.5339999999997</v>
      </c>
      <c r="G125" s="18">
        <v>4364.9610000000002</v>
      </c>
      <c r="H125" s="18">
        <v>4367.598</v>
      </c>
      <c r="I125" s="18">
        <v>4368.22</v>
      </c>
      <c r="J125" s="18">
        <v>4367.1620000000003</v>
      </c>
      <c r="K125" s="18">
        <v>4364.7640000000001</v>
      </c>
      <c r="L125" s="18">
        <v>4363.9709999999995</v>
      </c>
      <c r="M125" s="18">
        <v>4366.4229999999998</v>
      </c>
      <c r="N125" s="18">
        <v>4371.5929999999998</v>
      </c>
      <c r="O125" s="18">
        <v>4377.1189999999997</v>
      </c>
      <c r="P125" s="18">
        <v>4383.2510000000002</v>
      </c>
      <c r="Q125" s="18">
        <v>4393.3819999999996</v>
      </c>
      <c r="R125" s="18">
        <v>4408.8980000000001</v>
      </c>
      <c r="S125" s="18">
        <v>4428.5659999999998</v>
      </c>
      <c r="T125" s="18">
        <v>4449.3779999999997</v>
      </c>
      <c r="U125" s="18">
        <v>4471.4709999999995</v>
      </c>
      <c r="V125" s="18">
        <v>4496.192</v>
      </c>
      <c r="W125" s="18">
        <v>4523.7560000000003</v>
      </c>
      <c r="X125" s="18">
        <v>4553.375</v>
      </c>
      <c r="Y125" s="18">
        <v>4583.7669999999998</v>
      </c>
      <c r="Z125" s="18">
        <v>4614.8639999999996</v>
      </c>
      <c r="AA125" s="18">
        <v>4645.9059999999999</v>
      </c>
      <c r="AB125" s="18">
        <v>4676.2790000000005</v>
      </c>
      <c r="AC125" s="18">
        <v>4705.9369999999999</v>
      </c>
      <c r="AD125" s="18">
        <v>4735.308</v>
      </c>
      <c r="AE125" s="18">
        <v>4764.1329999999998</v>
      </c>
      <c r="AF125" s="18">
        <v>4791.3869999999997</v>
      </c>
      <c r="AG125" s="18">
        <v>4816.5460000000003</v>
      </c>
      <c r="AH125" s="18">
        <v>4839.7190000000001</v>
      </c>
      <c r="AI125" s="18">
        <v>4861.5129999999999</v>
      </c>
      <c r="AJ125" s="18">
        <v>4881.78</v>
      </c>
      <c r="AK125" s="18">
        <v>4899.6400000000003</v>
      </c>
      <c r="AL125" s="18">
        <v>4914.7049999999999</v>
      </c>
      <c r="AM125" s="18">
        <v>4927.1930000000002</v>
      </c>
      <c r="AN125" s="18">
        <v>4937.3140000000003</v>
      </c>
      <c r="AO125" s="18">
        <v>4944.55</v>
      </c>
      <c r="AP125" s="18">
        <v>4950.6149999999998</v>
      </c>
      <c r="AQ125" s="18">
        <v>4956.2280000000001</v>
      </c>
      <c r="AR125" s="18">
        <v>4960.25</v>
      </c>
      <c r="AS125" s="18">
        <v>4961.09</v>
      </c>
      <c r="AT125" s="18">
        <v>4959.3940000000002</v>
      </c>
      <c r="AU125" s="18">
        <v>4951.799</v>
      </c>
      <c r="AV125" s="18">
        <v>4936.5770000000002</v>
      </c>
      <c r="AW125" s="18">
        <v>4915.3320000000003</v>
      </c>
      <c r="AX125" s="18">
        <v>4893.049</v>
      </c>
      <c r="AY125" s="18">
        <v>4870.7129999999997</v>
      </c>
      <c r="AZ125" s="18">
        <v>4841.027</v>
      </c>
      <c r="BA125" s="18">
        <v>4801.5029999999997</v>
      </c>
      <c r="BB125" s="18">
        <v>4756.55</v>
      </c>
      <c r="BC125" s="18">
        <v>4712.5630000000001</v>
      </c>
      <c r="BD125" s="18">
        <v>4667.6559999999999</v>
      </c>
      <c r="BE125" s="18">
        <v>4632.884</v>
      </c>
      <c r="BF125" s="18">
        <v>4614.2129999999997</v>
      </c>
      <c r="BG125" s="18">
        <v>4606.8220000000001</v>
      </c>
      <c r="BH125" s="18">
        <v>4597.0349999999999</v>
      </c>
      <c r="BI125" s="18">
        <v>4584.116</v>
      </c>
      <c r="BJ125" s="18">
        <v>4581.6419999999998</v>
      </c>
      <c r="BK125" s="18">
        <v>4593.875</v>
      </c>
      <c r="BL125" s="18">
        <v>4613.1549999999997</v>
      </c>
      <c r="BM125" s="18">
        <v>4629.9639999999999</v>
      </c>
      <c r="BN125" s="18">
        <v>4649.0950000000003</v>
      </c>
      <c r="BO125" s="18">
        <v>4643.55</v>
      </c>
      <c r="BP125" s="18">
        <v>4599.8419999999996</v>
      </c>
      <c r="BQ125" s="18">
        <v>4530.973</v>
      </c>
      <c r="BR125" s="18">
        <v>4463.0190000000002</v>
      </c>
      <c r="BS125" s="18">
        <v>4390.2629999999999</v>
      </c>
      <c r="BT125" s="18">
        <v>4323.9369999999999</v>
      </c>
      <c r="BU125" s="18">
        <v>4272.0969999999998</v>
      </c>
      <c r="BV125" s="18">
        <v>4228.6769999999997</v>
      </c>
      <c r="BW125" s="18">
        <v>4175.893</v>
      </c>
      <c r="BX125" s="18">
        <v>4112.91</v>
      </c>
      <c r="BY125" s="18">
        <v>4058.3490000000002</v>
      </c>
      <c r="BZ125" s="18">
        <v>4018.2829999999999</v>
      </c>
      <c r="CA125" s="18">
        <v>3982.5630000000001</v>
      </c>
      <c r="CB125" s="18">
        <v>3937.4430000000002</v>
      </c>
      <c r="CC125" s="18">
        <v>3888.643</v>
      </c>
      <c r="CD125" s="18">
        <v>3805.0720000000001</v>
      </c>
      <c r="CE125" s="18">
        <v>3670.7979999999998</v>
      </c>
      <c r="CF125" s="18">
        <v>3500.567</v>
      </c>
      <c r="CG125" s="18">
        <v>3326.8960000000002</v>
      </c>
      <c r="CH125" s="18">
        <v>3145.4969999999998</v>
      </c>
      <c r="CI125" s="18">
        <v>2955.8429999999998</v>
      </c>
      <c r="CJ125" s="18">
        <v>2761.66</v>
      </c>
      <c r="CK125" s="18">
        <v>2563.5410000000002</v>
      </c>
      <c r="CL125" s="18">
        <v>2350.6930000000002</v>
      </c>
      <c r="CM125" s="18">
        <v>2168.239</v>
      </c>
      <c r="CN125" s="18">
        <v>1982.7439999999999</v>
      </c>
      <c r="CO125" s="18">
        <v>1755.97</v>
      </c>
      <c r="CP125" s="18">
        <v>1488.9770000000001</v>
      </c>
      <c r="CQ125" s="18">
        <v>1279.18</v>
      </c>
      <c r="CR125" s="18">
        <v>1156.8499999999999</v>
      </c>
      <c r="CS125" s="18">
        <v>1019.704</v>
      </c>
      <c r="CT125" s="18">
        <v>845.72299999999996</v>
      </c>
      <c r="CU125" s="18">
        <v>634.90599999999995</v>
      </c>
      <c r="CV125" s="18">
        <v>535.91499999999996</v>
      </c>
      <c r="CW125" s="18">
        <v>369.09699999999998</v>
      </c>
      <c r="CX125" s="18">
        <v>881.36199999999997</v>
      </c>
      <c r="CY125" s="3">
        <f t="shared" si="11"/>
        <v>407737.65599999978</v>
      </c>
    </row>
    <row r="126" spans="1:103" customFormat="1">
      <c r="A126" s="15">
        <v>2074</v>
      </c>
      <c r="B126" s="18">
        <v>4314.0860000000002</v>
      </c>
      <c r="C126" s="18">
        <v>4335.0429999999997</v>
      </c>
      <c r="D126" s="18">
        <v>4350.473</v>
      </c>
      <c r="E126" s="18">
        <v>4361.1180000000004</v>
      </c>
      <c r="F126" s="18">
        <v>4360.2920000000004</v>
      </c>
      <c r="G126" s="18">
        <v>4365.4219999999996</v>
      </c>
      <c r="H126" s="18">
        <v>4367.9629999999997</v>
      </c>
      <c r="I126" s="18">
        <v>4368.6570000000002</v>
      </c>
      <c r="J126" s="18">
        <v>4368.25</v>
      </c>
      <c r="K126" s="18">
        <v>4366.9049999999997</v>
      </c>
      <c r="L126" s="18">
        <v>4364.79</v>
      </c>
      <c r="M126" s="18">
        <v>4365.5429999999997</v>
      </c>
      <c r="N126" s="18">
        <v>4371.067</v>
      </c>
      <c r="O126" s="18">
        <v>4380.3680000000004</v>
      </c>
      <c r="P126" s="18">
        <v>4390.2049999999999</v>
      </c>
      <c r="Q126" s="18">
        <v>4400.8109999999997</v>
      </c>
      <c r="R126" s="18">
        <v>4415.4870000000001</v>
      </c>
      <c r="S126" s="18">
        <v>4435.4219999999996</v>
      </c>
      <c r="T126" s="18">
        <v>4459.2460000000001</v>
      </c>
      <c r="U126" s="18">
        <v>4484.1289999999999</v>
      </c>
      <c r="V126" s="18">
        <v>4510.308</v>
      </c>
      <c r="W126" s="18">
        <v>4537.5839999999998</v>
      </c>
      <c r="X126" s="18">
        <v>4565.4650000000001</v>
      </c>
      <c r="Y126" s="18">
        <v>4593.8220000000001</v>
      </c>
      <c r="Z126" s="18">
        <v>4622.8220000000001</v>
      </c>
      <c r="AA126" s="18">
        <v>4652.192</v>
      </c>
      <c r="AB126" s="18">
        <v>4681.2160000000003</v>
      </c>
      <c r="AC126" s="18">
        <v>4709.4690000000001</v>
      </c>
      <c r="AD126" s="18">
        <v>4736.9009999999998</v>
      </c>
      <c r="AE126" s="18">
        <v>4763.7489999999998</v>
      </c>
      <c r="AF126" s="18">
        <v>4789.799</v>
      </c>
      <c r="AG126" s="18">
        <v>4814.4740000000002</v>
      </c>
      <c r="AH126" s="18">
        <v>4837.4539999999997</v>
      </c>
      <c r="AI126" s="18">
        <v>4858.7209999999995</v>
      </c>
      <c r="AJ126" s="18">
        <v>4878.5450000000001</v>
      </c>
      <c r="AK126" s="18">
        <v>4896.8320000000003</v>
      </c>
      <c r="AL126" s="18">
        <v>4912.8680000000004</v>
      </c>
      <c r="AM126" s="18">
        <v>4926.308</v>
      </c>
      <c r="AN126" s="18">
        <v>4937.3239999999996</v>
      </c>
      <c r="AO126" s="18">
        <v>4946.0240000000003</v>
      </c>
      <c r="AP126" s="18">
        <v>4951.8980000000001</v>
      </c>
      <c r="AQ126" s="18">
        <v>4956.6679999999997</v>
      </c>
      <c r="AR126" s="18">
        <v>4961.0429999999997</v>
      </c>
      <c r="AS126" s="18">
        <v>4963.8739999999998</v>
      </c>
      <c r="AT126" s="18">
        <v>4963.5630000000001</v>
      </c>
      <c r="AU126" s="18">
        <v>4960.7510000000002</v>
      </c>
      <c r="AV126" s="18">
        <v>4952.0389999999998</v>
      </c>
      <c r="AW126" s="18">
        <v>4935.6779999999999</v>
      </c>
      <c r="AX126" s="18">
        <v>4913.2790000000005</v>
      </c>
      <c r="AY126" s="18">
        <v>4889.8490000000002</v>
      </c>
      <c r="AZ126" s="18">
        <v>4866.3639999999996</v>
      </c>
      <c r="BA126" s="18">
        <v>4835.5010000000002</v>
      </c>
      <c r="BB126" s="18">
        <v>4794.7569999999996</v>
      </c>
      <c r="BC126" s="18">
        <v>4748.55</v>
      </c>
      <c r="BD126" s="18">
        <v>4703.2849999999999</v>
      </c>
      <c r="BE126" s="18">
        <v>4657.0690000000004</v>
      </c>
      <c r="BF126" s="18">
        <v>4620.9620000000004</v>
      </c>
      <c r="BG126" s="18">
        <v>4600.9309999999996</v>
      </c>
      <c r="BH126" s="18">
        <v>4592.1480000000001</v>
      </c>
      <c r="BI126" s="18">
        <v>4580.924</v>
      </c>
      <c r="BJ126" s="18">
        <v>4566.5280000000002</v>
      </c>
      <c r="BK126" s="18">
        <v>4562.5150000000003</v>
      </c>
      <c r="BL126" s="18">
        <v>4573.1379999999999</v>
      </c>
      <c r="BM126" s="18">
        <v>4590.7420000000002</v>
      </c>
      <c r="BN126" s="18">
        <v>4605.7780000000002</v>
      </c>
      <c r="BO126" s="18">
        <v>4622.9830000000002</v>
      </c>
      <c r="BP126" s="18">
        <v>4615.5990000000002</v>
      </c>
      <c r="BQ126" s="18">
        <v>4570.2349999999997</v>
      </c>
      <c r="BR126" s="18">
        <v>4499.7479999999996</v>
      </c>
      <c r="BS126" s="18">
        <v>4429.9110000000001</v>
      </c>
      <c r="BT126" s="18">
        <v>4354.9989999999998</v>
      </c>
      <c r="BU126" s="18">
        <v>4286.2820000000002</v>
      </c>
      <c r="BV126" s="18">
        <v>4231.7849999999999</v>
      </c>
      <c r="BW126" s="18">
        <v>4185.3670000000002</v>
      </c>
      <c r="BX126" s="18">
        <v>4129.2740000000003</v>
      </c>
      <c r="BY126" s="18">
        <v>4062.752</v>
      </c>
      <c r="BZ126" s="18">
        <v>4003.7260000000001</v>
      </c>
      <c r="CA126" s="18">
        <v>3957.9479999999999</v>
      </c>
      <c r="CB126" s="18">
        <v>3915.6030000000001</v>
      </c>
      <c r="CC126" s="18">
        <v>3863.7</v>
      </c>
      <c r="CD126" s="18">
        <v>3807.9340000000002</v>
      </c>
      <c r="CE126" s="18">
        <v>3716.9870000000001</v>
      </c>
      <c r="CF126" s="18">
        <v>3574.933</v>
      </c>
      <c r="CG126" s="18">
        <v>3396.6880000000001</v>
      </c>
      <c r="CH126" s="18">
        <v>3215.1619999999998</v>
      </c>
      <c r="CI126" s="18">
        <v>3026.2530000000002</v>
      </c>
      <c r="CJ126" s="18">
        <v>2828.9369999999999</v>
      </c>
      <c r="CK126" s="18">
        <v>2626.8180000000002</v>
      </c>
      <c r="CL126" s="18">
        <v>2420.9360000000001</v>
      </c>
      <c r="CM126" s="18">
        <v>2197.9609999999998</v>
      </c>
      <c r="CN126" s="18">
        <v>2017.1579999999999</v>
      </c>
      <c r="CO126" s="18">
        <v>1834.0550000000001</v>
      </c>
      <c r="CP126" s="18">
        <v>1597.617</v>
      </c>
      <c r="CQ126" s="18">
        <v>1308.373</v>
      </c>
      <c r="CR126" s="18">
        <v>1099.441</v>
      </c>
      <c r="CS126" s="18">
        <v>991.32500000000005</v>
      </c>
      <c r="CT126" s="18">
        <v>862.33299999999997</v>
      </c>
      <c r="CU126" s="18">
        <v>701.46</v>
      </c>
      <c r="CV126" s="18">
        <v>508.70400000000001</v>
      </c>
      <c r="CW126" s="18">
        <v>375.339</v>
      </c>
      <c r="CX126" s="18">
        <v>894.49300000000005</v>
      </c>
      <c r="CY126" s="3">
        <f t="shared" si="11"/>
        <v>408877.80700000009</v>
      </c>
    </row>
    <row r="127" spans="1:103" customFormat="1">
      <c r="A127" s="15">
        <v>2075</v>
      </c>
      <c r="B127" s="18">
        <v>4312.3339999999998</v>
      </c>
      <c r="C127" s="18">
        <v>4332.4309999999996</v>
      </c>
      <c r="D127" s="18">
        <v>4347.3320000000003</v>
      </c>
      <c r="E127" s="18">
        <v>4357.7539999999999</v>
      </c>
      <c r="F127" s="18">
        <v>4364.41</v>
      </c>
      <c r="G127" s="18">
        <v>4368.018</v>
      </c>
      <c r="H127" s="18">
        <v>4369.2910000000002</v>
      </c>
      <c r="I127" s="18">
        <v>4368.9470000000001</v>
      </c>
      <c r="J127" s="18">
        <v>4367.6989999999996</v>
      </c>
      <c r="K127" s="18">
        <v>4366.2650000000003</v>
      </c>
      <c r="L127" s="18">
        <v>4364.6360000000004</v>
      </c>
      <c r="M127" s="18">
        <v>4362.8029999999999</v>
      </c>
      <c r="N127" s="18">
        <v>4365.1000000000004</v>
      </c>
      <c r="O127" s="18">
        <v>4373.6880000000001</v>
      </c>
      <c r="P127" s="18">
        <v>4387.1130000000003</v>
      </c>
      <c r="Q127" s="18">
        <v>4401.2510000000002</v>
      </c>
      <c r="R127" s="18">
        <v>4416.3209999999999</v>
      </c>
      <c r="S127" s="18">
        <v>4435.53</v>
      </c>
      <c r="T127" s="18">
        <v>4459.87</v>
      </c>
      <c r="U127" s="18">
        <v>4487.8360000000002</v>
      </c>
      <c r="V127" s="18">
        <v>4516.7730000000001</v>
      </c>
      <c r="W127" s="18">
        <v>4547.0209999999997</v>
      </c>
      <c r="X127" s="18">
        <v>4576.8370000000004</v>
      </c>
      <c r="Y127" s="18">
        <v>4605.0200000000004</v>
      </c>
      <c r="Z127" s="18">
        <v>4632.1030000000001</v>
      </c>
      <c r="AA127" s="18">
        <v>4659.6989999999996</v>
      </c>
      <c r="AB127" s="18">
        <v>4687.3329999999996</v>
      </c>
      <c r="AC127" s="18">
        <v>4714.326</v>
      </c>
      <c r="AD127" s="18">
        <v>4740.4489999999996</v>
      </c>
      <c r="AE127" s="18">
        <v>4765.6450000000004</v>
      </c>
      <c r="AF127" s="18">
        <v>4789.9589999999998</v>
      </c>
      <c r="AG127" s="18">
        <v>4813.2269999999999</v>
      </c>
      <c r="AH127" s="18">
        <v>4835.3130000000001</v>
      </c>
      <c r="AI127" s="18">
        <v>4856.1040000000003</v>
      </c>
      <c r="AJ127" s="18">
        <v>4875.4589999999998</v>
      </c>
      <c r="AK127" s="18">
        <v>4893.3059999999996</v>
      </c>
      <c r="AL127" s="18">
        <v>4909.6080000000002</v>
      </c>
      <c r="AM127" s="18">
        <v>4923.8140000000003</v>
      </c>
      <c r="AN127" s="18">
        <v>4935.625</v>
      </c>
      <c r="AO127" s="18">
        <v>4945.1660000000002</v>
      </c>
      <c r="AP127" s="18">
        <v>4952.4409999999998</v>
      </c>
      <c r="AQ127" s="18">
        <v>4956.9530000000004</v>
      </c>
      <c r="AR127" s="18">
        <v>4960.4269999999997</v>
      </c>
      <c r="AS127" s="18">
        <v>4963.5640000000003</v>
      </c>
      <c r="AT127" s="18">
        <v>4965.2030000000004</v>
      </c>
      <c r="AU127" s="18">
        <v>4963.7420000000002</v>
      </c>
      <c r="AV127" s="18">
        <v>4959.8149999999996</v>
      </c>
      <c r="AW127" s="18">
        <v>4949.9920000000002</v>
      </c>
      <c r="AX127" s="18">
        <v>4932.5029999999997</v>
      </c>
      <c r="AY127" s="18">
        <v>4908.96</v>
      </c>
      <c r="AZ127" s="18">
        <v>4884.3940000000002</v>
      </c>
      <c r="BA127" s="18">
        <v>4859.7709999999997</v>
      </c>
      <c r="BB127" s="18">
        <v>4827.7460000000001</v>
      </c>
      <c r="BC127" s="18">
        <v>4785.8059999999996</v>
      </c>
      <c r="BD127" s="18">
        <v>4738.366</v>
      </c>
      <c r="BE127" s="18">
        <v>4691.8459999999995</v>
      </c>
      <c r="BF127" s="18">
        <v>4644.3429999999998</v>
      </c>
      <c r="BG127" s="18">
        <v>4606.9189999999999</v>
      </c>
      <c r="BH127" s="18">
        <v>4585.54</v>
      </c>
      <c r="BI127" s="18">
        <v>4575.3689999999997</v>
      </c>
      <c r="BJ127" s="18">
        <v>4562.7160000000003</v>
      </c>
      <c r="BK127" s="18">
        <v>4546.8490000000002</v>
      </c>
      <c r="BL127" s="18">
        <v>4541.3</v>
      </c>
      <c r="BM127" s="18">
        <v>4550.3109999999997</v>
      </c>
      <c r="BN127" s="18">
        <v>4566.2349999999997</v>
      </c>
      <c r="BO127" s="18">
        <v>4579.49</v>
      </c>
      <c r="BP127" s="18">
        <v>4594.7629999999999</v>
      </c>
      <c r="BQ127" s="18">
        <v>4585.5460000000003</v>
      </c>
      <c r="BR127" s="18">
        <v>4538.549</v>
      </c>
      <c r="BS127" s="18">
        <v>4466.4769999999999</v>
      </c>
      <c r="BT127" s="18">
        <v>4394.7920000000004</v>
      </c>
      <c r="BU127" s="18">
        <v>4317.76</v>
      </c>
      <c r="BV127" s="18">
        <v>4246.6880000000001</v>
      </c>
      <c r="BW127" s="18">
        <v>4189.5609999999997</v>
      </c>
      <c r="BX127" s="18">
        <v>4140.1670000000004</v>
      </c>
      <c r="BY127" s="18">
        <v>4080.7959999999998</v>
      </c>
      <c r="BZ127" s="18">
        <v>4010.77</v>
      </c>
      <c r="CA127" s="18">
        <v>3947.31</v>
      </c>
      <c r="CB127" s="18">
        <v>3895.8490000000002</v>
      </c>
      <c r="CC127" s="18">
        <v>3846.9050000000002</v>
      </c>
      <c r="CD127" s="18">
        <v>3788.25</v>
      </c>
      <c r="CE127" s="18">
        <v>3725.5529999999999</v>
      </c>
      <c r="CF127" s="18">
        <v>3627.2809999999999</v>
      </c>
      <c r="CG127" s="18">
        <v>3477.518</v>
      </c>
      <c r="CH127" s="18">
        <v>3291.3510000000001</v>
      </c>
      <c r="CI127" s="18">
        <v>3102.0630000000001</v>
      </c>
      <c r="CJ127" s="18">
        <v>2905.741</v>
      </c>
      <c r="CK127" s="18">
        <v>2700.8609999999999</v>
      </c>
      <c r="CL127" s="18">
        <v>2490.9070000000002</v>
      </c>
      <c r="CM127" s="18">
        <v>2277.3670000000002</v>
      </c>
      <c r="CN127" s="18">
        <v>2044.3779999999999</v>
      </c>
      <c r="CO127" s="18">
        <v>1865.308</v>
      </c>
      <c r="CP127" s="18">
        <v>1684.6790000000001</v>
      </c>
      <c r="CQ127" s="18">
        <v>1438.6969999999999</v>
      </c>
      <c r="CR127" s="18">
        <v>1127.3620000000001</v>
      </c>
      <c r="CS127" s="18">
        <v>919.39</v>
      </c>
      <c r="CT127" s="18">
        <v>825.52200000000005</v>
      </c>
      <c r="CU127" s="18">
        <v>704.73699999999997</v>
      </c>
      <c r="CV127" s="18">
        <v>557.03099999999995</v>
      </c>
      <c r="CW127" s="18">
        <v>382.40600000000001</v>
      </c>
      <c r="CX127" s="18">
        <v>908.28599999999994</v>
      </c>
      <c r="CY127" s="3">
        <f t="shared" si="11"/>
        <v>409992.63800000021</v>
      </c>
    </row>
    <row r="128" spans="1:103" customFormat="1">
      <c r="A128" s="15">
        <v>2076</v>
      </c>
      <c r="B128" s="18">
        <v>4318.6610000000001</v>
      </c>
      <c r="C128" s="18">
        <v>4326.4650000000001</v>
      </c>
      <c r="D128" s="18">
        <v>4342.6620000000003</v>
      </c>
      <c r="E128" s="18">
        <v>4354.6509999999998</v>
      </c>
      <c r="F128" s="18">
        <v>4363.1149999999998</v>
      </c>
      <c r="G128" s="18">
        <v>4368.74</v>
      </c>
      <c r="H128" s="18">
        <v>4372.0690000000004</v>
      </c>
      <c r="I128" s="18">
        <v>4373.6440000000002</v>
      </c>
      <c r="J128" s="18">
        <v>4374.8590000000004</v>
      </c>
      <c r="K128" s="18">
        <v>4376.6819999999998</v>
      </c>
      <c r="L128" s="18">
        <v>4379.3720000000003</v>
      </c>
      <c r="M128" s="18">
        <v>4382.0519999999997</v>
      </c>
      <c r="N128" s="18">
        <v>4384.6970000000001</v>
      </c>
      <c r="O128" s="18">
        <v>4391.5469999999996</v>
      </c>
      <c r="P128" s="18">
        <v>4404.5690000000004</v>
      </c>
      <c r="Q128" s="18">
        <v>4422.1710000000003</v>
      </c>
      <c r="R128" s="18">
        <v>4440.402</v>
      </c>
      <c r="S128" s="18">
        <v>4459.58</v>
      </c>
      <c r="T128" s="18">
        <v>4481.375</v>
      </c>
      <c r="U128" s="18">
        <v>4506.0680000000002</v>
      </c>
      <c r="V128" s="18">
        <v>4532.8140000000003</v>
      </c>
      <c r="W128" s="18">
        <v>4560.4009999999998</v>
      </c>
      <c r="X128" s="18">
        <v>4588.9690000000001</v>
      </c>
      <c r="Y128" s="18">
        <v>4616.8119999999999</v>
      </c>
      <c r="Z128" s="18">
        <v>4642.9250000000002</v>
      </c>
      <c r="AA128" s="18">
        <v>4667.8329999999996</v>
      </c>
      <c r="AB128" s="18">
        <v>4692.9549999999999</v>
      </c>
      <c r="AC128" s="18">
        <v>4717.866</v>
      </c>
      <c r="AD128" s="18">
        <v>4742.326</v>
      </c>
      <c r="AE128" s="18">
        <v>4766.3059999999996</v>
      </c>
      <c r="AF128" s="18">
        <v>4789.63</v>
      </c>
      <c r="AG128" s="18">
        <v>4812.0069999999996</v>
      </c>
      <c r="AH128" s="18">
        <v>4833.3270000000002</v>
      </c>
      <c r="AI128" s="18">
        <v>4853.616</v>
      </c>
      <c r="AJ128" s="18">
        <v>4872.8050000000003</v>
      </c>
      <c r="AK128" s="18">
        <v>4890.7070000000003</v>
      </c>
      <c r="AL128" s="18">
        <v>4907.1509999999998</v>
      </c>
      <c r="AM128" s="18">
        <v>4922.1040000000003</v>
      </c>
      <c r="AN128" s="18">
        <v>4935.0309999999999</v>
      </c>
      <c r="AO128" s="18">
        <v>4945.6239999999998</v>
      </c>
      <c r="AP128" s="18">
        <v>4953.9939999999997</v>
      </c>
      <c r="AQ128" s="18">
        <v>4960.1369999999997</v>
      </c>
      <c r="AR128" s="18">
        <v>4963.5450000000001</v>
      </c>
      <c r="AS128" s="18">
        <v>4965.9120000000003</v>
      </c>
      <c r="AT128" s="18">
        <v>4967.9110000000001</v>
      </c>
      <c r="AU128" s="18">
        <v>4968.3879999999999</v>
      </c>
      <c r="AV128" s="18">
        <v>4965.777</v>
      </c>
      <c r="AW128" s="18">
        <v>4960.7089999999998</v>
      </c>
      <c r="AX128" s="18">
        <v>4949.6930000000002</v>
      </c>
      <c r="AY128" s="18">
        <v>4930.9309999999996</v>
      </c>
      <c r="AZ128" s="18">
        <v>4906.0630000000001</v>
      </c>
      <c r="BA128" s="18">
        <v>4880.1610000000001</v>
      </c>
      <c r="BB128" s="18">
        <v>4854.1769999999997</v>
      </c>
      <c r="BC128" s="18">
        <v>4820.8209999999999</v>
      </c>
      <c r="BD128" s="18">
        <v>4777.6109999999999</v>
      </c>
      <c r="BE128" s="18">
        <v>4728.9319999999998</v>
      </c>
      <c r="BF128" s="18">
        <v>4681.1139999999996</v>
      </c>
      <c r="BG128" s="18">
        <v>4632.25</v>
      </c>
      <c r="BH128" s="18">
        <v>4593.4719999999998</v>
      </c>
      <c r="BI128" s="18">
        <v>4570.7659999999996</v>
      </c>
      <c r="BJ128" s="18">
        <v>4559.2479999999996</v>
      </c>
      <c r="BK128" s="18">
        <v>4545.1459999999997</v>
      </c>
      <c r="BL128" s="18">
        <v>4527.7259999999997</v>
      </c>
      <c r="BM128" s="18">
        <v>4520.4750000000004</v>
      </c>
      <c r="BN128" s="18">
        <v>4527.5969999999998</v>
      </c>
      <c r="BO128" s="18">
        <v>4541.4449999999997</v>
      </c>
      <c r="BP128" s="18">
        <v>4552.4179999999997</v>
      </c>
      <c r="BQ128" s="18">
        <v>4565.1270000000004</v>
      </c>
      <c r="BR128" s="18">
        <v>4553.2960000000003</v>
      </c>
      <c r="BS128" s="18">
        <v>4503.7250000000004</v>
      </c>
      <c r="BT128" s="18">
        <v>4428.9520000000002</v>
      </c>
      <c r="BU128" s="18">
        <v>4354.1409999999996</v>
      </c>
      <c r="BV128" s="18">
        <v>4273.567</v>
      </c>
      <c r="BW128" s="18">
        <v>4198.424</v>
      </c>
      <c r="BX128" s="18">
        <v>4136.5919999999996</v>
      </c>
      <c r="BY128" s="18">
        <v>4081.8560000000002</v>
      </c>
      <c r="BZ128" s="18">
        <v>4016.82</v>
      </c>
      <c r="CA128" s="18">
        <v>3941.0030000000002</v>
      </c>
      <c r="CB128" s="18">
        <v>3870.2660000000001</v>
      </c>
      <c r="CC128" s="18">
        <v>3809.4789999999998</v>
      </c>
      <c r="CD128" s="18">
        <v>3749.8960000000002</v>
      </c>
      <c r="CE128" s="18">
        <v>3680.8330000000001</v>
      </c>
      <c r="CF128" s="18">
        <v>3607.9459999999999</v>
      </c>
      <c r="CG128" s="18">
        <v>3499.491</v>
      </c>
      <c r="CH128" s="18">
        <v>3339.7020000000002</v>
      </c>
      <c r="CI128" s="18">
        <v>3143.98</v>
      </c>
      <c r="CJ128" s="18">
        <v>2942.203</v>
      </c>
      <c r="CK128" s="18">
        <v>2746.7379999999998</v>
      </c>
      <c r="CL128" s="18">
        <v>2544.1849999999999</v>
      </c>
      <c r="CM128" s="18">
        <v>2321.7820000000002</v>
      </c>
      <c r="CN128" s="18">
        <v>2080.723</v>
      </c>
      <c r="CO128" s="18">
        <v>1847.6759999999999</v>
      </c>
      <c r="CP128" s="18">
        <v>1683.624</v>
      </c>
      <c r="CQ128" s="18">
        <v>1511.431</v>
      </c>
      <c r="CR128" s="18">
        <v>1280.0250000000001</v>
      </c>
      <c r="CS128" s="18">
        <v>989.40599999999995</v>
      </c>
      <c r="CT128" s="18">
        <v>847.38699999999994</v>
      </c>
      <c r="CU128" s="18">
        <v>723.30200000000002</v>
      </c>
      <c r="CV128" s="18">
        <v>571.20899999999995</v>
      </c>
      <c r="CW128" s="18">
        <v>391.108</v>
      </c>
      <c r="CX128" s="18">
        <v>924.59699999999998</v>
      </c>
      <c r="CY128" s="3">
        <f t="shared" si="11"/>
        <v>411081.50099999999</v>
      </c>
    </row>
    <row r="129" spans="1:103" customFormat="1">
      <c r="A129" s="15">
        <v>2077</v>
      </c>
      <c r="B129" s="18">
        <v>4325.4610000000002</v>
      </c>
      <c r="C129" s="18">
        <v>4342.0209999999997</v>
      </c>
      <c r="D129" s="18">
        <v>4339.4369999999999</v>
      </c>
      <c r="E129" s="18">
        <v>4351.7250000000004</v>
      </c>
      <c r="F129" s="18">
        <v>4360.7960000000003</v>
      </c>
      <c r="G129" s="18">
        <v>4367.299</v>
      </c>
      <c r="H129" s="18">
        <v>4371.8900000000003</v>
      </c>
      <c r="I129" s="18">
        <v>4374.9380000000001</v>
      </c>
      <c r="J129" s="18">
        <v>4376.8149999999996</v>
      </c>
      <c r="K129" s="18">
        <v>4379.5910000000003</v>
      </c>
      <c r="L129" s="18">
        <v>4384.4859999999999</v>
      </c>
      <c r="M129" s="18">
        <v>4391.3050000000003</v>
      </c>
      <c r="N129" s="18">
        <v>4398.299</v>
      </c>
      <c r="O129" s="18">
        <v>4405.4229999999998</v>
      </c>
      <c r="P129" s="18">
        <v>4416.83</v>
      </c>
      <c r="Q129" s="18">
        <v>4434.2870000000003</v>
      </c>
      <c r="R129" s="18">
        <v>4456.0659999999998</v>
      </c>
      <c r="S129" s="18">
        <v>4478.3890000000001</v>
      </c>
      <c r="T129" s="18">
        <v>4501.6760000000004</v>
      </c>
      <c r="U129" s="18">
        <v>4526.0519999999997</v>
      </c>
      <c r="V129" s="18">
        <v>4551.0910000000003</v>
      </c>
      <c r="W129" s="18">
        <v>4576.6099999999997</v>
      </c>
      <c r="X129" s="18">
        <v>4602.8389999999999</v>
      </c>
      <c r="Y129" s="18">
        <v>4629.7160000000003</v>
      </c>
      <c r="Z129" s="18">
        <v>4655.5770000000002</v>
      </c>
      <c r="AA129" s="18">
        <v>4679.6099999999997</v>
      </c>
      <c r="AB129" s="18">
        <v>4702.3339999999998</v>
      </c>
      <c r="AC129" s="18">
        <v>4724.973</v>
      </c>
      <c r="AD129" s="18">
        <v>4747.152</v>
      </c>
      <c r="AE129" s="18">
        <v>4769.0680000000002</v>
      </c>
      <c r="AF129" s="18">
        <v>4790.8980000000001</v>
      </c>
      <c r="AG129" s="18">
        <v>4812.3419999999996</v>
      </c>
      <c r="AH129" s="18">
        <v>4832.7719999999999</v>
      </c>
      <c r="AI129" s="18">
        <v>4852.1350000000002</v>
      </c>
      <c r="AJ129" s="18">
        <v>4870.6189999999997</v>
      </c>
      <c r="AK129" s="18">
        <v>4888.2</v>
      </c>
      <c r="AL129" s="18">
        <v>4904.643</v>
      </c>
      <c r="AM129" s="18">
        <v>4919.6790000000001</v>
      </c>
      <c r="AN129" s="18">
        <v>4933.2780000000002</v>
      </c>
      <c r="AO129" s="18">
        <v>4944.9210000000003</v>
      </c>
      <c r="AP129" s="18">
        <v>4954.2910000000002</v>
      </c>
      <c r="AQ129" s="18">
        <v>4961.4870000000001</v>
      </c>
      <c r="AR129" s="18">
        <v>4966.4920000000002</v>
      </c>
      <c r="AS129" s="18">
        <v>4968.799</v>
      </c>
      <c r="AT129" s="18">
        <v>4970.0540000000001</v>
      </c>
      <c r="AU129" s="18">
        <v>4970.9129999999996</v>
      </c>
      <c r="AV129" s="18">
        <v>4970.2280000000001</v>
      </c>
      <c r="AW129" s="18">
        <v>4966.4660000000003</v>
      </c>
      <c r="AX129" s="18">
        <v>4960.2579999999998</v>
      </c>
      <c r="AY129" s="18">
        <v>4948.05</v>
      </c>
      <c r="AZ129" s="18">
        <v>4928.0190000000002</v>
      </c>
      <c r="BA129" s="18">
        <v>4901.83</v>
      </c>
      <c r="BB129" s="18">
        <v>4874.5990000000002</v>
      </c>
      <c r="BC129" s="18">
        <v>4847.259</v>
      </c>
      <c r="BD129" s="18">
        <v>4812.5789999999997</v>
      </c>
      <c r="BE129" s="18">
        <v>4768.1099999999997</v>
      </c>
      <c r="BF129" s="18">
        <v>4718.2030000000004</v>
      </c>
      <c r="BG129" s="18">
        <v>4669.1000000000004</v>
      </c>
      <c r="BH129" s="18">
        <v>4618.8869999999997</v>
      </c>
      <c r="BI129" s="18">
        <v>4578.7629999999999</v>
      </c>
      <c r="BJ129" s="18">
        <v>4554.7359999999999</v>
      </c>
      <c r="BK129" s="18">
        <v>4541.8720000000003</v>
      </c>
      <c r="BL129" s="18">
        <v>4526.3220000000001</v>
      </c>
      <c r="BM129" s="18">
        <v>4507.3540000000003</v>
      </c>
      <c r="BN129" s="18">
        <v>4498.4009999999998</v>
      </c>
      <c r="BO129" s="18">
        <v>4503.6279999999997</v>
      </c>
      <c r="BP129" s="18">
        <v>4515.3950000000004</v>
      </c>
      <c r="BQ129" s="18">
        <v>4524.08</v>
      </c>
      <c r="BR129" s="18">
        <v>4534.2190000000001</v>
      </c>
      <c r="BS129" s="18">
        <v>4519.7749999999996</v>
      </c>
      <c r="BT129" s="18">
        <v>4467.6390000000001</v>
      </c>
      <c r="BU129" s="18">
        <v>4390.1819999999998</v>
      </c>
      <c r="BV129" s="18">
        <v>4312.2619999999997</v>
      </c>
      <c r="BW129" s="18">
        <v>4228.1660000000002</v>
      </c>
      <c r="BX129" s="18">
        <v>4148.9679999999998</v>
      </c>
      <c r="BY129" s="18">
        <v>4082.4430000000002</v>
      </c>
      <c r="BZ129" s="18">
        <v>4022.3739999999998</v>
      </c>
      <c r="CA129" s="18">
        <v>3951.6849999999999</v>
      </c>
      <c r="CB129" s="18">
        <v>3870.09</v>
      </c>
      <c r="CC129" s="18">
        <v>3792.0880000000002</v>
      </c>
      <c r="CD129" s="18">
        <v>3721.982</v>
      </c>
      <c r="CE129" s="18">
        <v>3651.7640000000001</v>
      </c>
      <c r="CF129" s="18">
        <v>3572.299</v>
      </c>
      <c r="CG129" s="18">
        <v>3489.232</v>
      </c>
      <c r="CH129" s="18">
        <v>3370.6149999999998</v>
      </c>
      <c r="CI129" s="18">
        <v>3200.8319999999999</v>
      </c>
      <c r="CJ129" s="18">
        <v>2995.596</v>
      </c>
      <c r="CK129" s="18">
        <v>2781.3739999999998</v>
      </c>
      <c r="CL129" s="18">
        <v>2586.8200000000002</v>
      </c>
      <c r="CM129" s="18">
        <v>2386.6489999999999</v>
      </c>
      <c r="CN129" s="18">
        <v>2151.8449999999998</v>
      </c>
      <c r="CO129" s="18">
        <v>1883.3040000000001</v>
      </c>
      <c r="CP129" s="18">
        <v>1650.26</v>
      </c>
      <c r="CQ129" s="18">
        <v>1501.289</v>
      </c>
      <c r="CR129" s="18">
        <v>1337.587</v>
      </c>
      <c r="CS129" s="18">
        <v>1120.835</v>
      </c>
      <c r="CT129" s="18">
        <v>851.03300000000002</v>
      </c>
      <c r="CU129" s="18">
        <v>744.00800000000004</v>
      </c>
      <c r="CV129" s="18">
        <v>587.096</v>
      </c>
      <c r="CW129" s="18">
        <v>400.76100000000002</v>
      </c>
      <c r="CX129" s="18">
        <v>942.15300000000002</v>
      </c>
      <c r="CY129" s="3">
        <f t="shared" si="11"/>
        <v>412144.64300000004</v>
      </c>
    </row>
    <row r="130" spans="1:103" customFormat="1">
      <c r="A130" s="15">
        <v>2078</v>
      </c>
      <c r="B130" s="18">
        <v>4332.24</v>
      </c>
      <c r="C130" s="18">
        <v>4346.4889999999996</v>
      </c>
      <c r="D130" s="18">
        <v>4356.99</v>
      </c>
      <c r="E130" s="18">
        <v>4351.018</v>
      </c>
      <c r="F130" s="18">
        <v>4359.393</v>
      </c>
      <c r="G130" s="18">
        <v>4365.54</v>
      </c>
      <c r="H130" s="18">
        <v>4370.0789999999997</v>
      </c>
      <c r="I130" s="18">
        <v>4373.6350000000002</v>
      </c>
      <c r="J130" s="18">
        <v>4376.402</v>
      </c>
      <c r="K130" s="18">
        <v>4378.58</v>
      </c>
      <c r="L130" s="18">
        <v>4382.9160000000002</v>
      </c>
      <c r="M130" s="18">
        <v>4390.884</v>
      </c>
      <c r="N130" s="18">
        <v>4401.8310000000001</v>
      </c>
      <c r="O130" s="18">
        <v>4413.1379999999999</v>
      </c>
      <c r="P130" s="18">
        <v>4424.7430000000004</v>
      </c>
      <c r="Q130" s="18">
        <v>4440.7039999999997</v>
      </c>
      <c r="R130" s="18">
        <v>4462.5929999999998</v>
      </c>
      <c r="S130" s="18">
        <v>4488.5429999999997</v>
      </c>
      <c r="T130" s="18">
        <v>4514.9539999999997</v>
      </c>
      <c r="U130" s="18">
        <v>4542.3429999999998</v>
      </c>
      <c r="V130" s="18">
        <v>4569.2950000000001</v>
      </c>
      <c r="W130" s="18">
        <v>4594.6719999999996</v>
      </c>
      <c r="X130" s="18">
        <v>4618.9530000000004</v>
      </c>
      <c r="Y130" s="18">
        <v>4643.8140000000003</v>
      </c>
      <c r="Z130" s="18">
        <v>4668.9920000000002</v>
      </c>
      <c r="AA130" s="18">
        <v>4692.8630000000003</v>
      </c>
      <c r="AB130" s="18">
        <v>4714.8069999999998</v>
      </c>
      <c r="AC130" s="18">
        <v>4735.3379999999997</v>
      </c>
      <c r="AD130" s="18">
        <v>4755.4859999999999</v>
      </c>
      <c r="AE130" s="18">
        <v>4774.924</v>
      </c>
      <c r="AF130" s="18">
        <v>4794.2879999999996</v>
      </c>
      <c r="AG130" s="18">
        <v>4813.9589999999998</v>
      </c>
      <c r="AH130" s="18">
        <v>4833.5150000000003</v>
      </c>
      <c r="AI130" s="18">
        <v>4851.9920000000002</v>
      </c>
      <c r="AJ130" s="18">
        <v>4869.3909999999996</v>
      </c>
      <c r="AK130" s="18">
        <v>4886.0649999999996</v>
      </c>
      <c r="AL130" s="18">
        <v>4902.0290000000005</v>
      </c>
      <c r="AM130" s="18">
        <v>4917.009</v>
      </c>
      <c r="AN130" s="18">
        <v>4930.6279999999997</v>
      </c>
      <c r="AO130" s="18">
        <v>4942.8680000000004</v>
      </c>
      <c r="AP130" s="18">
        <v>4953.223</v>
      </c>
      <c r="AQ130" s="18">
        <v>4961.3670000000002</v>
      </c>
      <c r="AR130" s="18">
        <v>4967.3869999999997</v>
      </c>
      <c r="AS130" s="18">
        <v>4971.2539999999999</v>
      </c>
      <c r="AT130" s="18">
        <v>4972.4539999999997</v>
      </c>
      <c r="AU130" s="18">
        <v>4972.6000000000004</v>
      </c>
      <c r="AV130" s="18">
        <v>4972.3180000000002</v>
      </c>
      <c r="AW130" s="18">
        <v>4970.4690000000001</v>
      </c>
      <c r="AX130" s="18">
        <v>4965.5569999999998</v>
      </c>
      <c r="AY130" s="18">
        <v>4958.21</v>
      </c>
      <c r="AZ130" s="18">
        <v>4944.8119999999999</v>
      </c>
      <c r="BA130" s="18">
        <v>4923.5190000000002</v>
      </c>
      <c r="BB130" s="18">
        <v>4896.0169999999998</v>
      </c>
      <c r="BC130" s="18">
        <v>4867.4650000000001</v>
      </c>
      <c r="BD130" s="18">
        <v>4838.7759999999998</v>
      </c>
      <c r="BE130" s="18">
        <v>4802.7849999999999</v>
      </c>
      <c r="BF130" s="18">
        <v>4757.0709999999999</v>
      </c>
      <c r="BG130" s="18">
        <v>4705.95</v>
      </c>
      <c r="BH130" s="18">
        <v>4655.5780000000004</v>
      </c>
      <c r="BI130" s="18">
        <v>4604.0290000000005</v>
      </c>
      <c r="BJ130" s="18">
        <v>4562.5739999999996</v>
      </c>
      <c r="BK130" s="18">
        <v>4537.2309999999998</v>
      </c>
      <c r="BL130" s="18">
        <v>4523.0259999999998</v>
      </c>
      <c r="BM130" s="18">
        <v>4506.0320000000002</v>
      </c>
      <c r="BN130" s="18">
        <v>4485.5200000000004</v>
      </c>
      <c r="BO130" s="18">
        <v>4474.8670000000002</v>
      </c>
      <c r="BP130" s="18">
        <v>4478.1980000000003</v>
      </c>
      <c r="BQ130" s="18">
        <v>4487.8810000000003</v>
      </c>
      <c r="BR130" s="18">
        <v>4494.2719999999999</v>
      </c>
      <c r="BS130" s="18">
        <v>4501.8370000000004</v>
      </c>
      <c r="BT130" s="18">
        <v>4484.7830000000004</v>
      </c>
      <c r="BU130" s="18">
        <v>4430.098</v>
      </c>
      <c r="BV130" s="18">
        <v>4349.9799999999996</v>
      </c>
      <c r="BW130" s="18">
        <v>4268.9769999999999</v>
      </c>
      <c r="BX130" s="18">
        <v>4181.3829999999998</v>
      </c>
      <c r="BY130" s="18">
        <v>4098.1530000000002</v>
      </c>
      <c r="BZ130" s="18">
        <v>4026.953</v>
      </c>
      <c r="CA130" s="18">
        <v>3961.567</v>
      </c>
      <c r="CB130" s="18">
        <v>3885.2440000000001</v>
      </c>
      <c r="CC130" s="18">
        <v>3797.8980000000001</v>
      </c>
      <c r="CD130" s="18">
        <v>3712.65</v>
      </c>
      <c r="CE130" s="18">
        <v>3633.2440000000001</v>
      </c>
      <c r="CF130" s="18">
        <v>3552.4090000000001</v>
      </c>
      <c r="CG130" s="18">
        <v>3462.5619999999999</v>
      </c>
      <c r="CH130" s="18">
        <v>3369.3389999999999</v>
      </c>
      <c r="CI130" s="18">
        <v>3240.5920000000001</v>
      </c>
      <c r="CJ130" s="18">
        <v>3060.864</v>
      </c>
      <c r="CK130" s="18">
        <v>2846.1770000000001</v>
      </c>
      <c r="CL130" s="18">
        <v>2619.5720000000001</v>
      </c>
      <c r="CM130" s="18">
        <v>2425.9920000000002</v>
      </c>
      <c r="CN130" s="18">
        <v>2228.2689999999998</v>
      </c>
      <c r="CO130" s="18">
        <v>1981.134</v>
      </c>
      <c r="CP130" s="18">
        <v>1685.183</v>
      </c>
      <c r="CQ130" s="18">
        <v>1452.2180000000001</v>
      </c>
      <c r="CR130" s="18">
        <v>1318.3820000000001</v>
      </c>
      <c r="CS130" s="18">
        <v>1163.2280000000001</v>
      </c>
      <c r="CT130" s="18">
        <v>961.20699999999999</v>
      </c>
      <c r="CU130" s="18">
        <v>712.32</v>
      </c>
      <c r="CV130" s="18">
        <v>604.35500000000002</v>
      </c>
      <c r="CW130" s="18">
        <v>411.27600000000001</v>
      </c>
      <c r="CX130" s="18">
        <v>961.35</v>
      </c>
      <c r="CY130" s="3">
        <f t="shared" si="11"/>
        <v>413183.54099999991</v>
      </c>
    </row>
    <row r="131" spans="1:103" customFormat="1">
      <c r="A131" s="15">
        <v>2079</v>
      </c>
      <c r="B131" s="18">
        <v>4338.2240000000002</v>
      </c>
      <c r="C131" s="18">
        <v>4350.2529999999997</v>
      </c>
      <c r="D131" s="18">
        <v>4358.9589999999998</v>
      </c>
      <c r="E131" s="18">
        <v>4364.915</v>
      </c>
      <c r="F131" s="18">
        <v>4360.8919999999998</v>
      </c>
      <c r="G131" s="18">
        <v>4365.3509999999997</v>
      </c>
      <c r="H131" s="18">
        <v>4368.5720000000001</v>
      </c>
      <c r="I131" s="18">
        <v>4371.1459999999997</v>
      </c>
      <c r="J131" s="18">
        <v>4373.6639999999998</v>
      </c>
      <c r="K131" s="18">
        <v>4376.1490000000003</v>
      </c>
      <c r="L131" s="18">
        <v>4378.6270000000004</v>
      </c>
      <c r="M131" s="18">
        <v>4384.5219999999999</v>
      </c>
      <c r="N131" s="18">
        <v>4395.5590000000002</v>
      </c>
      <c r="O131" s="18">
        <v>4410.6270000000004</v>
      </c>
      <c r="P131" s="18">
        <v>4426.2439999999997</v>
      </c>
      <c r="Q131" s="18">
        <v>4442.3239999999996</v>
      </c>
      <c r="R131" s="18">
        <v>4462.8320000000003</v>
      </c>
      <c r="S131" s="18">
        <v>4489.1419999999998</v>
      </c>
      <c r="T131" s="18">
        <v>4519.2520000000004</v>
      </c>
      <c r="U131" s="18">
        <v>4549.7389999999996</v>
      </c>
      <c r="V131" s="18">
        <v>4581.22</v>
      </c>
      <c r="W131" s="18">
        <v>4610.7359999999999</v>
      </c>
      <c r="X131" s="18">
        <v>4636.4399999999996</v>
      </c>
      <c r="Y131" s="18">
        <v>4659.4750000000004</v>
      </c>
      <c r="Z131" s="18">
        <v>4682.96</v>
      </c>
      <c r="AA131" s="18">
        <v>4706.4269999999997</v>
      </c>
      <c r="AB131" s="18">
        <v>4728.2969999999996</v>
      </c>
      <c r="AC131" s="18">
        <v>4748.1459999999997</v>
      </c>
      <c r="AD131" s="18">
        <v>4766.4759999999997</v>
      </c>
      <c r="AE131" s="18">
        <v>4784.1260000000002</v>
      </c>
      <c r="AF131" s="18">
        <v>4800.8159999999998</v>
      </c>
      <c r="AG131" s="18">
        <v>4817.6210000000001</v>
      </c>
      <c r="AH131" s="18">
        <v>4835.1270000000004</v>
      </c>
      <c r="AI131" s="18">
        <v>4852.7879999999996</v>
      </c>
      <c r="AJ131" s="18">
        <v>4869.3050000000003</v>
      </c>
      <c r="AK131" s="18">
        <v>4884.7330000000002</v>
      </c>
      <c r="AL131" s="18">
        <v>4899.5889999999999</v>
      </c>
      <c r="AM131" s="18">
        <v>4913.9319999999998</v>
      </c>
      <c r="AN131" s="18">
        <v>4927.4409999999998</v>
      </c>
      <c r="AO131" s="18">
        <v>4939.6409999999996</v>
      </c>
      <c r="AP131" s="18">
        <v>4950.518</v>
      </c>
      <c r="AQ131" s="18">
        <v>4959.58</v>
      </c>
      <c r="AR131" s="18">
        <v>4966.4960000000001</v>
      </c>
      <c r="AS131" s="18">
        <v>4971.3370000000004</v>
      </c>
      <c r="AT131" s="18">
        <v>4974.0630000000001</v>
      </c>
      <c r="AU131" s="18">
        <v>4974.1589999999997</v>
      </c>
      <c r="AV131" s="18">
        <v>4973.1940000000004</v>
      </c>
      <c r="AW131" s="18">
        <v>4971.7709999999997</v>
      </c>
      <c r="AX131" s="18">
        <v>4968.76</v>
      </c>
      <c r="AY131" s="18">
        <v>4962.7</v>
      </c>
      <c r="AZ131" s="18">
        <v>4954.2169999999996</v>
      </c>
      <c r="BA131" s="18">
        <v>4939.6369999999997</v>
      </c>
      <c r="BB131" s="18">
        <v>4917.0879999999997</v>
      </c>
      <c r="BC131" s="18">
        <v>4888.2860000000001</v>
      </c>
      <c r="BD131" s="18">
        <v>4858.424</v>
      </c>
      <c r="BE131" s="18">
        <v>4828.3980000000001</v>
      </c>
      <c r="BF131" s="18">
        <v>4791.1080000000002</v>
      </c>
      <c r="BG131" s="18">
        <v>4744.1679999999997</v>
      </c>
      <c r="BH131" s="18">
        <v>4691.8540000000003</v>
      </c>
      <c r="BI131" s="18">
        <v>4640.232</v>
      </c>
      <c r="BJ131" s="18">
        <v>4587.3689999999997</v>
      </c>
      <c r="BK131" s="18">
        <v>4544.5969999999998</v>
      </c>
      <c r="BL131" s="18">
        <v>4517.951</v>
      </c>
      <c r="BM131" s="18">
        <v>4502.4089999999997</v>
      </c>
      <c r="BN131" s="18">
        <v>4483.9790000000003</v>
      </c>
      <c r="BO131" s="18">
        <v>4461.9319999999998</v>
      </c>
      <c r="BP131" s="18">
        <v>4449.5820000000003</v>
      </c>
      <c r="BQ131" s="18">
        <v>4451.0159999999996</v>
      </c>
      <c r="BR131" s="18">
        <v>4458.6099999999997</v>
      </c>
      <c r="BS131" s="18">
        <v>4462.7070000000003</v>
      </c>
      <c r="BT131" s="18">
        <v>4467.6940000000004</v>
      </c>
      <c r="BU131" s="18">
        <v>4448.0389999999998</v>
      </c>
      <c r="BV131" s="18">
        <v>4390.826</v>
      </c>
      <c r="BW131" s="18">
        <v>4308.0780000000004</v>
      </c>
      <c r="BX131" s="18">
        <v>4224.0240000000003</v>
      </c>
      <c r="BY131" s="18">
        <v>4132.9669999999996</v>
      </c>
      <c r="BZ131" s="18">
        <v>4045.739</v>
      </c>
      <c r="CA131" s="18">
        <v>3969.8939999999998</v>
      </c>
      <c r="CB131" s="18">
        <v>3899.2190000000001</v>
      </c>
      <c r="CC131" s="18">
        <v>3817.2950000000001</v>
      </c>
      <c r="CD131" s="18">
        <v>3724.23</v>
      </c>
      <c r="CE131" s="18">
        <v>3631.7739999999999</v>
      </c>
      <c r="CF131" s="18">
        <v>3543.1</v>
      </c>
      <c r="CG131" s="18">
        <v>3451.6819999999998</v>
      </c>
      <c r="CH131" s="18">
        <v>3351.4920000000002</v>
      </c>
      <c r="CI131" s="18">
        <v>3248.1489999999999</v>
      </c>
      <c r="CJ131" s="18">
        <v>3109.326</v>
      </c>
      <c r="CK131" s="18">
        <v>2919.7249999999999</v>
      </c>
      <c r="CL131" s="18">
        <v>2695.674</v>
      </c>
      <c r="CM131" s="18">
        <v>2456.777</v>
      </c>
      <c r="CN131" s="18">
        <v>2264.248</v>
      </c>
      <c r="CO131" s="18">
        <v>2069.0509999999999</v>
      </c>
      <c r="CP131" s="18">
        <v>1809.684</v>
      </c>
      <c r="CQ131" s="18">
        <v>1486.4480000000001</v>
      </c>
      <c r="CR131" s="18">
        <v>1253.652</v>
      </c>
      <c r="CS131" s="18">
        <v>1135.001</v>
      </c>
      <c r="CT131" s="18">
        <v>988.45299999999997</v>
      </c>
      <c r="CU131" s="18">
        <v>801.23900000000003</v>
      </c>
      <c r="CV131" s="18">
        <v>573.36</v>
      </c>
      <c r="CW131" s="18">
        <v>422.49900000000002</v>
      </c>
      <c r="CX131" s="18">
        <v>982.65099999999995</v>
      </c>
      <c r="CY131" s="3">
        <f t="shared" si="11"/>
        <v>414200.42099999974</v>
      </c>
    </row>
    <row r="132" spans="1:103" customFormat="1">
      <c r="A132" s="15">
        <v>2080</v>
      </c>
      <c r="B132" s="18">
        <v>4342.6059999999998</v>
      </c>
      <c r="C132" s="18">
        <v>4352.7759999999998</v>
      </c>
      <c r="D132" s="18">
        <v>4359.9030000000002</v>
      </c>
      <c r="E132" s="18">
        <v>4364.5460000000003</v>
      </c>
      <c r="F132" s="18">
        <v>4367.2629999999999</v>
      </c>
      <c r="G132" s="18">
        <v>4368.616</v>
      </c>
      <c r="H132" s="18">
        <v>4369.1610000000001</v>
      </c>
      <c r="I132" s="18">
        <v>4369.4589999999998</v>
      </c>
      <c r="J132" s="18">
        <v>4370.0680000000002</v>
      </c>
      <c r="K132" s="18">
        <v>4371.549</v>
      </c>
      <c r="L132" s="18">
        <v>4373.7520000000004</v>
      </c>
      <c r="M132" s="18">
        <v>4376.5280000000002</v>
      </c>
      <c r="N132" s="18">
        <v>4383.9769999999999</v>
      </c>
      <c r="O132" s="18">
        <v>4398.0730000000003</v>
      </c>
      <c r="P132" s="18">
        <v>4417.2520000000004</v>
      </c>
      <c r="Q132" s="18">
        <v>4437.1639999999998</v>
      </c>
      <c r="R132" s="18">
        <v>4457.7060000000001</v>
      </c>
      <c r="S132" s="18">
        <v>4482.7449999999999</v>
      </c>
      <c r="T132" s="18">
        <v>4513.4579999999996</v>
      </c>
      <c r="U132" s="18">
        <v>4547.71</v>
      </c>
      <c r="V132" s="18">
        <v>4582.2520000000004</v>
      </c>
      <c r="W132" s="18">
        <v>4617.8040000000001</v>
      </c>
      <c r="X132" s="18">
        <v>4649.8670000000002</v>
      </c>
      <c r="Y132" s="18">
        <v>4675.8869999999997</v>
      </c>
      <c r="Z132" s="18">
        <v>4697.6660000000002</v>
      </c>
      <c r="AA132" s="18">
        <v>4719.7629999999999</v>
      </c>
      <c r="AB132" s="18">
        <v>4741.5110000000004</v>
      </c>
      <c r="AC132" s="18">
        <v>4761.3729999999996</v>
      </c>
      <c r="AD132" s="18">
        <v>4779.1180000000004</v>
      </c>
      <c r="AE132" s="18">
        <v>4795.2420000000002</v>
      </c>
      <c r="AF132" s="18">
        <v>4810.3869999999997</v>
      </c>
      <c r="AG132" s="18">
        <v>4824.3239999999996</v>
      </c>
      <c r="AH132" s="18">
        <v>4838.5649999999996</v>
      </c>
      <c r="AI132" s="18">
        <v>4853.8990000000003</v>
      </c>
      <c r="AJ132" s="18">
        <v>4869.6570000000002</v>
      </c>
      <c r="AK132" s="18">
        <v>4884.2070000000003</v>
      </c>
      <c r="AL132" s="18">
        <v>4897.66</v>
      </c>
      <c r="AM132" s="18">
        <v>4910.6930000000002</v>
      </c>
      <c r="AN132" s="18">
        <v>4923.4110000000001</v>
      </c>
      <c r="AO132" s="18">
        <v>4935.4449999999997</v>
      </c>
      <c r="AP132" s="18">
        <v>4946.2190000000001</v>
      </c>
      <c r="AQ132" s="18">
        <v>4955.7309999999998</v>
      </c>
      <c r="AR132" s="18">
        <v>4963.4970000000003</v>
      </c>
      <c r="AS132" s="18">
        <v>4969.1809999999996</v>
      </c>
      <c r="AT132" s="18">
        <v>4972.8410000000003</v>
      </c>
      <c r="AU132" s="18">
        <v>4974.4290000000001</v>
      </c>
      <c r="AV132" s="18">
        <v>4973.4210000000003</v>
      </c>
      <c r="AW132" s="18">
        <v>4971.3450000000003</v>
      </c>
      <c r="AX132" s="18">
        <v>4968.7849999999999</v>
      </c>
      <c r="AY132" s="18">
        <v>4964.6139999999996</v>
      </c>
      <c r="AZ132" s="18">
        <v>4957.4089999999997</v>
      </c>
      <c r="BA132" s="18">
        <v>4947.7960000000003</v>
      </c>
      <c r="BB132" s="18">
        <v>4932.0420000000004</v>
      </c>
      <c r="BC132" s="18">
        <v>4908.2520000000004</v>
      </c>
      <c r="BD132" s="18">
        <v>4878.1629999999996</v>
      </c>
      <c r="BE132" s="18">
        <v>4847.0069999999996</v>
      </c>
      <c r="BF132" s="18">
        <v>4815.6610000000001</v>
      </c>
      <c r="BG132" s="18">
        <v>4777.0910000000003</v>
      </c>
      <c r="BH132" s="18">
        <v>4728.9489999999996</v>
      </c>
      <c r="BI132" s="18">
        <v>4675.47</v>
      </c>
      <c r="BJ132" s="18">
        <v>4622.6239999999998</v>
      </c>
      <c r="BK132" s="18">
        <v>4568.4740000000002</v>
      </c>
      <c r="BL132" s="18">
        <v>4524.4089999999997</v>
      </c>
      <c r="BM132" s="18">
        <v>4496.473</v>
      </c>
      <c r="BN132" s="18">
        <v>4479.6040000000003</v>
      </c>
      <c r="BO132" s="18">
        <v>4459.7479999999996</v>
      </c>
      <c r="BP132" s="18">
        <v>4436.1779999999999</v>
      </c>
      <c r="BQ132" s="18">
        <v>4422.1409999999996</v>
      </c>
      <c r="BR132" s="18">
        <v>4421.6790000000001</v>
      </c>
      <c r="BS132" s="18">
        <v>4427.1819999999998</v>
      </c>
      <c r="BT132" s="18">
        <v>4428.9849999999997</v>
      </c>
      <c r="BU132" s="18">
        <v>4431.3940000000002</v>
      </c>
      <c r="BV132" s="18">
        <v>4409.1490000000003</v>
      </c>
      <c r="BW132" s="18">
        <v>4349.4409999999998</v>
      </c>
      <c r="BX132" s="18">
        <v>4264.107</v>
      </c>
      <c r="BY132" s="18">
        <v>4177.0450000000001</v>
      </c>
      <c r="BZ132" s="18">
        <v>4082.5749999999998</v>
      </c>
      <c r="CA132" s="18">
        <v>3991.395</v>
      </c>
      <c r="CB132" s="18">
        <v>3910.9479999999999</v>
      </c>
      <c r="CC132" s="18">
        <v>3835.0219999999999</v>
      </c>
      <c r="CD132" s="18">
        <v>3747.5430000000001</v>
      </c>
      <c r="CE132" s="18">
        <v>3648.8130000000001</v>
      </c>
      <c r="CF132" s="18">
        <v>3549.201</v>
      </c>
      <c r="CG132" s="18">
        <v>3451.3139999999999</v>
      </c>
      <c r="CH132" s="18">
        <v>3349.3690000000001</v>
      </c>
      <c r="CI132" s="18">
        <v>3238.8969999999999</v>
      </c>
      <c r="CJ132" s="18">
        <v>3125.4969999999998</v>
      </c>
      <c r="CK132" s="18">
        <v>2976.6759999999999</v>
      </c>
      <c r="CL132" s="18">
        <v>2777.3090000000002</v>
      </c>
      <c r="CM132" s="18">
        <v>2544.0140000000001</v>
      </c>
      <c r="CN132" s="18">
        <v>2292.9569999999999</v>
      </c>
      <c r="CO132" s="18">
        <v>2101.5709999999999</v>
      </c>
      <c r="CP132" s="18">
        <v>1908.992</v>
      </c>
      <c r="CQ132" s="18">
        <v>1637.5350000000001</v>
      </c>
      <c r="CR132" s="18">
        <v>1287.203</v>
      </c>
      <c r="CS132" s="18">
        <v>1054.692</v>
      </c>
      <c r="CT132" s="18">
        <v>951.26599999999996</v>
      </c>
      <c r="CU132" s="18">
        <v>813.38699999999994</v>
      </c>
      <c r="CV132" s="18">
        <v>641.05700000000002</v>
      </c>
      <c r="CW132" s="18">
        <v>434.27300000000002</v>
      </c>
      <c r="CX132" s="18">
        <v>1006.313</v>
      </c>
      <c r="CY132" s="3">
        <f t="shared" si="11"/>
        <v>415197.39799999999</v>
      </c>
    </row>
    <row r="133" spans="1:103" customFormat="1">
      <c r="A133" s="15">
        <v>2081</v>
      </c>
      <c r="B133" s="18">
        <v>4353.8130000000001</v>
      </c>
      <c r="C133" s="18">
        <v>4355.33</v>
      </c>
      <c r="D133" s="18">
        <v>4362.6350000000002</v>
      </c>
      <c r="E133" s="18">
        <v>4367.4939999999997</v>
      </c>
      <c r="F133" s="18">
        <v>4370.5010000000002</v>
      </c>
      <c r="G133" s="18">
        <v>4372.2489999999998</v>
      </c>
      <c r="H133" s="18">
        <v>4373.125</v>
      </c>
      <c r="I133" s="18">
        <v>4373.5159999999996</v>
      </c>
      <c r="J133" s="18">
        <v>4375.0469999999996</v>
      </c>
      <c r="K133" s="18">
        <v>4378.7259999999997</v>
      </c>
      <c r="L133" s="18">
        <v>4384.5280000000002</v>
      </c>
      <c r="M133" s="18">
        <v>4391.1080000000002</v>
      </c>
      <c r="N133" s="18">
        <v>4398.3639999999996</v>
      </c>
      <c r="O133" s="18">
        <v>4410.3710000000001</v>
      </c>
      <c r="P133" s="18">
        <v>4428.9089999999997</v>
      </c>
      <c r="Q133" s="18">
        <v>4452.2749999999996</v>
      </c>
      <c r="R133" s="18">
        <v>4476.29</v>
      </c>
      <c r="S133" s="18">
        <v>4500.9520000000002</v>
      </c>
      <c r="T133" s="18">
        <v>4528.5889999999999</v>
      </c>
      <c r="U133" s="18">
        <v>4559.67</v>
      </c>
      <c r="V133" s="18">
        <v>4592.7179999999998</v>
      </c>
      <c r="W133" s="18">
        <v>4625.9269999999997</v>
      </c>
      <c r="X133" s="18">
        <v>4659.8159999999998</v>
      </c>
      <c r="Y133" s="18">
        <v>4689.9219999999996</v>
      </c>
      <c r="Z133" s="18">
        <v>4713.884</v>
      </c>
      <c r="AA133" s="18">
        <v>4733.4979999999996</v>
      </c>
      <c r="AB133" s="18">
        <v>4753.1319999999996</v>
      </c>
      <c r="AC133" s="18">
        <v>4772.1679999999997</v>
      </c>
      <c r="AD133" s="18">
        <v>4789.5069999999996</v>
      </c>
      <c r="AE133" s="18">
        <v>4805.1170000000002</v>
      </c>
      <c r="AF133" s="18">
        <v>4819.3760000000002</v>
      </c>
      <c r="AG133" s="18">
        <v>4832.5910000000003</v>
      </c>
      <c r="AH133" s="18">
        <v>4844.5860000000002</v>
      </c>
      <c r="AI133" s="18">
        <v>4857.0370000000003</v>
      </c>
      <c r="AJ133" s="18">
        <v>4870.7740000000003</v>
      </c>
      <c r="AK133" s="18">
        <v>4885.0860000000002</v>
      </c>
      <c r="AL133" s="18">
        <v>4898.2380000000003</v>
      </c>
      <c r="AM133" s="18">
        <v>4910.3490000000002</v>
      </c>
      <c r="AN133" s="18">
        <v>4922.1109999999999</v>
      </c>
      <c r="AO133" s="18">
        <v>4933.62</v>
      </c>
      <c r="AP133" s="18">
        <v>4944.4939999999997</v>
      </c>
      <c r="AQ133" s="18">
        <v>4954.1469999999999</v>
      </c>
      <c r="AR133" s="18">
        <v>4962.567</v>
      </c>
      <c r="AS133" s="18">
        <v>4969.2420000000002</v>
      </c>
      <c r="AT133" s="18">
        <v>4973.8149999999996</v>
      </c>
      <c r="AU133" s="18">
        <v>4976.3459999999995</v>
      </c>
      <c r="AV133" s="18">
        <v>4976.8119999999999</v>
      </c>
      <c r="AW133" s="18">
        <v>4974.6959999999999</v>
      </c>
      <c r="AX133" s="18">
        <v>4971.4549999999999</v>
      </c>
      <c r="AY133" s="18">
        <v>4967.6390000000001</v>
      </c>
      <c r="AZ133" s="18">
        <v>4962.1540000000005</v>
      </c>
      <c r="BA133" s="18">
        <v>4953.6329999999998</v>
      </c>
      <c r="BB133" s="18">
        <v>4942.6909999999998</v>
      </c>
      <c r="BC133" s="18">
        <v>4925.616</v>
      </c>
      <c r="BD133" s="18">
        <v>4900.53</v>
      </c>
      <c r="BE133" s="18">
        <v>4869.1589999999997</v>
      </c>
      <c r="BF133" s="18">
        <v>4836.6809999999996</v>
      </c>
      <c r="BG133" s="18">
        <v>4803.9549999999999</v>
      </c>
      <c r="BH133" s="18">
        <v>4764.0749999999998</v>
      </c>
      <c r="BI133" s="18">
        <v>4714.7389999999996</v>
      </c>
      <c r="BJ133" s="18">
        <v>4660.1099999999997</v>
      </c>
      <c r="BK133" s="18">
        <v>4605.9970000000003</v>
      </c>
      <c r="BL133" s="18">
        <v>4550.45</v>
      </c>
      <c r="BM133" s="18">
        <v>4504.9229999999998</v>
      </c>
      <c r="BN133" s="18">
        <v>4475.4629999999997</v>
      </c>
      <c r="BO133" s="18">
        <v>4456.942</v>
      </c>
      <c r="BP133" s="18">
        <v>4435.223</v>
      </c>
      <c r="BQ133" s="18">
        <v>4409.5709999999999</v>
      </c>
      <c r="BR133" s="18">
        <v>4393.1130000000003</v>
      </c>
      <c r="BS133" s="18">
        <v>4389.8119999999999</v>
      </c>
      <c r="BT133" s="18">
        <v>4392.0789999999997</v>
      </c>
      <c r="BU133" s="18">
        <v>4390.2929999999997</v>
      </c>
      <c r="BV133" s="18">
        <v>4388.6859999999997</v>
      </c>
      <c r="BW133" s="18">
        <v>4362.1379999999999</v>
      </c>
      <c r="BX133" s="18">
        <v>4297.8950000000004</v>
      </c>
      <c r="BY133" s="18">
        <v>4207.6679999999997</v>
      </c>
      <c r="BZ133" s="18">
        <v>4115.2219999999998</v>
      </c>
      <c r="CA133" s="18">
        <v>4014.9630000000002</v>
      </c>
      <c r="CB133" s="18">
        <v>3917.0549999999998</v>
      </c>
      <c r="CC133" s="18">
        <v>3828.672</v>
      </c>
      <c r="CD133" s="18">
        <v>3743.8629999999998</v>
      </c>
      <c r="CE133" s="18">
        <v>3647.52</v>
      </c>
      <c r="CF133" s="18">
        <v>3540.288</v>
      </c>
      <c r="CG133" s="18">
        <v>3430.4929999999999</v>
      </c>
      <c r="CH133" s="18">
        <v>3319.998</v>
      </c>
      <c r="CI133" s="18">
        <v>3204.26</v>
      </c>
      <c r="CJ133" s="18">
        <v>3078.3440000000001</v>
      </c>
      <c r="CK133" s="18">
        <v>2965.0259999999998</v>
      </c>
      <c r="CL133" s="18">
        <v>2809.8429999999998</v>
      </c>
      <c r="CM133" s="18">
        <v>2593.855</v>
      </c>
      <c r="CN133" s="18">
        <v>2330.364</v>
      </c>
      <c r="CO133" s="18">
        <v>2076.8879999999999</v>
      </c>
      <c r="CP133" s="18">
        <v>1901.556</v>
      </c>
      <c r="CQ133" s="18">
        <v>1716.6369999999999</v>
      </c>
      <c r="CR133" s="18">
        <v>1459.9459999999999</v>
      </c>
      <c r="CS133" s="18">
        <v>1131.48</v>
      </c>
      <c r="CT133" s="18">
        <v>980.18299999999999</v>
      </c>
      <c r="CU133" s="18">
        <v>838.63800000000003</v>
      </c>
      <c r="CV133" s="18">
        <v>661.02599999999995</v>
      </c>
      <c r="CW133" s="18">
        <v>447.34699999999998</v>
      </c>
      <c r="CX133" s="18">
        <v>1034.4780000000001</v>
      </c>
      <c r="CY133" s="3">
        <f t="shared" si="11"/>
        <v>416175.70299999998</v>
      </c>
    </row>
    <row r="134" spans="1:103" customFormat="1">
      <c r="A134" s="15">
        <v>2082</v>
      </c>
      <c r="B134" s="18">
        <v>4364.5550000000003</v>
      </c>
      <c r="C134" s="18">
        <v>4372.2979999999998</v>
      </c>
      <c r="D134" s="18">
        <v>4367.0720000000001</v>
      </c>
      <c r="E134" s="18">
        <v>4371.5069999999996</v>
      </c>
      <c r="F134" s="18">
        <v>4374.0940000000001</v>
      </c>
      <c r="G134" s="18">
        <v>4375.4629999999997</v>
      </c>
      <c r="H134" s="18">
        <v>4376.24</v>
      </c>
      <c r="I134" s="18">
        <v>4376.6390000000001</v>
      </c>
      <c r="J134" s="18">
        <v>4376.8739999999998</v>
      </c>
      <c r="K134" s="18">
        <v>4379.6409999999996</v>
      </c>
      <c r="L134" s="18">
        <v>4386.393</v>
      </c>
      <c r="M134" s="18">
        <v>4396.5190000000002</v>
      </c>
      <c r="N134" s="18">
        <v>4407.4790000000003</v>
      </c>
      <c r="O134" s="18">
        <v>4419.2179999999998</v>
      </c>
      <c r="P134" s="18">
        <v>4435.7860000000001</v>
      </c>
      <c r="Q134" s="18">
        <v>4458.7659999999996</v>
      </c>
      <c r="R134" s="18">
        <v>4486.317</v>
      </c>
      <c r="S134" s="18">
        <v>4514.4350000000004</v>
      </c>
      <c r="T134" s="18">
        <v>4543.2150000000001</v>
      </c>
      <c r="U134" s="18">
        <v>4573.4480000000003</v>
      </c>
      <c r="V134" s="18">
        <v>4604.8879999999999</v>
      </c>
      <c r="W134" s="18">
        <v>4636.7250000000004</v>
      </c>
      <c r="X134" s="18">
        <v>4668.5910000000003</v>
      </c>
      <c r="Y134" s="18">
        <v>4700.8059999999996</v>
      </c>
      <c r="Z134" s="18">
        <v>4728.9459999999999</v>
      </c>
      <c r="AA134" s="18">
        <v>4750.8440000000001</v>
      </c>
      <c r="AB134" s="18">
        <v>4768.2870000000003</v>
      </c>
      <c r="AC134" s="18">
        <v>4785.451</v>
      </c>
      <c r="AD134" s="18">
        <v>4801.768</v>
      </c>
      <c r="AE134" s="18">
        <v>4816.5749999999998</v>
      </c>
      <c r="AF134" s="18">
        <v>4830.0460000000003</v>
      </c>
      <c r="AG134" s="18">
        <v>4842.4359999999997</v>
      </c>
      <c r="AH134" s="18">
        <v>4853.7139999999999</v>
      </c>
      <c r="AI134" s="18">
        <v>4863.7619999999997</v>
      </c>
      <c r="AJ134" s="18">
        <v>4874.4179999999997</v>
      </c>
      <c r="AK134" s="18">
        <v>4886.5540000000001</v>
      </c>
      <c r="AL134" s="18">
        <v>4899.4139999999998</v>
      </c>
      <c r="AM134" s="18">
        <v>4911.1639999999998</v>
      </c>
      <c r="AN134" s="18">
        <v>4921.93</v>
      </c>
      <c r="AO134" s="18">
        <v>4932.4160000000002</v>
      </c>
      <c r="AP134" s="18">
        <v>4942.7120000000004</v>
      </c>
      <c r="AQ134" s="18">
        <v>4952.4229999999998</v>
      </c>
      <c r="AR134" s="18">
        <v>4960.9489999999996</v>
      </c>
      <c r="AS134" s="18">
        <v>4968.2759999999998</v>
      </c>
      <c r="AT134" s="18">
        <v>4973.857</v>
      </c>
      <c r="AU134" s="18">
        <v>4977.3159999999998</v>
      </c>
      <c r="AV134" s="18">
        <v>4978.7150000000001</v>
      </c>
      <c r="AW134" s="18">
        <v>4978.0619999999999</v>
      </c>
      <c r="AX134" s="18">
        <v>4974.835</v>
      </c>
      <c r="AY134" s="18">
        <v>4970.4269999999997</v>
      </c>
      <c r="AZ134" s="18">
        <v>4965.3549999999996</v>
      </c>
      <c r="BA134" s="18">
        <v>4958.5550000000003</v>
      </c>
      <c r="BB134" s="18">
        <v>4948.7190000000001</v>
      </c>
      <c r="BC134" s="18">
        <v>4936.4489999999996</v>
      </c>
      <c r="BD134" s="18">
        <v>4918.0559999999996</v>
      </c>
      <c r="BE134" s="18">
        <v>4891.6790000000001</v>
      </c>
      <c r="BF134" s="18">
        <v>4859.0320000000002</v>
      </c>
      <c r="BG134" s="18">
        <v>4825.24</v>
      </c>
      <c r="BH134" s="18">
        <v>4791.1379999999999</v>
      </c>
      <c r="BI134" s="18">
        <v>4749.9539999999997</v>
      </c>
      <c r="BJ134" s="18">
        <v>4699.4350000000004</v>
      </c>
      <c r="BK134" s="18">
        <v>4643.6670000000004</v>
      </c>
      <c r="BL134" s="18">
        <v>4588.299</v>
      </c>
      <c r="BM134" s="18">
        <v>4531.3649999999998</v>
      </c>
      <c r="BN134" s="18">
        <v>4484.3860000000004</v>
      </c>
      <c r="BO134" s="18">
        <v>4453.4059999999999</v>
      </c>
      <c r="BP134" s="18">
        <v>4433.2370000000001</v>
      </c>
      <c r="BQ134" s="18">
        <v>4409.6559999999999</v>
      </c>
      <c r="BR134" s="18">
        <v>4381.9260000000004</v>
      </c>
      <c r="BS134" s="18">
        <v>4363.0479999999998</v>
      </c>
      <c r="BT134" s="18">
        <v>4356.9059999999999</v>
      </c>
      <c r="BU134" s="18">
        <v>4355.9350000000004</v>
      </c>
      <c r="BV134" s="18">
        <v>4350.5550000000003</v>
      </c>
      <c r="BW134" s="18">
        <v>4344.9279999999999</v>
      </c>
      <c r="BX134" s="18">
        <v>4314.0789999999997</v>
      </c>
      <c r="BY134" s="18">
        <v>4245.3100000000004</v>
      </c>
      <c r="BZ134" s="18">
        <v>4150.2049999999999</v>
      </c>
      <c r="CA134" s="18">
        <v>4052.39</v>
      </c>
      <c r="CB134" s="18">
        <v>3946.3620000000001</v>
      </c>
      <c r="CC134" s="18">
        <v>3841.7370000000001</v>
      </c>
      <c r="CD134" s="18">
        <v>3745.431</v>
      </c>
      <c r="CE134" s="18">
        <v>3651.75</v>
      </c>
      <c r="CF134" s="18">
        <v>3546.5549999999998</v>
      </c>
      <c r="CG134" s="18">
        <v>3430.837</v>
      </c>
      <c r="CH134" s="18">
        <v>3310.8739999999998</v>
      </c>
      <c r="CI134" s="18">
        <v>3187.7820000000002</v>
      </c>
      <c r="CJ134" s="18">
        <v>3058.2620000000002</v>
      </c>
      <c r="CK134" s="18">
        <v>2916.9160000000002</v>
      </c>
      <c r="CL134" s="18">
        <v>2803.703</v>
      </c>
      <c r="CM134" s="18">
        <v>2642.1880000000001</v>
      </c>
      <c r="CN134" s="18">
        <v>2409.6109999999999</v>
      </c>
      <c r="CO134" s="18">
        <v>2115.9520000000002</v>
      </c>
      <c r="CP134" s="18">
        <v>1860.1130000000001</v>
      </c>
      <c r="CQ134" s="18">
        <v>1700.8910000000001</v>
      </c>
      <c r="CR134" s="18">
        <v>1523.683</v>
      </c>
      <c r="CS134" s="18">
        <v>1281.83</v>
      </c>
      <c r="CT134" s="18">
        <v>975.33100000000002</v>
      </c>
      <c r="CU134" s="18">
        <v>864.00400000000002</v>
      </c>
      <c r="CV134" s="18">
        <v>681.26800000000003</v>
      </c>
      <c r="CW134" s="18">
        <v>460.95</v>
      </c>
      <c r="CX134" s="18">
        <v>1065.3209999999999</v>
      </c>
      <c r="CY134" s="3">
        <f t="shared" si="11"/>
        <v>417136.52700000018</v>
      </c>
    </row>
    <row r="135" spans="1:103" customFormat="1">
      <c r="A135" s="15">
        <v>2083</v>
      </c>
      <c r="B135" s="18">
        <v>4374.1580000000004</v>
      </c>
      <c r="C135" s="18">
        <v>4381.2790000000005</v>
      </c>
      <c r="D135" s="18">
        <v>4385.259</v>
      </c>
      <c r="E135" s="18">
        <v>4377.4340000000002</v>
      </c>
      <c r="F135" s="18">
        <v>4378.9960000000001</v>
      </c>
      <c r="G135" s="18">
        <v>4379.3100000000004</v>
      </c>
      <c r="H135" s="18">
        <v>4379.0389999999998</v>
      </c>
      <c r="I135" s="18">
        <v>4378.8440000000001</v>
      </c>
      <c r="J135" s="18">
        <v>4378.7659999999996</v>
      </c>
      <c r="K135" s="18">
        <v>4378.8459999999995</v>
      </c>
      <c r="L135" s="18">
        <v>4382.848</v>
      </c>
      <c r="M135" s="18">
        <v>4392.6729999999998</v>
      </c>
      <c r="N135" s="18">
        <v>4407.1210000000001</v>
      </c>
      <c r="O135" s="18">
        <v>4422.4610000000002</v>
      </c>
      <c r="P135" s="18">
        <v>4438.6809999999996</v>
      </c>
      <c r="Q135" s="18">
        <v>4459.8059999999996</v>
      </c>
      <c r="R135" s="18">
        <v>4487.223</v>
      </c>
      <c r="S135" s="18">
        <v>4518.9549999999999</v>
      </c>
      <c r="T135" s="18">
        <v>4551.1670000000004</v>
      </c>
      <c r="U135" s="18">
        <v>4584.0590000000002</v>
      </c>
      <c r="V135" s="18">
        <v>4616.8770000000004</v>
      </c>
      <c r="W135" s="18">
        <v>4648.67</v>
      </c>
      <c r="X135" s="18">
        <v>4679.2830000000004</v>
      </c>
      <c r="Y135" s="18">
        <v>4709.7960000000003</v>
      </c>
      <c r="Z135" s="18">
        <v>4740.326</v>
      </c>
      <c r="AA135" s="18">
        <v>4766.49</v>
      </c>
      <c r="AB135" s="18">
        <v>4786.3140000000003</v>
      </c>
      <c r="AC135" s="18">
        <v>4801.58</v>
      </c>
      <c r="AD135" s="18">
        <v>4816.268</v>
      </c>
      <c r="AE135" s="18">
        <v>4829.8590000000004</v>
      </c>
      <c r="AF135" s="18">
        <v>4842.1279999999997</v>
      </c>
      <c r="AG135" s="18">
        <v>4853.4560000000001</v>
      </c>
      <c r="AH135" s="18">
        <v>4863.97</v>
      </c>
      <c r="AI135" s="18">
        <v>4873.3069999999998</v>
      </c>
      <c r="AJ135" s="18">
        <v>4881.4059999999999</v>
      </c>
      <c r="AK135" s="18">
        <v>4890.2610000000004</v>
      </c>
      <c r="AL135" s="18">
        <v>4900.7910000000002</v>
      </c>
      <c r="AM135" s="18">
        <v>4912.1940000000004</v>
      </c>
      <c r="AN135" s="18">
        <v>4922.5379999999996</v>
      </c>
      <c r="AO135" s="18">
        <v>4931.9530000000004</v>
      </c>
      <c r="AP135" s="18">
        <v>4941.1610000000001</v>
      </c>
      <c r="AQ135" s="18">
        <v>4950.2389999999996</v>
      </c>
      <c r="AR135" s="18">
        <v>4958.7830000000004</v>
      </c>
      <c r="AS135" s="18">
        <v>4966.1809999999996</v>
      </c>
      <c r="AT135" s="18">
        <v>4972.4110000000001</v>
      </c>
      <c r="AU135" s="18">
        <v>4976.8959999999997</v>
      </c>
      <c r="AV135" s="18">
        <v>4979.2389999999996</v>
      </c>
      <c r="AW135" s="18">
        <v>4979.5039999999999</v>
      </c>
      <c r="AX135" s="18">
        <v>4977.7299999999996</v>
      </c>
      <c r="AY135" s="18">
        <v>4973.3959999999997</v>
      </c>
      <c r="AZ135" s="18">
        <v>4967.8190000000004</v>
      </c>
      <c r="BA135" s="18">
        <v>4961.4939999999997</v>
      </c>
      <c r="BB135" s="18">
        <v>4953.38</v>
      </c>
      <c r="BC135" s="18">
        <v>4942.232</v>
      </c>
      <c r="BD135" s="18">
        <v>4928.6369999999997</v>
      </c>
      <c r="BE135" s="18">
        <v>4908.9309999999996</v>
      </c>
      <c r="BF135" s="18">
        <v>4881.2709999999997</v>
      </c>
      <c r="BG135" s="18">
        <v>4847.357</v>
      </c>
      <c r="BH135" s="18">
        <v>4812.259</v>
      </c>
      <c r="BI135" s="18">
        <v>4776.7939999999999</v>
      </c>
      <c r="BJ135" s="18">
        <v>4734.3180000000002</v>
      </c>
      <c r="BK135" s="18">
        <v>4682.63</v>
      </c>
      <c r="BL135" s="18">
        <v>4625.74</v>
      </c>
      <c r="BM135" s="18">
        <v>4569.1329999999998</v>
      </c>
      <c r="BN135" s="18">
        <v>4510.8310000000001</v>
      </c>
      <c r="BO135" s="18">
        <v>4462.4129999999996</v>
      </c>
      <c r="BP135" s="18">
        <v>4429.9229999999998</v>
      </c>
      <c r="BQ135" s="18">
        <v>4408.1099999999997</v>
      </c>
      <c r="BR135" s="18">
        <v>4382.6750000000002</v>
      </c>
      <c r="BS135" s="18">
        <v>4352.875</v>
      </c>
      <c r="BT135" s="18">
        <v>4331.5820000000003</v>
      </c>
      <c r="BU135" s="18">
        <v>4322.5990000000002</v>
      </c>
      <c r="BV135" s="18">
        <v>4318.3860000000004</v>
      </c>
      <c r="BW135" s="18">
        <v>4309.4129999999996</v>
      </c>
      <c r="BX135" s="18">
        <v>4299.7650000000003</v>
      </c>
      <c r="BY135" s="18">
        <v>4264.6220000000003</v>
      </c>
      <c r="BZ135" s="18">
        <v>4191.348</v>
      </c>
      <c r="CA135" s="18">
        <v>4091.3919999999998</v>
      </c>
      <c r="CB135" s="18">
        <v>3988.2370000000001</v>
      </c>
      <c r="CC135" s="18">
        <v>3876.4679999999998</v>
      </c>
      <c r="CD135" s="18">
        <v>3765.1579999999999</v>
      </c>
      <c r="CE135" s="18">
        <v>3660.9560000000001</v>
      </c>
      <c r="CF135" s="18">
        <v>3558.4259999999999</v>
      </c>
      <c r="CG135" s="18">
        <v>3444.4090000000001</v>
      </c>
      <c r="CH135" s="18">
        <v>3320.2359999999999</v>
      </c>
      <c r="CI135" s="18">
        <v>3190.1379999999999</v>
      </c>
      <c r="CJ135" s="18">
        <v>3054.4810000000002</v>
      </c>
      <c r="CK135" s="18">
        <v>2911.2139999999999</v>
      </c>
      <c r="CL135" s="18">
        <v>2754.473</v>
      </c>
      <c r="CM135" s="18">
        <v>2641.4029999999998</v>
      </c>
      <c r="CN135" s="18">
        <v>2473.6030000000001</v>
      </c>
      <c r="CO135" s="18">
        <v>2224.5010000000002</v>
      </c>
      <c r="CP135" s="18">
        <v>1900.7529999999999</v>
      </c>
      <c r="CQ135" s="18">
        <v>1642.63</v>
      </c>
      <c r="CR135" s="18">
        <v>1499.577</v>
      </c>
      <c r="CS135" s="18">
        <v>1330.1410000000001</v>
      </c>
      <c r="CT135" s="18">
        <v>1103.212</v>
      </c>
      <c r="CU135" s="18">
        <v>818.78899999999999</v>
      </c>
      <c r="CV135" s="18">
        <v>701.87800000000004</v>
      </c>
      <c r="CW135" s="18">
        <v>475.07900000000001</v>
      </c>
      <c r="CX135" s="18">
        <v>1098.4590000000001</v>
      </c>
      <c r="CY135" s="3">
        <f t="shared" si="11"/>
        <v>418082.08199999994</v>
      </c>
    </row>
    <row r="136" spans="1:103" customFormat="1">
      <c r="A136" s="15">
        <v>2084</v>
      </c>
      <c r="B136" s="18">
        <v>4381.8450000000003</v>
      </c>
      <c r="C136" s="18">
        <v>4388.7219999999998</v>
      </c>
      <c r="D136" s="18">
        <v>4392.2110000000002</v>
      </c>
      <c r="E136" s="18">
        <v>4392.9930000000004</v>
      </c>
      <c r="F136" s="18">
        <v>4385.9679999999998</v>
      </c>
      <c r="G136" s="18">
        <v>4384.6559999999999</v>
      </c>
      <c r="H136" s="18">
        <v>4382.6970000000001</v>
      </c>
      <c r="I136" s="18">
        <v>4380.7870000000003</v>
      </c>
      <c r="J136" s="18">
        <v>4379.62</v>
      </c>
      <c r="K136" s="18">
        <v>4379.0659999999998</v>
      </c>
      <c r="L136" s="18">
        <v>4378.991</v>
      </c>
      <c r="M136" s="18">
        <v>4384.2259999999997</v>
      </c>
      <c r="N136" s="18">
        <v>4397.1170000000002</v>
      </c>
      <c r="O136" s="18">
        <v>4415.8810000000003</v>
      </c>
      <c r="P136" s="18">
        <v>4435.5929999999998</v>
      </c>
      <c r="Q136" s="18">
        <v>4456.2870000000003</v>
      </c>
      <c r="R136" s="18">
        <v>4481.96</v>
      </c>
      <c r="S136" s="18">
        <v>4513.8010000000004</v>
      </c>
      <c r="T136" s="18">
        <v>4549.6970000000001</v>
      </c>
      <c r="U136" s="18">
        <v>4585.991</v>
      </c>
      <c r="V136" s="18">
        <v>4622.9809999999998</v>
      </c>
      <c r="W136" s="18">
        <v>4658.37</v>
      </c>
      <c r="X136" s="18">
        <v>4690.4989999999998</v>
      </c>
      <c r="Y136" s="18">
        <v>4719.8779999999997</v>
      </c>
      <c r="Z136" s="18">
        <v>4749.0240000000003</v>
      </c>
      <c r="AA136" s="18">
        <v>4777.8580000000002</v>
      </c>
      <c r="AB136" s="18">
        <v>4802.0360000000001</v>
      </c>
      <c r="AC136" s="18">
        <v>4819.7790000000005</v>
      </c>
      <c r="AD136" s="18">
        <v>4832.8599999999997</v>
      </c>
      <c r="AE136" s="18">
        <v>4845.067</v>
      </c>
      <c r="AF136" s="18">
        <v>4855.9269999999997</v>
      </c>
      <c r="AG136" s="18">
        <v>4865.6540000000005</v>
      </c>
      <c r="AH136" s="18">
        <v>4874.8320000000003</v>
      </c>
      <c r="AI136" s="18">
        <v>4883.4669999999996</v>
      </c>
      <c r="AJ136" s="18">
        <v>4890.8609999999999</v>
      </c>
      <c r="AK136" s="18">
        <v>4897.0060000000003</v>
      </c>
      <c r="AL136" s="18">
        <v>4904.058</v>
      </c>
      <c r="AM136" s="18">
        <v>4912.9780000000001</v>
      </c>
      <c r="AN136" s="18">
        <v>4922.92</v>
      </c>
      <c r="AO136" s="18">
        <v>4931.8519999999999</v>
      </c>
      <c r="AP136" s="18">
        <v>4939.915</v>
      </c>
      <c r="AQ136" s="18">
        <v>4947.8389999999999</v>
      </c>
      <c r="AR136" s="18">
        <v>4955.6980000000003</v>
      </c>
      <c r="AS136" s="18">
        <v>4963.0709999999999</v>
      </c>
      <c r="AT136" s="18">
        <v>4969.3360000000002</v>
      </c>
      <c r="AU136" s="18">
        <v>4974.4660000000003</v>
      </c>
      <c r="AV136" s="18">
        <v>4977.8549999999996</v>
      </c>
      <c r="AW136" s="18">
        <v>4979.0810000000001</v>
      </c>
      <c r="AX136" s="18">
        <v>4978.2150000000001</v>
      </c>
      <c r="AY136" s="18">
        <v>4975.3190000000004</v>
      </c>
      <c r="AZ136" s="18">
        <v>4969.8770000000004</v>
      </c>
      <c r="BA136" s="18">
        <v>4963.1369999999997</v>
      </c>
      <c r="BB136" s="18">
        <v>4955.5600000000004</v>
      </c>
      <c r="BC136" s="18">
        <v>4946.1369999999997</v>
      </c>
      <c r="BD136" s="18">
        <v>4933.6809999999996</v>
      </c>
      <c r="BE136" s="18">
        <v>4918.7669999999998</v>
      </c>
      <c r="BF136" s="18">
        <v>4897.7560000000003</v>
      </c>
      <c r="BG136" s="18">
        <v>4868.8239999999996</v>
      </c>
      <c r="BH136" s="18">
        <v>4833.6580000000004</v>
      </c>
      <c r="BI136" s="18">
        <v>4797.2690000000002</v>
      </c>
      <c r="BJ136" s="18">
        <v>4760.4539999999997</v>
      </c>
      <c r="BK136" s="18">
        <v>4716.7060000000001</v>
      </c>
      <c r="BL136" s="18">
        <v>4663.8710000000001</v>
      </c>
      <c r="BM136" s="18">
        <v>4605.884</v>
      </c>
      <c r="BN136" s="18">
        <v>4548.0609999999997</v>
      </c>
      <c r="BO136" s="18">
        <v>4488.415</v>
      </c>
      <c r="BP136" s="18">
        <v>4438.5780000000004</v>
      </c>
      <c r="BQ136" s="18">
        <v>4404.5919999999996</v>
      </c>
      <c r="BR136" s="18">
        <v>4381.1450000000004</v>
      </c>
      <c r="BS136" s="18">
        <v>4353.866</v>
      </c>
      <c r="BT136" s="18">
        <v>4322.009</v>
      </c>
      <c r="BU136" s="18">
        <v>4298.3100000000004</v>
      </c>
      <c r="BV136" s="18">
        <v>4286.49</v>
      </c>
      <c r="BW136" s="18">
        <v>4279.0389999999998</v>
      </c>
      <c r="BX136" s="18">
        <v>4266.4769999999999</v>
      </c>
      <c r="BY136" s="18">
        <v>4252.8119999999999</v>
      </c>
      <c r="BZ136" s="18">
        <v>4213.3900000000003</v>
      </c>
      <c r="CA136" s="18">
        <v>4135.6419999999998</v>
      </c>
      <c r="CB136" s="18">
        <v>4030.877</v>
      </c>
      <c r="CC136" s="18">
        <v>3922.4270000000001</v>
      </c>
      <c r="CD136" s="18">
        <v>3804.9650000000001</v>
      </c>
      <c r="CE136" s="18">
        <v>3687.018</v>
      </c>
      <c r="CF136" s="18">
        <v>3574.9630000000002</v>
      </c>
      <c r="CG136" s="18">
        <v>3463.6309999999999</v>
      </c>
      <c r="CH136" s="18">
        <v>3340.8409999999999</v>
      </c>
      <c r="CI136" s="18">
        <v>3208.2669999999998</v>
      </c>
      <c r="CJ136" s="18">
        <v>3068.09</v>
      </c>
      <c r="CK136" s="18">
        <v>2919.9270000000001</v>
      </c>
      <c r="CL136" s="18">
        <v>2762.9760000000001</v>
      </c>
      <c r="CM136" s="18">
        <v>2590.9079999999999</v>
      </c>
      <c r="CN136" s="18">
        <v>2478.0279999999998</v>
      </c>
      <c r="CO136" s="18">
        <v>2304.0160000000001</v>
      </c>
      <c r="CP136" s="18">
        <v>2038.498</v>
      </c>
      <c r="CQ136" s="18">
        <v>1684.8</v>
      </c>
      <c r="CR136" s="18">
        <v>1424.5029999999999</v>
      </c>
      <c r="CS136" s="18">
        <v>1297.6769999999999</v>
      </c>
      <c r="CT136" s="18">
        <v>1136.0820000000001</v>
      </c>
      <c r="CU136" s="18">
        <v>924.16800000000001</v>
      </c>
      <c r="CV136" s="18">
        <v>661.93499999999995</v>
      </c>
      <c r="CW136" s="18">
        <v>489.75900000000001</v>
      </c>
      <c r="CX136" s="18">
        <v>1133.326</v>
      </c>
      <c r="CY136" s="3">
        <f t="shared" si="11"/>
        <v>419014.9000000002</v>
      </c>
    </row>
    <row r="137" spans="1:103" customFormat="1">
      <c r="A137" s="15">
        <v>2085</v>
      </c>
      <c r="B137" s="18">
        <v>4386.87</v>
      </c>
      <c r="C137" s="18">
        <v>4393.8500000000004</v>
      </c>
      <c r="D137" s="18">
        <v>4397.1419999999998</v>
      </c>
      <c r="E137" s="18">
        <v>4397.473</v>
      </c>
      <c r="F137" s="18">
        <v>4395.5720000000001</v>
      </c>
      <c r="G137" s="18">
        <v>4392.1670000000004</v>
      </c>
      <c r="H137" s="18">
        <v>4387.9859999999999</v>
      </c>
      <c r="I137" s="18">
        <v>4383.7579999999998</v>
      </c>
      <c r="J137" s="18">
        <v>4380.2120000000004</v>
      </c>
      <c r="K137" s="18">
        <v>4378.0749999999998</v>
      </c>
      <c r="L137" s="18">
        <v>4377.0429999999997</v>
      </c>
      <c r="M137" s="18">
        <v>4376.8140000000003</v>
      </c>
      <c r="N137" s="18">
        <v>4383.277</v>
      </c>
      <c r="O137" s="18">
        <v>4399.2250000000004</v>
      </c>
      <c r="P137" s="18">
        <v>4422.2910000000002</v>
      </c>
      <c r="Q137" s="18">
        <v>4446.3590000000004</v>
      </c>
      <c r="R137" s="18">
        <v>4471.5110000000004</v>
      </c>
      <c r="S137" s="18">
        <v>4501.7129999999997</v>
      </c>
      <c r="T137" s="18">
        <v>4537.9560000000001</v>
      </c>
      <c r="U137" s="18">
        <v>4577.9930000000004</v>
      </c>
      <c r="V137" s="18">
        <v>4618.3419999999996</v>
      </c>
      <c r="W137" s="18">
        <v>4659.4059999999999</v>
      </c>
      <c r="X137" s="18">
        <v>4697.3450000000003</v>
      </c>
      <c r="Y137" s="18">
        <v>4729.7950000000001</v>
      </c>
      <c r="Z137" s="18">
        <v>4757.9229999999998</v>
      </c>
      <c r="AA137" s="18">
        <v>4785.6899999999996</v>
      </c>
      <c r="AB137" s="18">
        <v>4812.8130000000001</v>
      </c>
      <c r="AC137" s="18">
        <v>4834.9930000000004</v>
      </c>
      <c r="AD137" s="18">
        <v>4850.6490000000003</v>
      </c>
      <c r="AE137" s="18">
        <v>4861.5410000000002</v>
      </c>
      <c r="AF137" s="18">
        <v>4871.2619999999997</v>
      </c>
      <c r="AG137" s="18">
        <v>4879.3879999999999</v>
      </c>
      <c r="AH137" s="18">
        <v>4886.5720000000001</v>
      </c>
      <c r="AI137" s="18">
        <v>4893.598</v>
      </c>
      <c r="AJ137" s="18">
        <v>4900.3519999999999</v>
      </c>
      <c r="AK137" s="18">
        <v>4905.8</v>
      </c>
      <c r="AL137" s="18">
        <v>4909.9889999999996</v>
      </c>
      <c r="AM137" s="18">
        <v>4915.2359999999999</v>
      </c>
      <c r="AN137" s="18">
        <v>4922.5439999999999</v>
      </c>
      <c r="AO137" s="18">
        <v>4931.0209999999997</v>
      </c>
      <c r="AP137" s="18">
        <v>4938.54</v>
      </c>
      <c r="AQ137" s="18">
        <v>4945.2470000000003</v>
      </c>
      <c r="AR137" s="18">
        <v>4951.884</v>
      </c>
      <c r="AS137" s="18">
        <v>4958.5200000000004</v>
      </c>
      <c r="AT137" s="18">
        <v>4964.72</v>
      </c>
      <c r="AU137" s="18">
        <v>4969.8509999999997</v>
      </c>
      <c r="AV137" s="18">
        <v>4973.8810000000003</v>
      </c>
      <c r="AW137" s="18">
        <v>4976.1710000000003</v>
      </c>
      <c r="AX137" s="18">
        <v>4976.2809999999999</v>
      </c>
      <c r="AY137" s="18">
        <v>4974.2839999999997</v>
      </c>
      <c r="AZ137" s="18">
        <v>4970.2709999999997</v>
      </c>
      <c r="BA137" s="18">
        <v>4963.7259999999997</v>
      </c>
      <c r="BB137" s="18">
        <v>4955.8270000000002</v>
      </c>
      <c r="BC137" s="18">
        <v>4947.0039999999999</v>
      </c>
      <c r="BD137" s="18">
        <v>4936.2780000000002</v>
      </c>
      <c r="BE137" s="18">
        <v>4922.5219999999999</v>
      </c>
      <c r="BF137" s="18">
        <v>4906.2969999999996</v>
      </c>
      <c r="BG137" s="18">
        <v>4883.9949999999999</v>
      </c>
      <c r="BH137" s="18">
        <v>4853.8090000000002</v>
      </c>
      <c r="BI137" s="18">
        <v>4817.41</v>
      </c>
      <c r="BJ137" s="18">
        <v>4779.75</v>
      </c>
      <c r="BK137" s="18">
        <v>4741.6080000000002</v>
      </c>
      <c r="BL137" s="18">
        <v>4696.6099999999997</v>
      </c>
      <c r="BM137" s="18">
        <v>4642.6570000000002</v>
      </c>
      <c r="BN137" s="18">
        <v>4583.6049999999996</v>
      </c>
      <c r="BO137" s="18">
        <v>4524.5990000000002</v>
      </c>
      <c r="BP137" s="18">
        <v>4463.6409999999996</v>
      </c>
      <c r="BQ137" s="18">
        <v>4412.4139999999998</v>
      </c>
      <c r="BR137" s="18">
        <v>4376.9520000000002</v>
      </c>
      <c r="BS137" s="18">
        <v>4351.884</v>
      </c>
      <c r="BT137" s="18">
        <v>4322.7780000000002</v>
      </c>
      <c r="BU137" s="18">
        <v>4288.8829999999998</v>
      </c>
      <c r="BV137" s="18">
        <v>4262.7920000000004</v>
      </c>
      <c r="BW137" s="18">
        <v>4248.1450000000004</v>
      </c>
      <c r="BX137" s="18">
        <v>4237.4620000000004</v>
      </c>
      <c r="BY137" s="18">
        <v>4221.3230000000003</v>
      </c>
      <c r="BZ137" s="18">
        <v>4203.6530000000002</v>
      </c>
      <c r="CA137" s="18">
        <v>4159.9790000000003</v>
      </c>
      <c r="CB137" s="18">
        <v>4077.8020000000001</v>
      </c>
      <c r="CC137" s="18">
        <v>3968.29</v>
      </c>
      <c r="CD137" s="18">
        <v>3854.607</v>
      </c>
      <c r="CE137" s="18">
        <v>3731.5210000000002</v>
      </c>
      <c r="CF137" s="18">
        <v>3607.0070000000001</v>
      </c>
      <c r="CG137" s="18">
        <v>3487.1680000000001</v>
      </c>
      <c r="CH137" s="18">
        <v>3367.1019999999999</v>
      </c>
      <c r="CI137" s="18">
        <v>3235.614</v>
      </c>
      <c r="CJ137" s="18">
        <v>3094.7179999999998</v>
      </c>
      <c r="CK137" s="18">
        <v>2944.5479999999998</v>
      </c>
      <c r="CL137" s="18">
        <v>2783.973</v>
      </c>
      <c r="CM137" s="18">
        <v>2613.4369999999999</v>
      </c>
      <c r="CN137" s="18">
        <v>2426.1529999999998</v>
      </c>
      <c r="CO137" s="18">
        <v>2313.5219999999999</v>
      </c>
      <c r="CP137" s="18">
        <v>2133.3960000000002</v>
      </c>
      <c r="CQ137" s="18">
        <v>1851.623</v>
      </c>
      <c r="CR137" s="18">
        <v>1468.201</v>
      </c>
      <c r="CS137" s="18">
        <v>1205.8699999999999</v>
      </c>
      <c r="CT137" s="18">
        <v>1095.318</v>
      </c>
      <c r="CU137" s="18">
        <v>941.64200000000005</v>
      </c>
      <c r="CV137" s="18">
        <v>744.83799999999997</v>
      </c>
      <c r="CW137" s="18">
        <v>504.90899999999999</v>
      </c>
      <c r="CX137" s="18">
        <v>1169.3800000000001</v>
      </c>
      <c r="CY137" s="3">
        <f t="shared" si="11"/>
        <v>419937.43799999991</v>
      </c>
    </row>
    <row r="138" spans="1:103" customFormat="1">
      <c r="A138" s="15">
        <v>2086</v>
      </c>
      <c r="B138" s="18">
        <v>4397.8159999999998</v>
      </c>
      <c r="C138" s="18">
        <v>4399.4210000000003</v>
      </c>
      <c r="D138" s="18">
        <v>4403.6239999999998</v>
      </c>
      <c r="E138" s="18">
        <v>4404.6989999999996</v>
      </c>
      <c r="F138" s="18">
        <v>4403.4170000000004</v>
      </c>
      <c r="G138" s="18">
        <v>4400.5450000000001</v>
      </c>
      <c r="H138" s="18">
        <v>4396.6390000000001</v>
      </c>
      <c r="I138" s="18">
        <v>4392.2569999999996</v>
      </c>
      <c r="J138" s="18">
        <v>4389.2290000000003</v>
      </c>
      <c r="K138" s="18">
        <v>4388.75</v>
      </c>
      <c r="L138" s="18">
        <v>4390.9520000000002</v>
      </c>
      <c r="M138" s="18">
        <v>4394.3050000000003</v>
      </c>
      <c r="N138" s="18">
        <v>4398.558</v>
      </c>
      <c r="O138" s="18">
        <v>4409.5829999999996</v>
      </c>
      <c r="P138" s="18">
        <v>4429.9790000000003</v>
      </c>
      <c r="Q138" s="18">
        <v>4457.24</v>
      </c>
      <c r="R138" s="18">
        <v>4485.4210000000003</v>
      </c>
      <c r="S138" s="18">
        <v>4514.7030000000004</v>
      </c>
      <c r="T138" s="18">
        <v>4547.5150000000003</v>
      </c>
      <c r="U138" s="18">
        <v>4584.143</v>
      </c>
      <c r="V138" s="18">
        <v>4622.9979999999996</v>
      </c>
      <c r="W138" s="18">
        <v>4662.0330000000004</v>
      </c>
      <c r="X138" s="18">
        <v>4701.4530000000004</v>
      </c>
      <c r="Y138" s="18">
        <v>4737.4530000000004</v>
      </c>
      <c r="Z138" s="18">
        <v>4767.857</v>
      </c>
      <c r="AA138" s="18">
        <v>4793.8310000000001</v>
      </c>
      <c r="AB138" s="18">
        <v>4819.1459999999997</v>
      </c>
      <c r="AC138" s="18">
        <v>4843.5659999999998</v>
      </c>
      <c r="AD138" s="18">
        <v>4863.2299999999996</v>
      </c>
      <c r="AE138" s="18">
        <v>4876.7569999999996</v>
      </c>
      <c r="AF138" s="18">
        <v>4885.7889999999998</v>
      </c>
      <c r="AG138" s="18">
        <v>4893.5829999999996</v>
      </c>
      <c r="AH138" s="18">
        <v>4899.7690000000002</v>
      </c>
      <c r="AI138" s="18">
        <v>4905.1670000000004</v>
      </c>
      <c r="AJ138" s="18">
        <v>4910.6019999999999</v>
      </c>
      <c r="AK138" s="18">
        <v>4915.915</v>
      </c>
      <c r="AL138" s="18">
        <v>4919.973</v>
      </c>
      <c r="AM138" s="18">
        <v>4922.8289999999997</v>
      </c>
      <c r="AN138" s="18">
        <v>4926.8140000000003</v>
      </c>
      <c r="AO138" s="18">
        <v>4932.9250000000002</v>
      </c>
      <c r="AP138" s="18">
        <v>4940.2550000000001</v>
      </c>
      <c r="AQ138" s="18">
        <v>4946.6670000000004</v>
      </c>
      <c r="AR138" s="18">
        <v>4952.299</v>
      </c>
      <c r="AS138" s="18">
        <v>4957.866</v>
      </c>
      <c r="AT138" s="18">
        <v>4963.4139999999998</v>
      </c>
      <c r="AU138" s="18">
        <v>4968.5119999999997</v>
      </c>
      <c r="AV138" s="18">
        <v>4972.5519999999997</v>
      </c>
      <c r="AW138" s="18">
        <v>4975.5</v>
      </c>
      <c r="AX138" s="18">
        <v>4976.6559999999999</v>
      </c>
      <c r="AY138" s="18">
        <v>4975.5550000000003</v>
      </c>
      <c r="AZ138" s="18">
        <v>4972.2929999999997</v>
      </c>
      <c r="BA138" s="18">
        <v>4967.0129999999999</v>
      </c>
      <c r="BB138" s="18">
        <v>4959.1880000000001</v>
      </c>
      <c r="BC138" s="18">
        <v>4950.0029999999997</v>
      </c>
      <c r="BD138" s="18">
        <v>4939.8990000000003</v>
      </c>
      <c r="BE138" s="18">
        <v>4927.8909999999996</v>
      </c>
      <c r="BF138" s="18">
        <v>4912.8239999999996</v>
      </c>
      <c r="BG138" s="18">
        <v>4895.2489999999998</v>
      </c>
      <c r="BH138" s="18">
        <v>4871.6319999999996</v>
      </c>
      <c r="BI138" s="18">
        <v>4840.2</v>
      </c>
      <c r="BJ138" s="18">
        <v>4802.5810000000001</v>
      </c>
      <c r="BK138" s="18">
        <v>4763.6080000000002</v>
      </c>
      <c r="BL138" s="18">
        <v>4724.03</v>
      </c>
      <c r="BM138" s="18">
        <v>4677.6189999999997</v>
      </c>
      <c r="BN138" s="18">
        <v>4622.317</v>
      </c>
      <c r="BO138" s="18">
        <v>4561.88</v>
      </c>
      <c r="BP138" s="18">
        <v>4501.2550000000001</v>
      </c>
      <c r="BQ138" s="18">
        <v>4438.415</v>
      </c>
      <c r="BR138" s="18">
        <v>4385.1019999999999</v>
      </c>
      <c r="BS138" s="18">
        <v>4347.3389999999999</v>
      </c>
      <c r="BT138" s="18">
        <v>4319.6689999999999</v>
      </c>
      <c r="BU138" s="18">
        <v>4287.5910000000003</v>
      </c>
      <c r="BV138" s="18">
        <v>4250.3810000000003</v>
      </c>
      <c r="BW138" s="18">
        <v>4220.2520000000004</v>
      </c>
      <c r="BX138" s="18">
        <v>4200.6530000000002</v>
      </c>
      <c r="BY138" s="18">
        <v>4184.2489999999998</v>
      </c>
      <c r="BZ138" s="18">
        <v>4161.9780000000001</v>
      </c>
      <c r="CA138" s="18">
        <v>4137.7209999999995</v>
      </c>
      <c r="CB138" s="18">
        <v>4086.8780000000002</v>
      </c>
      <c r="CC138" s="18">
        <v>3996.9290000000001</v>
      </c>
      <c r="CD138" s="18">
        <v>3879.0940000000001</v>
      </c>
      <c r="CE138" s="18">
        <v>3756.86</v>
      </c>
      <c r="CF138" s="18">
        <v>3625.2280000000001</v>
      </c>
      <c r="CG138" s="18">
        <v>3491.0569999999998</v>
      </c>
      <c r="CH138" s="18">
        <v>3360.0250000000001</v>
      </c>
      <c r="CI138" s="18">
        <v>3227.9279999999999</v>
      </c>
      <c r="CJ138" s="18">
        <v>3082.828</v>
      </c>
      <c r="CK138" s="18">
        <v>2941.3710000000001</v>
      </c>
      <c r="CL138" s="18">
        <v>2785.386</v>
      </c>
      <c r="CM138" s="18">
        <v>2605.3850000000002</v>
      </c>
      <c r="CN138" s="18">
        <v>2401.723</v>
      </c>
      <c r="CO138" s="18">
        <v>2207.6959999999999</v>
      </c>
      <c r="CP138" s="18">
        <v>2097.2190000000001</v>
      </c>
      <c r="CQ138" s="18">
        <v>1921.5229999999999</v>
      </c>
      <c r="CR138" s="18">
        <v>1653.2650000000001</v>
      </c>
      <c r="CS138" s="18">
        <v>1292.4449999999999</v>
      </c>
      <c r="CT138" s="18">
        <v>1125.9179999999999</v>
      </c>
      <c r="CU138" s="18">
        <v>970.43399999999997</v>
      </c>
      <c r="CV138" s="18">
        <v>769.01400000000001</v>
      </c>
      <c r="CW138" s="18">
        <v>521.66</v>
      </c>
      <c r="CX138" s="18">
        <v>1208.68</v>
      </c>
      <c r="CY138" s="3">
        <f t="shared" si="11"/>
        <v>420851.13999999996</v>
      </c>
    </row>
    <row r="139" spans="1:103" customFormat="1">
      <c r="A139" s="15">
        <v>2087</v>
      </c>
      <c r="B139" s="18">
        <v>4407.3649999999998</v>
      </c>
      <c r="C139" s="18">
        <v>4415.7389999999996</v>
      </c>
      <c r="D139" s="18">
        <v>4411.0879999999997</v>
      </c>
      <c r="E139" s="18">
        <v>4412.509</v>
      </c>
      <c r="F139" s="18">
        <v>4411.366</v>
      </c>
      <c r="G139" s="18">
        <v>4408.4690000000001</v>
      </c>
      <c r="H139" s="18">
        <v>4404.625</v>
      </c>
      <c r="I139" s="18">
        <v>4400.22</v>
      </c>
      <c r="J139" s="18">
        <v>4395.6360000000004</v>
      </c>
      <c r="K139" s="18">
        <v>4393.8100000000004</v>
      </c>
      <c r="L139" s="18">
        <v>4396.4030000000002</v>
      </c>
      <c r="M139" s="18">
        <v>4402.9470000000001</v>
      </c>
      <c r="N139" s="18">
        <v>4410.6880000000001</v>
      </c>
      <c r="O139" s="18">
        <v>4419.4260000000004</v>
      </c>
      <c r="P139" s="18">
        <v>4435.0159999999996</v>
      </c>
      <c r="Q139" s="18">
        <v>4459.8609999999999</v>
      </c>
      <c r="R139" s="18">
        <v>4491.3159999999998</v>
      </c>
      <c r="S139" s="18">
        <v>4523.607</v>
      </c>
      <c r="T139" s="18">
        <v>4557.018</v>
      </c>
      <c r="U139" s="18">
        <v>4592.4380000000001</v>
      </c>
      <c r="V139" s="18">
        <v>4629.4430000000002</v>
      </c>
      <c r="W139" s="18">
        <v>4667.1049999999996</v>
      </c>
      <c r="X139" s="18">
        <v>4704.817</v>
      </c>
      <c r="Y139" s="18">
        <v>4742.5829999999996</v>
      </c>
      <c r="Z139" s="18">
        <v>4776.634</v>
      </c>
      <c r="AA139" s="18">
        <v>4804.9870000000001</v>
      </c>
      <c r="AB139" s="18">
        <v>4828.7979999999998</v>
      </c>
      <c r="AC139" s="18">
        <v>4851.6530000000002</v>
      </c>
      <c r="AD139" s="18">
        <v>4873.3620000000001</v>
      </c>
      <c r="AE139" s="18">
        <v>4890.5039999999999</v>
      </c>
      <c r="AF139" s="18">
        <v>4901.8969999999999</v>
      </c>
      <c r="AG139" s="18">
        <v>4909.0630000000001</v>
      </c>
      <c r="AH139" s="18">
        <v>4914.9260000000004</v>
      </c>
      <c r="AI139" s="18">
        <v>4919.1719999999996</v>
      </c>
      <c r="AJ139" s="18">
        <v>4922.7790000000005</v>
      </c>
      <c r="AK139" s="18">
        <v>4926.62</v>
      </c>
      <c r="AL139" s="18">
        <v>4930.49</v>
      </c>
      <c r="AM139" s="18">
        <v>4933.1549999999997</v>
      </c>
      <c r="AN139" s="18">
        <v>4934.6760000000004</v>
      </c>
      <c r="AO139" s="18">
        <v>4937.3980000000001</v>
      </c>
      <c r="AP139" s="18">
        <v>4942.308</v>
      </c>
      <c r="AQ139" s="18">
        <v>4948.49</v>
      </c>
      <c r="AR139" s="18">
        <v>4953.7910000000002</v>
      </c>
      <c r="AS139" s="18">
        <v>4958.3469999999998</v>
      </c>
      <c r="AT139" s="18">
        <v>4962.8410000000003</v>
      </c>
      <c r="AU139" s="18">
        <v>4967.299</v>
      </c>
      <c r="AV139" s="18">
        <v>4971.2929999999997</v>
      </c>
      <c r="AW139" s="18">
        <v>4974.2389999999996</v>
      </c>
      <c r="AX139" s="18">
        <v>4976.1040000000003</v>
      </c>
      <c r="AY139" s="18">
        <v>4976.1239999999998</v>
      </c>
      <c r="AZ139" s="18">
        <v>4973.8130000000001</v>
      </c>
      <c r="BA139" s="18">
        <v>4969.2849999999999</v>
      </c>
      <c r="BB139" s="18">
        <v>4962.7359999999999</v>
      </c>
      <c r="BC139" s="18">
        <v>4953.6310000000003</v>
      </c>
      <c r="BD139" s="18">
        <v>4943.1610000000001</v>
      </c>
      <c r="BE139" s="18">
        <v>4931.7759999999998</v>
      </c>
      <c r="BF139" s="18">
        <v>4918.4880000000003</v>
      </c>
      <c r="BG139" s="18">
        <v>4902.1120000000001</v>
      </c>
      <c r="BH139" s="18">
        <v>4883.1880000000001</v>
      </c>
      <c r="BI139" s="18">
        <v>4858.2610000000004</v>
      </c>
      <c r="BJ139" s="18">
        <v>4825.5889999999999</v>
      </c>
      <c r="BK139" s="18">
        <v>4786.7550000000001</v>
      </c>
      <c r="BL139" s="18">
        <v>4746.4740000000002</v>
      </c>
      <c r="BM139" s="18">
        <v>4705.4690000000001</v>
      </c>
      <c r="BN139" s="18">
        <v>4657.6530000000002</v>
      </c>
      <c r="BO139" s="18">
        <v>4601.0110000000004</v>
      </c>
      <c r="BP139" s="18">
        <v>4539.1989999999996</v>
      </c>
      <c r="BQ139" s="18">
        <v>4476.9650000000001</v>
      </c>
      <c r="BR139" s="18">
        <v>4412.2520000000004</v>
      </c>
      <c r="BS139" s="18">
        <v>4356.8639999999996</v>
      </c>
      <c r="BT139" s="18">
        <v>4316.8050000000003</v>
      </c>
      <c r="BU139" s="18">
        <v>4286.5349999999999</v>
      </c>
      <c r="BV139" s="18">
        <v>4251.4889999999996</v>
      </c>
      <c r="BW139" s="18">
        <v>4210.9679999999998</v>
      </c>
      <c r="BX139" s="18">
        <v>4176.8029999999999</v>
      </c>
      <c r="BY139" s="18">
        <v>4152.2520000000004</v>
      </c>
      <c r="BZ139" s="18">
        <v>4130.1239999999998</v>
      </c>
      <c r="CA139" s="18">
        <v>4101.7190000000001</v>
      </c>
      <c r="CB139" s="18">
        <v>4070.875</v>
      </c>
      <c r="CC139" s="18">
        <v>4012.864</v>
      </c>
      <c r="CD139" s="18">
        <v>3915.1529999999998</v>
      </c>
      <c r="CE139" s="18">
        <v>3789.011</v>
      </c>
      <c r="CF139" s="18">
        <v>3658.241</v>
      </c>
      <c r="CG139" s="18">
        <v>3518.0810000000001</v>
      </c>
      <c r="CH139" s="18">
        <v>3374.2689999999998</v>
      </c>
      <c r="CI139" s="18">
        <v>3232.06</v>
      </c>
      <c r="CJ139" s="18">
        <v>3087.9459999999999</v>
      </c>
      <c r="CK139" s="18">
        <v>2929.252</v>
      </c>
      <c r="CL139" s="18">
        <v>2787.26</v>
      </c>
      <c r="CM139" s="18">
        <v>2625.4859999999999</v>
      </c>
      <c r="CN139" s="18">
        <v>2426.076</v>
      </c>
      <c r="CO139" s="18">
        <v>2189.2939999999999</v>
      </c>
      <c r="CP139" s="18">
        <v>1988.556</v>
      </c>
      <c r="CQ139" s="18">
        <v>1880.26</v>
      </c>
      <c r="CR139" s="18">
        <v>1709.0329999999999</v>
      </c>
      <c r="CS139" s="18">
        <v>1454.3589999999999</v>
      </c>
      <c r="CT139" s="18">
        <v>1116.24</v>
      </c>
      <c r="CU139" s="18">
        <v>999.73</v>
      </c>
      <c r="CV139" s="18">
        <v>793.93499999999995</v>
      </c>
      <c r="CW139" s="18">
        <v>538.95500000000004</v>
      </c>
      <c r="CX139" s="18">
        <v>1249.1320000000001</v>
      </c>
      <c r="CY139" s="3">
        <f t="shared" si="11"/>
        <v>421757.88999999978</v>
      </c>
    </row>
    <row r="140" spans="1:103" customFormat="1">
      <c r="A140" s="15">
        <v>2088</v>
      </c>
      <c r="B140" s="18">
        <v>4415.3040000000001</v>
      </c>
      <c r="C140" s="18">
        <v>4424.7629999999999</v>
      </c>
      <c r="D140" s="18">
        <v>4429.3440000000001</v>
      </c>
      <c r="E140" s="18">
        <v>4421.4690000000001</v>
      </c>
      <c r="F140" s="18">
        <v>4420.1059999999998</v>
      </c>
      <c r="G140" s="18">
        <v>4416.7430000000004</v>
      </c>
      <c r="H140" s="18">
        <v>4412.2309999999998</v>
      </c>
      <c r="I140" s="18">
        <v>4407.4160000000002</v>
      </c>
      <c r="J140" s="18">
        <v>4402.5129999999999</v>
      </c>
      <c r="K140" s="18">
        <v>4397.7290000000003</v>
      </c>
      <c r="L140" s="18">
        <v>4397.1059999999998</v>
      </c>
      <c r="M140" s="18">
        <v>4402.7709999999997</v>
      </c>
      <c r="N140" s="18">
        <v>4413.6580000000004</v>
      </c>
      <c r="O140" s="18">
        <v>4425.7860000000001</v>
      </c>
      <c r="P140" s="18">
        <v>4439.01</v>
      </c>
      <c r="Q140" s="18">
        <v>4459.1629999999996</v>
      </c>
      <c r="R140" s="18">
        <v>4488.4520000000002</v>
      </c>
      <c r="S140" s="18">
        <v>4524.0940000000001</v>
      </c>
      <c r="T140" s="18">
        <v>4560.4889999999996</v>
      </c>
      <c r="U140" s="18">
        <v>4598.0209999999997</v>
      </c>
      <c r="V140" s="18">
        <v>4636.0389999999998</v>
      </c>
      <c r="W140" s="18">
        <v>4673.4110000000001</v>
      </c>
      <c r="X140" s="18">
        <v>4709.8680000000004</v>
      </c>
      <c r="Y140" s="18">
        <v>4746.2460000000001</v>
      </c>
      <c r="Z140" s="18">
        <v>4782.3459999999995</v>
      </c>
      <c r="AA140" s="18">
        <v>4814.4369999999999</v>
      </c>
      <c r="AB140" s="18">
        <v>4840.7259999999997</v>
      </c>
      <c r="AC140" s="18">
        <v>4862.3670000000002</v>
      </c>
      <c r="AD140" s="18">
        <v>4882.7539999999999</v>
      </c>
      <c r="AE140" s="18">
        <v>4901.7460000000001</v>
      </c>
      <c r="AF140" s="18">
        <v>4916.357</v>
      </c>
      <c r="AG140" s="18">
        <v>4925.6130000000003</v>
      </c>
      <c r="AH140" s="18">
        <v>4930.9110000000001</v>
      </c>
      <c r="AI140" s="18">
        <v>4934.84</v>
      </c>
      <c r="AJ140" s="18">
        <v>4937.1419999999998</v>
      </c>
      <c r="AK140" s="18">
        <v>4938.9579999999996</v>
      </c>
      <c r="AL140" s="18">
        <v>4941.2030000000004</v>
      </c>
      <c r="AM140" s="18">
        <v>4943.6270000000004</v>
      </c>
      <c r="AN140" s="18">
        <v>4944.8980000000001</v>
      </c>
      <c r="AO140" s="18">
        <v>4945.0820000000003</v>
      </c>
      <c r="AP140" s="18">
        <v>4946.5389999999998</v>
      </c>
      <c r="AQ140" s="18">
        <v>4950.2470000000003</v>
      </c>
      <c r="AR140" s="18">
        <v>4955.277</v>
      </c>
      <c r="AS140" s="18">
        <v>4959.4660000000003</v>
      </c>
      <c r="AT140" s="18">
        <v>4962.9440000000004</v>
      </c>
      <c r="AU140" s="18">
        <v>4966.3620000000001</v>
      </c>
      <c r="AV140" s="18">
        <v>4969.7280000000001</v>
      </c>
      <c r="AW140" s="18">
        <v>4972.616</v>
      </c>
      <c r="AX140" s="18">
        <v>4974.4669999999996</v>
      </c>
      <c r="AY140" s="18">
        <v>4975.2470000000003</v>
      </c>
      <c r="AZ140" s="18">
        <v>4974.1329999999998</v>
      </c>
      <c r="BA140" s="18">
        <v>4970.6099999999997</v>
      </c>
      <c r="BB140" s="18">
        <v>4964.8180000000002</v>
      </c>
      <c r="BC140" s="18">
        <v>4957.0010000000002</v>
      </c>
      <c r="BD140" s="18">
        <v>4946.6189999999997</v>
      </c>
      <c r="BE140" s="18">
        <v>4934.866</v>
      </c>
      <c r="BF140" s="18">
        <v>4922.2030000000004</v>
      </c>
      <c r="BG140" s="18">
        <v>4907.6379999999999</v>
      </c>
      <c r="BH140" s="18">
        <v>4889.9549999999999</v>
      </c>
      <c r="BI140" s="18">
        <v>4869.6869999999999</v>
      </c>
      <c r="BJ140" s="18">
        <v>4843.4570000000003</v>
      </c>
      <c r="BK140" s="18">
        <v>4809.5540000000001</v>
      </c>
      <c r="BL140" s="18">
        <v>4769.5159999999996</v>
      </c>
      <c r="BM140" s="18">
        <v>4727.9390000000003</v>
      </c>
      <c r="BN140" s="18">
        <v>4685.5159999999996</v>
      </c>
      <c r="BO140" s="18">
        <v>4636.308</v>
      </c>
      <c r="BP140" s="18">
        <v>4578.3419999999996</v>
      </c>
      <c r="BQ140" s="18">
        <v>4515.1729999999998</v>
      </c>
      <c r="BR140" s="18">
        <v>4451.348</v>
      </c>
      <c r="BS140" s="18">
        <v>4384.7820000000002</v>
      </c>
      <c r="BT140" s="18">
        <v>4327.3310000000001</v>
      </c>
      <c r="BU140" s="18">
        <v>4284.9889999999996</v>
      </c>
      <c r="BV140" s="18">
        <v>4252.125</v>
      </c>
      <c r="BW140" s="18">
        <v>4214.12</v>
      </c>
      <c r="BX140" s="18">
        <v>4170.2960000000003</v>
      </c>
      <c r="BY140" s="18">
        <v>4132.1040000000003</v>
      </c>
      <c r="BZ140" s="18">
        <v>4102.6049999999996</v>
      </c>
      <c r="CA140" s="18">
        <v>4074.7559999999999</v>
      </c>
      <c r="CB140" s="18">
        <v>4040.221</v>
      </c>
      <c r="CC140" s="18">
        <v>4002.7950000000001</v>
      </c>
      <c r="CD140" s="18">
        <v>3937.6309999999999</v>
      </c>
      <c r="CE140" s="18">
        <v>3832.181</v>
      </c>
      <c r="CF140" s="18">
        <v>3697.7649999999999</v>
      </c>
      <c r="CG140" s="18">
        <v>3558.4929999999999</v>
      </c>
      <c r="CH140" s="18">
        <v>3409.84</v>
      </c>
      <c r="CI140" s="18">
        <v>3256.4259999999999</v>
      </c>
      <c r="CJ140" s="18">
        <v>3103.0729999999999</v>
      </c>
      <c r="CK140" s="18">
        <v>2946.9789999999998</v>
      </c>
      <c r="CL140" s="18">
        <v>2774.7280000000001</v>
      </c>
      <c r="CM140" s="18">
        <v>2632.2449999999999</v>
      </c>
      <c r="CN140" s="18">
        <v>2464.7249999999999</v>
      </c>
      <c r="CO140" s="18">
        <v>2245.9520000000002</v>
      </c>
      <c r="CP140" s="18">
        <v>1976.104</v>
      </c>
      <c r="CQ140" s="18">
        <v>1768.7090000000001</v>
      </c>
      <c r="CR140" s="18">
        <v>1662.626</v>
      </c>
      <c r="CS140" s="18">
        <v>1495.921</v>
      </c>
      <c r="CT140" s="18">
        <v>1254.914</v>
      </c>
      <c r="CU140" s="18">
        <v>939.60699999999997</v>
      </c>
      <c r="CV140" s="18">
        <v>817.93799999999999</v>
      </c>
      <c r="CW140" s="18">
        <v>556.01599999999996</v>
      </c>
      <c r="CX140" s="18">
        <v>1290.5999999999999</v>
      </c>
      <c r="CY140" s="3">
        <f t="shared" si="11"/>
        <v>422660.91199999978</v>
      </c>
    </row>
    <row r="141" spans="1:103" customFormat="1">
      <c r="A141" s="15">
        <v>2089</v>
      </c>
      <c r="B141" s="18">
        <v>4421.375</v>
      </c>
      <c r="C141" s="18">
        <v>4431.88</v>
      </c>
      <c r="D141" s="18">
        <v>4437.143</v>
      </c>
      <c r="E141" s="18">
        <v>4438.0709999999999</v>
      </c>
      <c r="F141" s="18">
        <v>4429.9960000000001</v>
      </c>
      <c r="G141" s="18">
        <v>4425.8509999999997</v>
      </c>
      <c r="H141" s="18">
        <v>4420.2700000000004</v>
      </c>
      <c r="I141" s="18">
        <v>4414.1450000000004</v>
      </c>
      <c r="J141" s="18">
        <v>4408.3630000000003</v>
      </c>
      <c r="K141" s="18">
        <v>4402.9610000000002</v>
      </c>
      <c r="L141" s="18">
        <v>4397.9790000000003</v>
      </c>
      <c r="M141" s="18">
        <v>4398.5600000000004</v>
      </c>
      <c r="N141" s="18">
        <v>4407.2939999999999</v>
      </c>
      <c r="O141" s="18">
        <v>4422.5190000000002</v>
      </c>
      <c r="P141" s="18">
        <v>4439.0290000000005</v>
      </c>
      <c r="Q141" s="18">
        <v>4456.732</v>
      </c>
      <c r="R141" s="18">
        <v>4481.4390000000003</v>
      </c>
      <c r="S141" s="18">
        <v>4515.1570000000002</v>
      </c>
      <c r="T141" s="18">
        <v>4554.9709999999995</v>
      </c>
      <c r="U141" s="18">
        <v>4595.4549999999999</v>
      </c>
      <c r="V141" s="18">
        <v>4637.09</v>
      </c>
      <c r="W141" s="18">
        <v>4677.6890000000003</v>
      </c>
      <c r="X141" s="18">
        <v>4715.4129999999996</v>
      </c>
      <c r="Y141" s="18">
        <v>4750.6509999999998</v>
      </c>
      <c r="Z141" s="18">
        <v>4785.6779999999999</v>
      </c>
      <c r="AA141" s="18">
        <v>4820.098</v>
      </c>
      <c r="AB141" s="18">
        <v>4850.2169999999996</v>
      </c>
      <c r="AC141" s="18">
        <v>4874.433</v>
      </c>
      <c r="AD141" s="18">
        <v>4893.8940000000002</v>
      </c>
      <c r="AE141" s="18">
        <v>4911.8050000000003</v>
      </c>
      <c r="AF141" s="18">
        <v>4928.0709999999999</v>
      </c>
      <c r="AG141" s="18">
        <v>4940.1469999999999</v>
      </c>
      <c r="AH141" s="18">
        <v>4947.26</v>
      </c>
      <c r="AI141" s="18">
        <v>4950.6880000000001</v>
      </c>
      <c r="AJ141" s="18">
        <v>4952.683</v>
      </c>
      <c r="AK141" s="18">
        <v>4953.04</v>
      </c>
      <c r="AL141" s="18">
        <v>4953.0630000000001</v>
      </c>
      <c r="AM141" s="18">
        <v>4953.7120000000004</v>
      </c>
      <c r="AN141" s="18">
        <v>4954.6899999999996</v>
      </c>
      <c r="AO141" s="18">
        <v>4954.5659999999998</v>
      </c>
      <c r="AP141" s="18">
        <v>4953.4139999999998</v>
      </c>
      <c r="AQ141" s="18">
        <v>4953.6049999999996</v>
      </c>
      <c r="AR141" s="18">
        <v>4956.1099999999997</v>
      </c>
      <c r="AS141" s="18">
        <v>4959.9859999999999</v>
      </c>
      <c r="AT141" s="18">
        <v>4963.0619999999999</v>
      </c>
      <c r="AU141" s="18">
        <v>4965.46</v>
      </c>
      <c r="AV141" s="18">
        <v>4967.8019999999997</v>
      </c>
      <c r="AW141" s="18">
        <v>4970.0749999999998</v>
      </c>
      <c r="AX141" s="18">
        <v>4971.8559999999998</v>
      </c>
      <c r="AY141" s="18">
        <v>4972.6109999999999</v>
      </c>
      <c r="AZ141" s="18">
        <v>4972.3059999999996</v>
      </c>
      <c r="BA141" s="18">
        <v>4970.058</v>
      </c>
      <c r="BB141" s="18">
        <v>4965.3239999999996</v>
      </c>
      <c r="BC141" s="18">
        <v>4958.2700000000004</v>
      </c>
      <c r="BD141" s="18">
        <v>4949.1899999999996</v>
      </c>
      <c r="BE141" s="18">
        <v>4937.5330000000004</v>
      </c>
      <c r="BF141" s="18">
        <v>4924.5029999999997</v>
      </c>
      <c r="BG141" s="18">
        <v>4910.5680000000002</v>
      </c>
      <c r="BH141" s="18">
        <v>4894.7309999999998</v>
      </c>
      <c r="BI141" s="18">
        <v>4875.7510000000002</v>
      </c>
      <c r="BJ141" s="18">
        <v>4854.1459999999997</v>
      </c>
      <c r="BK141" s="18">
        <v>4826.6239999999998</v>
      </c>
      <c r="BL141" s="18">
        <v>4791.5039999999999</v>
      </c>
      <c r="BM141" s="18">
        <v>4750.28</v>
      </c>
      <c r="BN141" s="18">
        <v>4707.424</v>
      </c>
      <c r="BO141" s="18">
        <v>4663.6019999999999</v>
      </c>
      <c r="BP141" s="18">
        <v>4613.0230000000001</v>
      </c>
      <c r="BQ141" s="18">
        <v>4553.7569999999996</v>
      </c>
      <c r="BR141" s="18">
        <v>4489.2569999999996</v>
      </c>
      <c r="BS141" s="18">
        <v>4423.8680000000004</v>
      </c>
      <c r="BT141" s="18">
        <v>4355.4750000000004</v>
      </c>
      <c r="BU141" s="18">
        <v>4295.9880000000003</v>
      </c>
      <c r="BV141" s="18">
        <v>4251.3779999999997</v>
      </c>
      <c r="BW141" s="18">
        <v>4215.9350000000004</v>
      </c>
      <c r="BX141" s="18">
        <v>4174.9870000000001</v>
      </c>
      <c r="BY141" s="18">
        <v>4127.8810000000003</v>
      </c>
      <c r="BZ141" s="18">
        <v>4085.6770000000001</v>
      </c>
      <c r="CA141" s="18">
        <v>4051.2429999999999</v>
      </c>
      <c r="CB141" s="18">
        <v>4017.6849999999999</v>
      </c>
      <c r="CC141" s="18">
        <v>3977.0369999999998</v>
      </c>
      <c r="CD141" s="18">
        <v>3933.0450000000001</v>
      </c>
      <c r="CE141" s="18">
        <v>3860.7550000000001</v>
      </c>
      <c r="CF141" s="18">
        <v>3747.6129999999998</v>
      </c>
      <c r="CG141" s="18">
        <v>3604.9789999999998</v>
      </c>
      <c r="CH141" s="18">
        <v>3457.2640000000001</v>
      </c>
      <c r="CI141" s="18">
        <v>3300.1819999999998</v>
      </c>
      <c r="CJ141" s="18">
        <v>3137.2330000000002</v>
      </c>
      <c r="CK141" s="18">
        <v>2972.8029999999999</v>
      </c>
      <c r="CL141" s="18">
        <v>2804.7950000000001</v>
      </c>
      <c r="CM141" s="18">
        <v>2619.0630000000001</v>
      </c>
      <c r="CN141" s="18">
        <v>2476.1460000000002</v>
      </c>
      <c r="CO141" s="18">
        <v>2302.953</v>
      </c>
      <c r="CP141" s="18">
        <v>2064.9140000000002</v>
      </c>
      <c r="CQ141" s="18">
        <v>1762.117</v>
      </c>
      <c r="CR141" s="18">
        <v>1548.154</v>
      </c>
      <c r="CS141" s="18">
        <v>1444.329</v>
      </c>
      <c r="CT141" s="18">
        <v>1282.2149999999999</v>
      </c>
      <c r="CU141" s="18">
        <v>1054.9739999999999</v>
      </c>
      <c r="CV141" s="18">
        <v>762.60900000000004</v>
      </c>
      <c r="CW141" s="18">
        <v>571.76700000000005</v>
      </c>
      <c r="CX141" s="18">
        <v>1332.96</v>
      </c>
      <c r="CY141" s="3">
        <f t="shared" si="11"/>
        <v>423563.93400000018</v>
      </c>
    </row>
    <row r="142" spans="1:103" customFormat="1">
      <c r="A142" s="15">
        <v>2090</v>
      </c>
      <c r="B142" s="18">
        <v>4425.0789999999997</v>
      </c>
      <c r="C142" s="18">
        <v>4436.4189999999999</v>
      </c>
      <c r="D142" s="18">
        <v>4442.2510000000002</v>
      </c>
      <c r="E142" s="18">
        <v>4443.5020000000004</v>
      </c>
      <c r="F142" s="18">
        <v>4441.1000000000004</v>
      </c>
      <c r="G142" s="18">
        <v>4435.973</v>
      </c>
      <c r="H142" s="18">
        <v>4429.05</v>
      </c>
      <c r="I142" s="18">
        <v>4421.2569999999996</v>
      </c>
      <c r="J142" s="18">
        <v>4413.5240000000003</v>
      </c>
      <c r="K142" s="18">
        <v>4406.7780000000002</v>
      </c>
      <c r="L142" s="18">
        <v>4400.884</v>
      </c>
      <c r="M142" s="18">
        <v>4395.7070000000003</v>
      </c>
      <c r="N142" s="18">
        <v>4397.4889999999996</v>
      </c>
      <c r="O142" s="18">
        <v>4409.2849999999999</v>
      </c>
      <c r="P142" s="18">
        <v>4428.8310000000001</v>
      </c>
      <c r="Q142" s="18">
        <v>4449.7110000000002</v>
      </c>
      <c r="R142" s="18">
        <v>4471.8760000000002</v>
      </c>
      <c r="S142" s="18">
        <v>4501.1170000000002</v>
      </c>
      <c r="T142" s="18">
        <v>4539.2420000000002</v>
      </c>
      <c r="U142" s="18">
        <v>4583.2</v>
      </c>
      <c r="V142" s="18">
        <v>4627.7430000000004</v>
      </c>
      <c r="W142" s="18">
        <v>4673.4549999999999</v>
      </c>
      <c r="X142" s="18">
        <v>4716.6080000000002</v>
      </c>
      <c r="Y142" s="18">
        <v>4754.6610000000001</v>
      </c>
      <c r="Z142" s="18">
        <v>4788.66</v>
      </c>
      <c r="AA142" s="18">
        <v>4822.3190000000004</v>
      </c>
      <c r="AB142" s="18">
        <v>4855.04</v>
      </c>
      <c r="AC142" s="18">
        <v>4883.1710000000003</v>
      </c>
      <c r="AD142" s="18">
        <v>4905.3029999999999</v>
      </c>
      <c r="AE142" s="18">
        <v>4922.576</v>
      </c>
      <c r="AF142" s="18">
        <v>4938.0029999999997</v>
      </c>
      <c r="AG142" s="18">
        <v>4951.5379999999996</v>
      </c>
      <c r="AH142" s="18">
        <v>4961.0730000000003</v>
      </c>
      <c r="AI142" s="18">
        <v>4966.0439999999999</v>
      </c>
      <c r="AJ142" s="18">
        <v>4967.6019999999999</v>
      </c>
      <c r="AK142" s="18">
        <v>4967.6610000000001</v>
      </c>
      <c r="AL142" s="18">
        <v>4966.076</v>
      </c>
      <c r="AM142" s="18">
        <v>4964.3090000000002</v>
      </c>
      <c r="AN142" s="18">
        <v>4963.3630000000003</v>
      </c>
      <c r="AO142" s="18">
        <v>4962.8959999999997</v>
      </c>
      <c r="AP142" s="18">
        <v>4961.3789999999999</v>
      </c>
      <c r="AQ142" s="18">
        <v>4958.8940000000002</v>
      </c>
      <c r="AR142" s="18">
        <v>4957.8190000000004</v>
      </c>
      <c r="AS142" s="18">
        <v>4959.12</v>
      </c>
      <c r="AT142" s="18">
        <v>4961.8419999999996</v>
      </c>
      <c r="AU142" s="18">
        <v>4963.8029999999999</v>
      </c>
      <c r="AV142" s="18">
        <v>4965.1220000000003</v>
      </c>
      <c r="AW142" s="18">
        <v>4966.3869999999997</v>
      </c>
      <c r="AX142" s="18">
        <v>4967.5680000000002</v>
      </c>
      <c r="AY142" s="18">
        <v>4968.2420000000002</v>
      </c>
      <c r="AZ142" s="18">
        <v>4967.902</v>
      </c>
      <c r="BA142" s="18">
        <v>4966.5140000000001</v>
      </c>
      <c r="BB142" s="18">
        <v>4963.1329999999998</v>
      </c>
      <c r="BC142" s="18">
        <v>4957.1940000000004</v>
      </c>
      <c r="BD142" s="18">
        <v>4948.8829999999998</v>
      </c>
      <c r="BE142" s="18">
        <v>4938.5460000000003</v>
      </c>
      <c r="BF142" s="18">
        <v>4925.6220000000003</v>
      </c>
      <c r="BG142" s="18">
        <v>4911.3239999999996</v>
      </c>
      <c r="BH142" s="18">
        <v>4896.125</v>
      </c>
      <c r="BI142" s="18">
        <v>4879.0280000000002</v>
      </c>
      <c r="BJ142" s="18">
        <v>4858.7629999999999</v>
      </c>
      <c r="BK142" s="18">
        <v>4835.8360000000002</v>
      </c>
      <c r="BL142" s="18">
        <v>4807.0389999999998</v>
      </c>
      <c r="BM142" s="18">
        <v>4770.723</v>
      </c>
      <c r="BN142" s="18">
        <v>4728.3360000000002</v>
      </c>
      <c r="BO142" s="18">
        <v>4684.2280000000001</v>
      </c>
      <c r="BP142" s="18">
        <v>4639.0330000000004</v>
      </c>
      <c r="BQ142" s="18">
        <v>4587.1130000000003</v>
      </c>
      <c r="BR142" s="18">
        <v>4526.5829999999996</v>
      </c>
      <c r="BS142" s="18">
        <v>4460.7920000000004</v>
      </c>
      <c r="BT142" s="18">
        <v>4393.8770000000004</v>
      </c>
      <c r="BU142" s="18">
        <v>4323.6989999999996</v>
      </c>
      <c r="BV142" s="18">
        <v>4262.21</v>
      </c>
      <c r="BW142" s="18">
        <v>4215.3620000000001</v>
      </c>
      <c r="BX142" s="18">
        <v>4177.3639999999996</v>
      </c>
      <c r="BY142" s="18">
        <v>4133.5</v>
      </c>
      <c r="BZ142" s="18">
        <v>4083.1410000000001</v>
      </c>
      <c r="CA142" s="18">
        <v>4036.9540000000002</v>
      </c>
      <c r="CB142" s="18">
        <v>3997.61</v>
      </c>
      <c r="CC142" s="18">
        <v>3958.37</v>
      </c>
      <c r="CD142" s="18">
        <v>3911.6379999999999</v>
      </c>
      <c r="CE142" s="18">
        <v>3861.1120000000001</v>
      </c>
      <c r="CF142" s="18">
        <v>3781.7460000000001</v>
      </c>
      <c r="CG142" s="18">
        <v>3660.9859999999999</v>
      </c>
      <c r="CH142" s="18">
        <v>3510.2260000000001</v>
      </c>
      <c r="CI142" s="18">
        <v>3354.1619999999998</v>
      </c>
      <c r="CJ142" s="18">
        <v>3188.752</v>
      </c>
      <c r="CK142" s="18">
        <v>3016.3690000000001</v>
      </c>
      <c r="CL142" s="18">
        <v>2840.97</v>
      </c>
      <c r="CM142" s="18">
        <v>2661.1590000000001</v>
      </c>
      <c r="CN142" s="18">
        <v>2462.0659999999998</v>
      </c>
      <c r="CO142" s="18">
        <v>2318.8009999999999</v>
      </c>
      <c r="CP142" s="18">
        <v>2140.04</v>
      </c>
      <c r="CQ142" s="18">
        <v>1882.894</v>
      </c>
      <c r="CR142" s="18">
        <v>1547.3610000000001</v>
      </c>
      <c r="CS142" s="18">
        <v>1326.962</v>
      </c>
      <c r="CT142" s="18">
        <v>1225.452</v>
      </c>
      <c r="CU142" s="18">
        <v>1068.0160000000001</v>
      </c>
      <c r="CV142" s="18">
        <v>854.65800000000002</v>
      </c>
      <c r="CW142" s="18">
        <v>585.37400000000002</v>
      </c>
      <c r="CX142" s="18">
        <v>1375.8219999999999</v>
      </c>
      <c r="CY142" s="3">
        <f t="shared" si="11"/>
        <v>424469.92199999985</v>
      </c>
    </row>
    <row r="143" spans="1:103" customFormat="1">
      <c r="A143" s="15">
        <v>2091</v>
      </c>
      <c r="B143" s="18">
        <v>4435.9139999999998</v>
      </c>
      <c r="C143" s="18">
        <v>4439.0370000000003</v>
      </c>
      <c r="D143" s="18">
        <v>4446.8289999999997</v>
      </c>
      <c r="E143" s="18">
        <v>4449.9629999999997</v>
      </c>
      <c r="F143" s="18">
        <v>4449.357</v>
      </c>
      <c r="G143" s="18">
        <v>4445.933</v>
      </c>
      <c r="H143" s="18">
        <v>4440.4480000000003</v>
      </c>
      <c r="I143" s="18">
        <v>4433.6559999999999</v>
      </c>
      <c r="J143" s="18">
        <v>4427.3010000000004</v>
      </c>
      <c r="K143" s="18">
        <v>4422.634</v>
      </c>
      <c r="L143" s="18">
        <v>4420.0820000000003</v>
      </c>
      <c r="M143" s="18">
        <v>4418.5240000000003</v>
      </c>
      <c r="N143" s="18">
        <v>4417.8310000000001</v>
      </c>
      <c r="O143" s="18">
        <v>4424.1790000000001</v>
      </c>
      <c r="P143" s="18">
        <v>4440.4279999999999</v>
      </c>
      <c r="Q143" s="18">
        <v>4464.1769999999997</v>
      </c>
      <c r="R143" s="18">
        <v>4489.1779999999999</v>
      </c>
      <c r="S143" s="18">
        <v>4515.4830000000002</v>
      </c>
      <c r="T143" s="18">
        <v>4547.3490000000002</v>
      </c>
      <c r="U143" s="18">
        <v>4585.8789999999999</v>
      </c>
      <c r="V143" s="18">
        <v>4628.6779999999999</v>
      </c>
      <c r="W143" s="18">
        <v>4671.9319999999998</v>
      </c>
      <c r="X143" s="18">
        <v>4716.0259999999998</v>
      </c>
      <c r="Y143" s="18">
        <v>4757.2640000000001</v>
      </c>
      <c r="Z143" s="18">
        <v>4793.29</v>
      </c>
      <c r="AA143" s="18">
        <v>4825.1490000000003</v>
      </c>
      <c r="AB143" s="18">
        <v>4856.3710000000001</v>
      </c>
      <c r="AC143" s="18">
        <v>4886.4049999999997</v>
      </c>
      <c r="AD143" s="18">
        <v>4912.03</v>
      </c>
      <c r="AE143" s="18">
        <v>4932.0410000000002</v>
      </c>
      <c r="AF143" s="18">
        <v>4947.4579999999996</v>
      </c>
      <c r="AG143" s="18">
        <v>4960.96</v>
      </c>
      <c r="AH143" s="18">
        <v>4972.5600000000004</v>
      </c>
      <c r="AI143" s="18">
        <v>4980.3119999999999</v>
      </c>
      <c r="AJ143" s="18">
        <v>4983.6940000000004</v>
      </c>
      <c r="AK143" s="18">
        <v>4983.8130000000001</v>
      </c>
      <c r="AL143" s="18">
        <v>4982.4840000000004</v>
      </c>
      <c r="AM143" s="18">
        <v>4979.5680000000002</v>
      </c>
      <c r="AN143" s="18">
        <v>4976.5460000000003</v>
      </c>
      <c r="AO143" s="18">
        <v>4974.4120000000003</v>
      </c>
      <c r="AP143" s="18">
        <v>4972.8109999999997</v>
      </c>
      <c r="AQ143" s="18">
        <v>4970.2</v>
      </c>
      <c r="AR143" s="18">
        <v>4966.6570000000002</v>
      </c>
      <c r="AS143" s="18">
        <v>4964.5320000000002</v>
      </c>
      <c r="AT143" s="18">
        <v>4964.7719999999999</v>
      </c>
      <c r="AU143" s="18">
        <v>4966.4219999999996</v>
      </c>
      <c r="AV143" s="18">
        <v>4967.3239999999996</v>
      </c>
      <c r="AW143" s="18">
        <v>4967.5950000000003</v>
      </c>
      <c r="AX143" s="18">
        <v>4967.7659999999996</v>
      </c>
      <c r="AY143" s="18">
        <v>4967.78</v>
      </c>
      <c r="AZ143" s="18">
        <v>4967.2389999999996</v>
      </c>
      <c r="BA143" s="18">
        <v>4965.68</v>
      </c>
      <c r="BB143" s="18">
        <v>4963.058</v>
      </c>
      <c r="BC143" s="18">
        <v>4958.4399999999996</v>
      </c>
      <c r="BD143" s="18">
        <v>4951.2730000000001</v>
      </c>
      <c r="BE143" s="18">
        <v>4941.7330000000002</v>
      </c>
      <c r="BF143" s="18">
        <v>4930.1369999999997</v>
      </c>
      <c r="BG143" s="18">
        <v>4915.9139999999998</v>
      </c>
      <c r="BH143" s="18">
        <v>4900.3339999999998</v>
      </c>
      <c r="BI143" s="18">
        <v>4883.8919999999998</v>
      </c>
      <c r="BJ143" s="18">
        <v>4865.5550000000003</v>
      </c>
      <c r="BK143" s="18">
        <v>4843.973</v>
      </c>
      <c r="BL143" s="18">
        <v>4819.6319999999996</v>
      </c>
      <c r="BM143" s="18">
        <v>4789.4070000000002</v>
      </c>
      <c r="BN143" s="18">
        <v>4751.6710000000003</v>
      </c>
      <c r="BO143" s="18">
        <v>4707.8109999999997</v>
      </c>
      <c r="BP143" s="18">
        <v>4662.027</v>
      </c>
      <c r="BQ143" s="18">
        <v>4614.91</v>
      </c>
      <c r="BR143" s="18">
        <v>4560.9780000000001</v>
      </c>
      <c r="BS143" s="18">
        <v>4498.3869999999997</v>
      </c>
      <c r="BT143" s="18">
        <v>4430.3549999999996</v>
      </c>
      <c r="BU143" s="18">
        <v>4360.7910000000002</v>
      </c>
      <c r="BV143" s="18">
        <v>4287.5349999999999</v>
      </c>
      <c r="BW143" s="18">
        <v>4222.473</v>
      </c>
      <c r="BX143" s="18">
        <v>4171.4840000000004</v>
      </c>
      <c r="BY143" s="18">
        <v>4128.7349999999997</v>
      </c>
      <c r="BZ143" s="18">
        <v>4079.6579999999999</v>
      </c>
      <c r="CA143" s="18">
        <v>4023.7370000000001</v>
      </c>
      <c r="CB143" s="18">
        <v>3970.7089999999998</v>
      </c>
      <c r="CC143" s="18">
        <v>3922.8409999999999</v>
      </c>
      <c r="CD143" s="18">
        <v>3873.857</v>
      </c>
      <c r="CE143" s="18">
        <v>3817.2339999999999</v>
      </c>
      <c r="CF143" s="18">
        <v>3756.701</v>
      </c>
      <c r="CG143" s="18">
        <v>3666.7179999999998</v>
      </c>
      <c r="CH143" s="18">
        <v>3534.674</v>
      </c>
      <c r="CI143" s="18">
        <v>3372.3440000000001</v>
      </c>
      <c r="CJ143" s="18">
        <v>3202.2060000000001</v>
      </c>
      <c r="CK143" s="18">
        <v>3035.7249999999999</v>
      </c>
      <c r="CL143" s="18">
        <v>2860.087</v>
      </c>
      <c r="CM143" s="18">
        <v>2665.7440000000001</v>
      </c>
      <c r="CN143" s="18">
        <v>2451.5790000000002</v>
      </c>
      <c r="CO143" s="18">
        <v>2245.183</v>
      </c>
      <c r="CP143" s="18">
        <v>2107.877</v>
      </c>
      <c r="CQ143" s="18">
        <v>1932.625</v>
      </c>
      <c r="CR143" s="18">
        <v>1685.0909999999999</v>
      </c>
      <c r="CS143" s="18">
        <v>1365.2719999999999</v>
      </c>
      <c r="CT143" s="18">
        <v>1238.7260000000001</v>
      </c>
      <c r="CU143" s="18">
        <v>1080.827</v>
      </c>
      <c r="CV143" s="18">
        <v>867.20299999999997</v>
      </c>
      <c r="CW143" s="18">
        <v>597.85699999999997</v>
      </c>
      <c r="CX143" s="18">
        <v>1421.7840000000001</v>
      </c>
      <c r="CY143" s="3">
        <f t="shared" si="11"/>
        <v>425380.71699999977</v>
      </c>
    </row>
    <row r="144" spans="1:103" customFormat="1">
      <c r="A144" s="15">
        <v>2092</v>
      </c>
      <c r="B144" s="18">
        <v>4445.8720000000003</v>
      </c>
      <c r="C144" s="18">
        <v>4458.1769999999997</v>
      </c>
      <c r="D144" s="18">
        <v>4452.08</v>
      </c>
      <c r="E144" s="18">
        <v>4456.3190000000004</v>
      </c>
      <c r="F144" s="18">
        <v>4456.7510000000002</v>
      </c>
      <c r="G144" s="18">
        <v>4454.2879999999996</v>
      </c>
      <c r="H144" s="18">
        <v>4449.8419999999996</v>
      </c>
      <c r="I144" s="18">
        <v>4443.9979999999996</v>
      </c>
      <c r="J144" s="18">
        <v>4437.3379999999997</v>
      </c>
      <c r="K144" s="18">
        <v>4432.4250000000002</v>
      </c>
      <c r="L144" s="18">
        <v>4430.8280000000004</v>
      </c>
      <c r="M144" s="18">
        <v>4432.4750000000004</v>
      </c>
      <c r="N144" s="18">
        <v>4435.26</v>
      </c>
      <c r="O144" s="18">
        <v>4439.0550000000003</v>
      </c>
      <c r="P144" s="18">
        <v>4449.973</v>
      </c>
      <c r="Q144" s="18">
        <v>4470.6769999999997</v>
      </c>
      <c r="R144" s="18">
        <v>4498.6310000000003</v>
      </c>
      <c r="S144" s="18">
        <v>4527.7510000000002</v>
      </c>
      <c r="T144" s="18">
        <v>4558.1959999999999</v>
      </c>
      <c r="U144" s="18">
        <v>4592.6819999999998</v>
      </c>
      <c r="V144" s="18">
        <v>4631.6099999999997</v>
      </c>
      <c r="W144" s="18">
        <v>4673.241</v>
      </c>
      <c r="X144" s="18">
        <v>4715.1949999999997</v>
      </c>
      <c r="Y144" s="18">
        <v>4757.66</v>
      </c>
      <c r="Z144" s="18">
        <v>4796.97</v>
      </c>
      <c r="AA144" s="18">
        <v>4830.9589999999998</v>
      </c>
      <c r="AB144" s="18">
        <v>4860.67</v>
      </c>
      <c r="AC144" s="18">
        <v>4889.4459999999999</v>
      </c>
      <c r="AD144" s="18">
        <v>4916.7830000000004</v>
      </c>
      <c r="AE144" s="18">
        <v>4939.8950000000004</v>
      </c>
      <c r="AF144" s="18">
        <v>4957.7780000000002</v>
      </c>
      <c r="AG144" s="18">
        <v>4971.3310000000001</v>
      </c>
      <c r="AH144" s="18">
        <v>4982.9049999999997</v>
      </c>
      <c r="AI144" s="18">
        <v>4992.5649999999996</v>
      </c>
      <c r="AJ144" s="18">
        <v>4998.5290000000005</v>
      </c>
      <c r="AK144" s="18">
        <v>5000.3190000000004</v>
      </c>
      <c r="AL144" s="18">
        <v>4998.9960000000001</v>
      </c>
      <c r="AM144" s="18">
        <v>4996.2780000000002</v>
      </c>
      <c r="AN144" s="18">
        <v>4992.0320000000002</v>
      </c>
      <c r="AO144" s="18">
        <v>4987.7529999999997</v>
      </c>
      <c r="AP144" s="18">
        <v>4984.4290000000001</v>
      </c>
      <c r="AQ144" s="18">
        <v>4981.6930000000002</v>
      </c>
      <c r="AR144" s="18">
        <v>4977.9889999999996</v>
      </c>
      <c r="AS144" s="18">
        <v>4973.3879999999999</v>
      </c>
      <c r="AT144" s="18">
        <v>4970.2120000000004</v>
      </c>
      <c r="AU144" s="18">
        <v>4969.3890000000001</v>
      </c>
      <c r="AV144" s="18">
        <v>4969.9650000000001</v>
      </c>
      <c r="AW144" s="18">
        <v>4969.8069999999998</v>
      </c>
      <c r="AX144" s="18">
        <v>4969.0280000000002</v>
      </c>
      <c r="AY144" s="18">
        <v>4968.1030000000001</v>
      </c>
      <c r="AZ144" s="18">
        <v>4966.951</v>
      </c>
      <c r="BA144" s="18">
        <v>4965.1930000000002</v>
      </c>
      <c r="BB144" s="18">
        <v>4962.4139999999998</v>
      </c>
      <c r="BC144" s="18">
        <v>4958.5559999999996</v>
      </c>
      <c r="BD144" s="18">
        <v>4952.7030000000004</v>
      </c>
      <c r="BE144" s="18">
        <v>4944.3069999999998</v>
      </c>
      <c r="BF144" s="18">
        <v>4933.5389999999998</v>
      </c>
      <c r="BG144" s="18">
        <v>4920.6840000000002</v>
      </c>
      <c r="BH144" s="18">
        <v>4905.1629999999996</v>
      </c>
      <c r="BI144" s="18">
        <v>4888.3019999999997</v>
      </c>
      <c r="BJ144" s="18">
        <v>4870.6189999999997</v>
      </c>
      <c r="BK144" s="18">
        <v>4851.0460000000003</v>
      </c>
      <c r="BL144" s="18">
        <v>4828.1499999999996</v>
      </c>
      <c r="BM144" s="18">
        <v>4802.3969999999999</v>
      </c>
      <c r="BN144" s="18">
        <v>4770.7479999999996</v>
      </c>
      <c r="BO144" s="18">
        <v>4731.6000000000004</v>
      </c>
      <c r="BP144" s="18">
        <v>4686.2730000000001</v>
      </c>
      <c r="BQ144" s="18">
        <v>4638.8209999999999</v>
      </c>
      <c r="BR144" s="18">
        <v>4589.7889999999998</v>
      </c>
      <c r="BS144" s="18">
        <v>4533.8540000000003</v>
      </c>
      <c r="BT144" s="18">
        <v>4469.2129999999997</v>
      </c>
      <c r="BU144" s="18">
        <v>4398.95</v>
      </c>
      <c r="BV144" s="18">
        <v>4326.7489999999998</v>
      </c>
      <c r="BW144" s="18">
        <v>4250.4250000000002</v>
      </c>
      <c r="BX144" s="18">
        <v>4181.8029999999999</v>
      </c>
      <c r="BY144" s="18">
        <v>4126.6790000000001</v>
      </c>
      <c r="BZ144" s="18">
        <v>4079.181</v>
      </c>
      <c r="CA144" s="18">
        <v>4024.895</v>
      </c>
      <c r="CB144" s="18">
        <v>3963.4169999999999</v>
      </c>
      <c r="CC144" s="18">
        <v>3903.549</v>
      </c>
      <c r="CD144" s="18">
        <v>3847.1570000000002</v>
      </c>
      <c r="CE144" s="18">
        <v>3788.4290000000001</v>
      </c>
      <c r="CF144" s="18">
        <v>3721.915</v>
      </c>
      <c r="CG144" s="18">
        <v>3651.375</v>
      </c>
      <c r="CH144" s="18">
        <v>3550.7829999999999</v>
      </c>
      <c r="CI144" s="18">
        <v>3407.47</v>
      </c>
      <c r="CJ144" s="18">
        <v>3233.5880000000002</v>
      </c>
      <c r="CK144" s="18">
        <v>3049.3960000000002</v>
      </c>
      <c r="CL144" s="18">
        <v>2881.8760000000002</v>
      </c>
      <c r="CM144" s="18">
        <v>2703.0160000000001</v>
      </c>
      <c r="CN144" s="18">
        <v>2489.748</v>
      </c>
      <c r="CO144" s="18">
        <v>2241.2310000000002</v>
      </c>
      <c r="CP144" s="18">
        <v>2027.567</v>
      </c>
      <c r="CQ144" s="18">
        <v>1896.2560000000001</v>
      </c>
      <c r="CR144" s="18">
        <v>1724.5550000000001</v>
      </c>
      <c r="CS144" s="18">
        <v>1486.6949999999999</v>
      </c>
      <c r="CT144" s="18">
        <v>1182.6759999999999</v>
      </c>
      <c r="CU144" s="18">
        <v>1088.347</v>
      </c>
      <c r="CV144" s="18">
        <v>875.51300000000003</v>
      </c>
      <c r="CW144" s="18">
        <v>608.35500000000002</v>
      </c>
      <c r="CX144" s="18">
        <v>1467.7380000000001</v>
      </c>
      <c r="CY144" s="3">
        <f t="shared" si="11"/>
        <v>426297.19199999992</v>
      </c>
    </row>
    <row r="145" spans="1:119" customFormat="1">
      <c r="A145" s="15">
        <v>2093</v>
      </c>
      <c r="B145" s="18">
        <v>4454.0110000000004</v>
      </c>
      <c r="C145" s="18">
        <v>4466.5630000000001</v>
      </c>
      <c r="D145" s="18">
        <v>4473.3559999999998</v>
      </c>
      <c r="E145" s="18">
        <v>4463.5020000000004</v>
      </c>
      <c r="F145" s="18">
        <v>4464.1850000000004</v>
      </c>
      <c r="G145" s="18">
        <v>4461.9129999999996</v>
      </c>
      <c r="H145" s="18">
        <v>4457.5910000000003</v>
      </c>
      <c r="I145" s="18">
        <v>4452.1239999999998</v>
      </c>
      <c r="J145" s="18">
        <v>4445.9229999999998</v>
      </c>
      <c r="K145" s="18">
        <v>4439.3980000000001</v>
      </c>
      <c r="L145" s="18">
        <v>4435.9279999999999</v>
      </c>
      <c r="M145" s="18">
        <v>4437.4059999999999</v>
      </c>
      <c r="N145" s="18">
        <v>4443.2539999999999</v>
      </c>
      <c r="O145" s="18">
        <v>4450.3819999999996</v>
      </c>
      <c r="P145" s="18">
        <v>4458.6670000000004</v>
      </c>
      <c r="Q145" s="18">
        <v>4474.1540000000005</v>
      </c>
      <c r="R145" s="18">
        <v>4499.3090000000002</v>
      </c>
      <c r="S145" s="18">
        <v>4531.4570000000003</v>
      </c>
      <c r="T145" s="18">
        <v>4564.6909999999998</v>
      </c>
      <c r="U145" s="18">
        <v>4599.2659999999996</v>
      </c>
      <c r="V145" s="18">
        <v>4636.3630000000003</v>
      </c>
      <c r="W145" s="18">
        <v>4675.674</v>
      </c>
      <c r="X145" s="18">
        <v>4716.12</v>
      </c>
      <c r="Y145" s="18">
        <v>4756.759</v>
      </c>
      <c r="Z145" s="18">
        <v>4797.5770000000002</v>
      </c>
      <c r="AA145" s="18">
        <v>4834.9440000000004</v>
      </c>
      <c r="AB145" s="18">
        <v>4866.884</v>
      </c>
      <c r="AC145" s="18">
        <v>4894.4340000000002</v>
      </c>
      <c r="AD145" s="18">
        <v>4920.7510000000002</v>
      </c>
      <c r="AE145" s="18">
        <v>4945.38</v>
      </c>
      <c r="AF145" s="18">
        <v>4965.9679999999998</v>
      </c>
      <c r="AG145" s="18">
        <v>4981.7150000000001</v>
      </c>
      <c r="AH145" s="18">
        <v>4993.3990000000003</v>
      </c>
      <c r="AI145" s="18">
        <v>5003.0379999999996</v>
      </c>
      <c r="AJ145" s="18">
        <v>5010.7539999999999</v>
      </c>
      <c r="AK145" s="18">
        <v>5014.9269999999997</v>
      </c>
      <c r="AL145" s="18">
        <v>5015.1229999999996</v>
      </c>
      <c r="AM145" s="18">
        <v>5012.3599999999997</v>
      </c>
      <c r="AN145" s="18">
        <v>5008.2529999999997</v>
      </c>
      <c r="AO145" s="18">
        <v>5002.6760000000004</v>
      </c>
      <c r="AP145" s="18">
        <v>4997.1409999999996</v>
      </c>
      <c r="AQ145" s="18">
        <v>4992.6279999999997</v>
      </c>
      <c r="AR145" s="18">
        <v>4988.7579999999998</v>
      </c>
      <c r="AS145" s="18">
        <v>4983.9610000000002</v>
      </c>
      <c r="AT145" s="18">
        <v>4978.3010000000004</v>
      </c>
      <c r="AU145" s="18">
        <v>4974.0749999999998</v>
      </c>
      <c r="AV145" s="18">
        <v>4972.1880000000001</v>
      </c>
      <c r="AW145" s="18">
        <v>4971.6909999999998</v>
      </c>
      <c r="AX145" s="18">
        <v>4970.4709999999995</v>
      </c>
      <c r="AY145" s="18">
        <v>4968.6419999999998</v>
      </c>
      <c r="AZ145" s="18">
        <v>4966.6220000000003</v>
      </c>
      <c r="BA145" s="18">
        <v>4964.3019999999997</v>
      </c>
      <c r="BB145" s="18">
        <v>4961.3270000000002</v>
      </c>
      <c r="BC145" s="18">
        <v>4957.3280000000004</v>
      </c>
      <c r="BD145" s="18">
        <v>4952.2359999999999</v>
      </c>
      <c r="BE145" s="18">
        <v>4945.1469999999999</v>
      </c>
      <c r="BF145" s="18">
        <v>4935.5259999999998</v>
      </c>
      <c r="BG145" s="18">
        <v>4923.5330000000004</v>
      </c>
      <c r="BH145" s="18">
        <v>4909.4229999999998</v>
      </c>
      <c r="BI145" s="18">
        <v>4892.6090000000004</v>
      </c>
      <c r="BJ145" s="18">
        <v>4874.473</v>
      </c>
      <c r="BK145" s="18">
        <v>4855.5540000000001</v>
      </c>
      <c r="BL145" s="18">
        <v>4834.75</v>
      </c>
      <c r="BM145" s="18">
        <v>4810.5469999999996</v>
      </c>
      <c r="BN145" s="18">
        <v>4783.3919999999998</v>
      </c>
      <c r="BO145" s="18">
        <v>4750.3310000000001</v>
      </c>
      <c r="BP145" s="18">
        <v>4709.7820000000002</v>
      </c>
      <c r="BQ145" s="18">
        <v>4663.0050000000001</v>
      </c>
      <c r="BR145" s="18">
        <v>4613.902</v>
      </c>
      <c r="BS145" s="18">
        <v>4562.9709999999995</v>
      </c>
      <c r="BT145" s="18">
        <v>4505.0529999999999</v>
      </c>
      <c r="BU145" s="18">
        <v>4438.3829999999998</v>
      </c>
      <c r="BV145" s="18">
        <v>4365.915</v>
      </c>
      <c r="BW145" s="18">
        <v>4291.1000000000004</v>
      </c>
      <c r="BX145" s="18">
        <v>4211.7349999999997</v>
      </c>
      <c r="BY145" s="18">
        <v>4139.5730000000003</v>
      </c>
      <c r="BZ145" s="18">
        <v>4080.3330000000001</v>
      </c>
      <c r="CA145" s="18">
        <v>4028.1</v>
      </c>
      <c r="CB145" s="18">
        <v>3968.623</v>
      </c>
      <c r="CC145" s="18">
        <v>3901.607</v>
      </c>
      <c r="CD145" s="18">
        <v>3834.9169999999999</v>
      </c>
      <c r="CE145" s="18">
        <v>3770.0140000000001</v>
      </c>
      <c r="CF145" s="18">
        <v>3701.5569999999998</v>
      </c>
      <c r="CG145" s="18">
        <v>3625.172</v>
      </c>
      <c r="CH145" s="18">
        <v>3544.6439999999998</v>
      </c>
      <c r="CI145" s="18">
        <v>3433.471</v>
      </c>
      <c r="CJ145" s="18">
        <v>3278.9349999999999</v>
      </c>
      <c r="CK145" s="18">
        <v>3093.5590000000002</v>
      </c>
      <c r="CL145" s="18">
        <v>2895.37</v>
      </c>
      <c r="CM145" s="18">
        <v>2726.8719999999998</v>
      </c>
      <c r="CN145" s="18">
        <v>2544.8539999999998</v>
      </c>
      <c r="CO145" s="18">
        <v>2312.7260000000001</v>
      </c>
      <c r="CP145" s="18">
        <v>2029.9280000000001</v>
      </c>
      <c r="CQ145" s="18">
        <v>1809.069</v>
      </c>
      <c r="CR145" s="18">
        <v>1683.807</v>
      </c>
      <c r="CS145" s="18">
        <v>1515.72</v>
      </c>
      <c r="CT145" s="18">
        <v>1287.6279999999999</v>
      </c>
      <c r="CU145" s="18">
        <v>999.53099999999995</v>
      </c>
      <c r="CV145" s="18">
        <v>880.774</v>
      </c>
      <c r="CW145" s="18">
        <v>617.23199999999997</v>
      </c>
      <c r="CX145" s="18">
        <v>1512.557</v>
      </c>
      <c r="CY145" s="3">
        <f t="shared" ref="CY145:CY152" si="12">SUM(B145:CX145)</f>
        <v>427219.55399999995</v>
      </c>
    </row>
    <row r="146" spans="1:119" customFormat="1">
      <c r="A146" s="15">
        <v>2094</v>
      </c>
      <c r="B146" s="18">
        <v>4459.4889999999996</v>
      </c>
      <c r="C146" s="18">
        <v>4472.2830000000004</v>
      </c>
      <c r="D146" s="18">
        <v>4479.3490000000002</v>
      </c>
      <c r="E146" s="18">
        <v>4481.5950000000003</v>
      </c>
      <c r="F146" s="18">
        <v>4472.723</v>
      </c>
      <c r="G146" s="18">
        <v>4469.8500000000004</v>
      </c>
      <c r="H146" s="18">
        <v>4464.8760000000002</v>
      </c>
      <c r="I146" s="18">
        <v>4458.6980000000003</v>
      </c>
      <c r="J146" s="18">
        <v>4452.2129999999997</v>
      </c>
      <c r="K146" s="18">
        <v>4445.6580000000004</v>
      </c>
      <c r="L146" s="18">
        <v>4439.2719999999999</v>
      </c>
      <c r="M146" s="18">
        <v>4437.2470000000003</v>
      </c>
      <c r="N146" s="18">
        <v>4441.7969999999996</v>
      </c>
      <c r="O146" s="18">
        <v>4451.8419999999996</v>
      </c>
      <c r="P146" s="18">
        <v>4463.3090000000002</v>
      </c>
      <c r="Q146" s="18">
        <v>4476.0789999999997</v>
      </c>
      <c r="R146" s="18">
        <v>4496.1260000000002</v>
      </c>
      <c r="S146" s="18">
        <v>4525.7179999999998</v>
      </c>
      <c r="T146" s="18">
        <v>4562.0450000000001</v>
      </c>
      <c r="U146" s="18">
        <v>4599.3739999999998</v>
      </c>
      <c r="V146" s="18">
        <v>4638.0600000000004</v>
      </c>
      <c r="W146" s="18">
        <v>4677.7489999999998</v>
      </c>
      <c r="X146" s="18">
        <v>4717.4250000000002</v>
      </c>
      <c r="Y146" s="18">
        <v>4756.6660000000002</v>
      </c>
      <c r="Z146" s="18">
        <v>4795.9690000000001</v>
      </c>
      <c r="AA146" s="18">
        <v>4835.1210000000001</v>
      </c>
      <c r="AB146" s="18">
        <v>4870.527</v>
      </c>
      <c r="AC146" s="18">
        <v>4900.4030000000002</v>
      </c>
      <c r="AD146" s="18">
        <v>4925.777</v>
      </c>
      <c r="AE146" s="18">
        <v>4949.6229999999996</v>
      </c>
      <c r="AF146" s="18">
        <v>4971.5330000000004</v>
      </c>
      <c r="AG146" s="18">
        <v>4989.5879999999997</v>
      </c>
      <c r="AH146" s="18">
        <v>5003.192</v>
      </c>
      <c r="AI146" s="18">
        <v>5013.0020000000004</v>
      </c>
      <c r="AJ146" s="18">
        <v>5020.7030000000004</v>
      </c>
      <c r="AK146" s="18">
        <v>5026.4709999999995</v>
      </c>
      <c r="AL146" s="18">
        <v>5028.8509999999997</v>
      </c>
      <c r="AM146" s="18">
        <v>5027.4530000000004</v>
      </c>
      <c r="AN146" s="18">
        <v>5023.25</v>
      </c>
      <c r="AO146" s="18">
        <v>5017.7560000000003</v>
      </c>
      <c r="AP146" s="18">
        <v>5010.8519999999999</v>
      </c>
      <c r="AQ146" s="18">
        <v>5004.0640000000003</v>
      </c>
      <c r="AR146" s="18">
        <v>4998.3639999999996</v>
      </c>
      <c r="AS146" s="18">
        <v>4993.3620000000001</v>
      </c>
      <c r="AT146" s="18">
        <v>4987.473</v>
      </c>
      <c r="AU146" s="18">
        <v>4980.7610000000004</v>
      </c>
      <c r="AV146" s="18">
        <v>4975.4870000000001</v>
      </c>
      <c r="AW146" s="18">
        <v>4972.5370000000003</v>
      </c>
      <c r="AX146" s="18">
        <v>4970.9660000000003</v>
      </c>
      <c r="AY146" s="18">
        <v>4968.6850000000004</v>
      </c>
      <c r="AZ146" s="18">
        <v>4965.808</v>
      </c>
      <c r="BA146" s="18">
        <v>4962.692</v>
      </c>
      <c r="BB146" s="18">
        <v>4959.2079999999996</v>
      </c>
      <c r="BC146" s="18">
        <v>4955.018</v>
      </c>
      <c r="BD146" s="18">
        <v>4949.799</v>
      </c>
      <c r="BE146" s="18">
        <v>4943.4750000000004</v>
      </c>
      <c r="BF146" s="18">
        <v>4935.1549999999997</v>
      </c>
      <c r="BG146" s="18">
        <v>4924.3130000000001</v>
      </c>
      <c r="BH146" s="18">
        <v>4911.1019999999999</v>
      </c>
      <c r="BI146" s="18">
        <v>4895.7439999999997</v>
      </c>
      <c r="BJ146" s="18">
        <v>4877.6450000000004</v>
      </c>
      <c r="BK146" s="18">
        <v>4858.2439999999997</v>
      </c>
      <c r="BL146" s="18">
        <v>4838.098</v>
      </c>
      <c r="BM146" s="18">
        <v>4816.0749999999998</v>
      </c>
      <c r="BN146" s="18">
        <v>4790.576</v>
      </c>
      <c r="BO146" s="18">
        <v>4762.0320000000002</v>
      </c>
      <c r="BP146" s="18">
        <v>4727.5749999999998</v>
      </c>
      <c r="BQ146" s="18">
        <v>4685.6469999999999</v>
      </c>
      <c r="BR146" s="18">
        <v>4637.442</v>
      </c>
      <c r="BS146" s="18">
        <v>4586.7129999999997</v>
      </c>
      <c r="BT146" s="18">
        <v>4533.9080000000004</v>
      </c>
      <c r="BU146" s="18">
        <v>4474.0349999999999</v>
      </c>
      <c r="BV146" s="18">
        <v>4405.3710000000001</v>
      </c>
      <c r="BW146" s="18">
        <v>4330.7330000000002</v>
      </c>
      <c r="BX146" s="18">
        <v>4253.3419999999996</v>
      </c>
      <c r="BY146" s="18">
        <v>4170.9750000000004</v>
      </c>
      <c r="BZ146" s="18">
        <v>4095.31</v>
      </c>
      <c r="CA146" s="18">
        <v>4031.982</v>
      </c>
      <c r="CB146" s="18">
        <v>3975.0419999999999</v>
      </c>
      <c r="CC146" s="18">
        <v>3910.404</v>
      </c>
      <c r="CD146" s="18">
        <v>3837.8829999999998</v>
      </c>
      <c r="CE146" s="18">
        <v>3764.4070000000002</v>
      </c>
      <c r="CF146" s="18">
        <v>3691.029</v>
      </c>
      <c r="CG146" s="18">
        <v>3612.8780000000002</v>
      </c>
      <c r="CH146" s="18">
        <v>3526.6590000000001</v>
      </c>
      <c r="CI146" s="18">
        <v>3436.1860000000001</v>
      </c>
      <c r="CJ146" s="18">
        <v>3314.49</v>
      </c>
      <c r="CK146" s="18">
        <v>3148.8090000000002</v>
      </c>
      <c r="CL146" s="18">
        <v>2952.0320000000002</v>
      </c>
      <c r="CM146" s="18">
        <v>2739.9479999999999</v>
      </c>
      <c r="CN146" s="18">
        <v>2570.5569999999998</v>
      </c>
      <c r="CO146" s="18">
        <v>2385.4699999999998</v>
      </c>
      <c r="CP146" s="18">
        <v>2134.6010000000001</v>
      </c>
      <c r="CQ146" s="18">
        <v>1817.67</v>
      </c>
      <c r="CR146" s="18">
        <v>1589.7280000000001</v>
      </c>
      <c r="CS146" s="18">
        <v>1470.5740000000001</v>
      </c>
      <c r="CT146" s="18">
        <v>1306.184</v>
      </c>
      <c r="CU146" s="18">
        <v>1087.971</v>
      </c>
      <c r="CV146" s="18">
        <v>815.93399999999997</v>
      </c>
      <c r="CW146" s="18">
        <v>624.99</v>
      </c>
      <c r="CX146" s="18">
        <v>1555.0350000000001</v>
      </c>
      <c r="CY146" s="3">
        <f t="shared" si="12"/>
        <v>428147.71099999995</v>
      </c>
    </row>
    <row r="147" spans="1:119" customFormat="1">
      <c r="A147" s="15">
        <v>2095</v>
      </c>
      <c r="B147" s="18">
        <v>4461.6790000000001</v>
      </c>
      <c r="C147" s="18">
        <v>4474.8029999999999</v>
      </c>
      <c r="D147" s="18">
        <v>4482.2430000000004</v>
      </c>
      <c r="E147" s="18">
        <v>4484.8850000000002</v>
      </c>
      <c r="F147" s="18">
        <v>4483.6170000000002</v>
      </c>
      <c r="G147" s="18">
        <v>4479.3270000000002</v>
      </c>
      <c r="H147" s="18">
        <v>4472.9040000000005</v>
      </c>
      <c r="I147" s="18">
        <v>4465.2340000000004</v>
      </c>
      <c r="J147" s="18">
        <v>4457.2060000000001</v>
      </c>
      <c r="K147" s="18">
        <v>4449.7079999999996</v>
      </c>
      <c r="L147" s="18">
        <v>4442.8050000000003</v>
      </c>
      <c r="M147" s="18">
        <v>4436.5600000000004</v>
      </c>
      <c r="N147" s="18">
        <v>4435.9790000000003</v>
      </c>
      <c r="O147" s="18">
        <v>4443.5950000000003</v>
      </c>
      <c r="P147" s="18">
        <v>4457.8249999999998</v>
      </c>
      <c r="Q147" s="18">
        <v>4473.6189999999997</v>
      </c>
      <c r="R147" s="18">
        <v>4490.8609999999999</v>
      </c>
      <c r="S147" s="18">
        <v>4515.45</v>
      </c>
      <c r="T147" s="18">
        <v>4549.4549999999999</v>
      </c>
      <c r="U147" s="18">
        <v>4589.9340000000002</v>
      </c>
      <c r="V147" s="18">
        <v>4631.3320000000003</v>
      </c>
      <c r="W147" s="18">
        <v>4674.1009999999997</v>
      </c>
      <c r="X147" s="18">
        <v>4716.3540000000003</v>
      </c>
      <c r="Y147" s="18">
        <v>4756.3710000000001</v>
      </c>
      <c r="Z147" s="18">
        <v>4794.3860000000004</v>
      </c>
      <c r="AA147" s="18">
        <v>4832.3339999999998</v>
      </c>
      <c r="AB147" s="18">
        <v>4869.799</v>
      </c>
      <c r="AC147" s="18">
        <v>4903.2250000000004</v>
      </c>
      <c r="AD147" s="18">
        <v>4931.0209999999997</v>
      </c>
      <c r="AE147" s="18">
        <v>4954.2089999999998</v>
      </c>
      <c r="AF147" s="18">
        <v>4975.5739999999996</v>
      </c>
      <c r="AG147" s="18">
        <v>4994.7529999999997</v>
      </c>
      <c r="AH147" s="18">
        <v>5010.2690000000002</v>
      </c>
      <c r="AI147" s="18">
        <v>5021.7240000000002</v>
      </c>
      <c r="AJ147" s="18">
        <v>5029.6549999999997</v>
      </c>
      <c r="AK147" s="18">
        <v>5035.4160000000002</v>
      </c>
      <c r="AL147" s="18">
        <v>5039.2359999999999</v>
      </c>
      <c r="AM147" s="18">
        <v>5039.8239999999996</v>
      </c>
      <c r="AN147" s="18">
        <v>5036.8370000000004</v>
      </c>
      <c r="AO147" s="18">
        <v>5031.1980000000003</v>
      </c>
      <c r="AP147" s="18">
        <v>5024.3220000000001</v>
      </c>
      <c r="AQ147" s="18">
        <v>5016.0969999999998</v>
      </c>
      <c r="AR147" s="18">
        <v>5008.0600000000004</v>
      </c>
      <c r="AS147" s="18">
        <v>5001.18</v>
      </c>
      <c r="AT147" s="18">
        <v>4995.049</v>
      </c>
      <c r="AU147" s="18">
        <v>4988.0749999999998</v>
      </c>
      <c r="AV147" s="18">
        <v>4980.3140000000003</v>
      </c>
      <c r="AW147" s="18">
        <v>4973.9949999999999</v>
      </c>
      <c r="AX147" s="18">
        <v>4969.9859999999999</v>
      </c>
      <c r="AY147" s="18">
        <v>4967.3440000000001</v>
      </c>
      <c r="AZ147" s="18">
        <v>4964.0050000000001</v>
      </c>
      <c r="BA147" s="18">
        <v>4960.0820000000003</v>
      </c>
      <c r="BB147" s="18">
        <v>4955.875</v>
      </c>
      <c r="BC147" s="18">
        <v>4951.2280000000001</v>
      </c>
      <c r="BD147" s="18">
        <v>4945.826</v>
      </c>
      <c r="BE147" s="18">
        <v>4939.3950000000004</v>
      </c>
      <c r="BF147" s="18">
        <v>4931.8440000000001</v>
      </c>
      <c r="BG147" s="18">
        <v>4922.299</v>
      </c>
      <c r="BH147" s="18">
        <v>4910.2439999999997</v>
      </c>
      <c r="BI147" s="18">
        <v>4895.8239999999996</v>
      </c>
      <c r="BJ147" s="18">
        <v>4879.2280000000001</v>
      </c>
      <c r="BK147" s="18">
        <v>4859.8559999999998</v>
      </c>
      <c r="BL147" s="18">
        <v>4839.201</v>
      </c>
      <c r="BM147" s="18">
        <v>4817.8429999999998</v>
      </c>
      <c r="BN147" s="18">
        <v>4794.6139999999996</v>
      </c>
      <c r="BO147" s="18">
        <v>4767.8360000000002</v>
      </c>
      <c r="BP147" s="18">
        <v>4737.9219999999996</v>
      </c>
      <c r="BQ147" s="18">
        <v>4702.09</v>
      </c>
      <c r="BR147" s="18">
        <v>4658.8090000000002</v>
      </c>
      <c r="BS147" s="18">
        <v>4609.2060000000001</v>
      </c>
      <c r="BT147" s="18">
        <v>4556.8810000000003</v>
      </c>
      <c r="BU147" s="18">
        <v>4502.2370000000001</v>
      </c>
      <c r="BV147" s="18">
        <v>4440.4459999999999</v>
      </c>
      <c r="BW147" s="18">
        <v>4369.8289999999997</v>
      </c>
      <c r="BX147" s="18">
        <v>4293.067</v>
      </c>
      <c r="BY147" s="18">
        <v>4213.1490000000003</v>
      </c>
      <c r="BZ147" s="18">
        <v>4127.8329999999996</v>
      </c>
      <c r="CA147" s="18">
        <v>4048.7139999999999</v>
      </c>
      <c r="CB147" s="18">
        <v>3981.3409999999999</v>
      </c>
      <c r="CC147" s="18">
        <v>3919.732</v>
      </c>
      <c r="CD147" s="18">
        <v>3849.9760000000001</v>
      </c>
      <c r="CE147" s="18">
        <v>3772.0010000000002</v>
      </c>
      <c r="CF147" s="18">
        <v>3691.788</v>
      </c>
      <c r="CG147" s="18">
        <v>3609.989</v>
      </c>
      <c r="CH147" s="18">
        <v>3522.2020000000002</v>
      </c>
      <c r="CI147" s="18">
        <v>3426.2130000000002</v>
      </c>
      <c r="CJ147" s="18">
        <v>3325.8609999999999</v>
      </c>
      <c r="CK147" s="18">
        <v>3193.7260000000001</v>
      </c>
      <c r="CL147" s="18">
        <v>3017.01</v>
      </c>
      <c r="CM147" s="18">
        <v>2808.9630000000002</v>
      </c>
      <c r="CN147" s="18">
        <v>2583.1260000000002</v>
      </c>
      <c r="CO147" s="18">
        <v>2412.9409999999998</v>
      </c>
      <c r="CP147" s="18">
        <v>2224.8980000000001</v>
      </c>
      <c r="CQ147" s="18">
        <v>1955.46</v>
      </c>
      <c r="CR147" s="18">
        <v>1604.626</v>
      </c>
      <c r="CS147" s="18">
        <v>1369.742</v>
      </c>
      <c r="CT147" s="18">
        <v>1256.759</v>
      </c>
      <c r="CU147" s="18">
        <v>1096.1579999999999</v>
      </c>
      <c r="CV147" s="18">
        <v>887.93799999999999</v>
      </c>
      <c r="CW147" s="18">
        <v>632.1</v>
      </c>
      <c r="CX147" s="18">
        <v>1594.002</v>
      </c>
      <c r="CY147" s="3">
        <f t="shared" si="12"/>
        <v>429081.66400000011</v>
      </c>
    </row>
    <row r="148" spans="1:119" customFormat="1">
      <c r="A148" s="15">
        <v>2096</v>
      </c>
      <c r="B148" s="18">
        <v>4470.4579999999996</v>
      </c>
      <c r="C148" s="18">
        <v>4475.6139999999996</v>
      </c>
      <c r="D148" s="18">
        <v>4485.2960000000003</v>
      </c>
      <c r="E148" s="18">
        <v>4490.1019999999999</v>
      </c>
      <c r="F148" s="18">
        <v>4490.92</v>
      </c>
      <c r="G148" s="18">
        <v>4488.6369999999997</v>
      </c>
      <c r="H148" s="18">
        <v>4483.9690000000001</v>
      </c>
      <c r="I148" s="18">
        <v>4477.6310000000003</v>
      </c>
      <c r="J148" s="18">
        <v>4471.3670000000002</v>
      </c>
      <c r="K148" s="18">
        <v>4466.4040000000005</v>
      </c>
      <c r="L148" s="18">
        <v>4463.1170000000002</v>
      </c>
      <c r="M148" s="18">
        <v>4460.5550000000003</v>
      </c>
      <c r="N148" s="18">
        <v>4458.7939999999999</v>
      </c>
      <c r="O148" s="18">
        <v>4462.78</v>
      </c>
      <c r="P148" s="18">
        <v>4474.8500000000004</v>
      </c>
      <c r="Q148" s="18">
        <v>4493.2879999999996</v>
      </c>
      <c r="R148" s="18">
        <v>4513.2070000000003</v>
      </c>
      <c r="S148" s="18">
        <v>4534.5929999999998</v>
      </c>
      <c r="T148" s="18">
        <v>4561.8149999999996</v>
      </c>
      <c r="U148" s="18">
        <v>4596.241</v>
      </c>
      <c r="V148" s="18">
        <v>4635.58</v>
      </c>
      <c r="W148" s="18">
        <v>4675.7060000000001</v>
      </c>
      <c r="X148" s="18">
        <v>4716.8760000000002</v>
      </c>
      <c r="Y148" s="18">
        <v>4757.2309999999998</v>
      </c>
      <c r="Z148" s="18">
        <v>4795.2430000000004</v>
      </c>
      <c r="AA148" s="18">
        <v>4831.1390000000001</v>
      </c>
      <c r="AB148" s="18">
        <v>4866.67</v>
      </c>
      <c r="AC148" s="18">
        <v>4901.4679999999998</v>
      </c>
      <c r="AD148" s="18">
        <v>4932.4059999999999</v>
      </c>
      <c r="AE148" s="18">
        <v>4958.0860000000002</v>
      </c>
      <c r="AF148" s="18">
        <v>4979.4179999999997</v>
      </c>
      <c r="AG148" s="18">
        <v>4998.8590000000004</v>
      </c>
      <c r="AH148" s="18">
        <v>5016.1040000000003</v>
      </c>
      <c r="AI148" s="18">
        <v>5029.8360000000002</v>
      </c>
      <c r="AJ148" s="18">
        <v>5039.7020000000002</v>
      </c>
      <c r="AK148" s="18">
        <v>5046.1959999999999</v>
      </c>
      <c r="AL148" s="18">
        <v>5050.57</v>
      </c>
      <c r="AM148" s="18">
        <v>5053.0630000000001</v>
      </c>
      <c r="AN148" s="18">
        <v>5052.3980000000001</v>
      </c>
      <c r="AO148" s="18">
        <v>5048.2259999999997</v>
      </c>
      <c r="AP148" s="18">
        <v>5041.4579999999996</v>
      </c>
      <c r="AQ148" s="18">
        <v>5033.4970000000003</v>
      </c>
      <c r="AR148" s="18">
        <v>5024.2240000000002</v>
      </c>
      <c r="AS148" s="18">
        <v>5015.1530000000002</v>
      </c>
      <c r="AT148" s="18">
        <v>5007.232</v>
      </c>
      <c r="AU148" s="18">
        <v>5000.058</v>
      </c>
      <c r="AV148" s="18">
        <v>4992.0540000000001</v>
      </c>
      <c r="AW148" s="18">
        <v>4983.277</v>
      </c>
      <c r="AX148" s="18">
        <v>4975.9030000000002</v>
      </c>
      <c r="AY148" s="18">
        <v>4970.7759999999998</v>
      </c>
      <c r="AZ148" s="18">
        <v>4966.9719999999998</v>
      </c>
      <c r="BA148" s="18">
        <v>4962.4679999999998</v>
      </c>
      <c r="BB148" s="18">
        <v>4957.3670000000002</v>
      </c>
      <c r="BC148" s="18">
        <v>4951.9790000000003</v>
      </c>
      <c r="BD148" s="18">
        <v>4946.1580000000004</v>
      </c>
      <c r="BE148" s="18">
        <v>4939.5810000000001</v>
      </c>
      <c r="BF148" s="18">
        <v>4931.942</v>
      </c>
      <c r="BG148" s="18">
        <v>4923.1409999999996</v>
      </c>
      <c r="BH148" s="18">
        <v>4912.3649999999998</v>
      </c>
      <c r="BI148" s="18">
        <v>4899.1210000000001</v>
      </c>
      <c r="BJ148" s="18">
        <v>4883.5150000000003</v>
      </c>
      <c r="BK148" s="18">
        <v>4865.652</v>
      </c>
      <c r="BL148" s="18">
        <v>4844.9160000000002</v>
      </c>
      <c r="BM148" s="18">
        <v>4822.8670000000002</v>
      </c>
      <c r="BN148" s="18">
        <v>4800.0969999999998</v>
      </c>
      <c r="BO148" s="18">
        <v>4775.3850000000002</v>
      </c>
      <c r="BP148" s="18">
        <v>4746.9430000000002</v>
      </c>
      <c r="BQ148" s="18">
        <v>4715.1499999999996</v>
      </c>
      <c r="BR148" s="18">
        <v>4677.2979999999998</v>
      </c>
      <c r="BS148" s="18">
        <v>4631.8590000000004</v>
      </c>
      <c r="BT148" s="18">
        <v>4579.8860000000004</v>
      </c>
      <c r="BU148" s="18">
        <v>4524.826</v>
      </c>
      <c r="BV148" s="18">
        <v>4467.0349999999999</v>
      </c>
      <c r="BW148" s="18">
        <v>4401.7719999999999</v>
      </c>
      <c r="BX148" s="18">
        <v>4327.3599999999997</v>
      </c>
      <c r="BY148" s="18">
        <v>4246.3649999999998</v>
      </c>
      <c r="BZ148" s="18">
        <v>4161.6750000000002</v>
      </c>
      <c r="CA148" s="18">
        <v>4071.076</v>
      </c>
      <c r="CB148" s="18">
        <v>3985.7440000000001</v>
      </c>
      <c r="CC148" s="18">
        <v>3911.011</v>
      </c>
      <c r="CD148" s="18">
        <v>3841.0540000000001</v>
      </c>
      <c r="CE148" s="18">
        <v>3762.6930000000002</v>
      </c>
      <c r="CF148" s="18">
        <v>3676.1320000000001</v>
      </c>
      <c r="CG148" s="18">
        <v>3585.5659999999998</v>
      </c>
      <c r="CH148" s="18">
        <v>3490.9639999999999</v>
      </c>
      <c r="CI148" s="18">
        <v>3388.9690000000001</v>
      </c>
      <c r="CJ148" s="18">
        <v>3276.9560000000001</v>
      </c>
      <c r="CK148" s="18">
        <v>3175.9409999999998</v>
      </c>
      <c r="CL148" s="18">
        <v>3034.7730000000001</v>
      </c>
      <c r="CM148" s="18">
        <v>2837.0239999999999</v>
      </c>
      <c r="CN148" s="18">
        <v>2593.3049999999998</v>
      </c>
      <c r="CO148" s="18">
        <v>2358.8879999999999</v>
      </c>
      <c r="CP148" s="18">
        <v>2198.386</v>
      </c>
      <c r="CQ148" s="18">
        <v>2013.8340000000001</v>
      </c>
      <c r="CR148" s="18">
        <v>1754.366</v>
      </c>
      <c r="CS148" s="18">
        <v>1419.9829999999999</v>
      </c>
      <c r="CT148" s="18">
        <v>1263.9280000000001</v>
      </c>
      <c r="CU148" s="18">
        <v>1102.239</v>
      </c>
      <c r="CV148" s="18">
        <v>894.40800000000002</v>
      </c>
      <c r="CW148" s="18">
        <v>640.43600000000004</v>
      </c>
      <c r="CX148" s="18">
        <v>1632.162</v>
      </c>
      <c r="CY148" s="3">
        <f t="shared" si="12"/>
        <v>430021.5799999999</v>
      </c>
    </row>
    <row r="149" spans="1:119" customFormat="1">
      <c r="A149" s="15">
        <v>2097</v>
      </c>
      <c r="B149" s="18">
        <v>4477.0780000000004</v>
      </c>
      <c r="C149" s="18">
        <v>4491.4229999999998</v>
      </c>
      <c r="D149" s="18">
        <v>4488.3100000000004</v>
      </c>
      <c r="E149" s="18">
        <v>4494.5420000000004</v>
      </c>
      <c r="F149" s="18">
        <v>4496.71</v>
      </c>
      <c r="G149" s="18">
        <v>4495.7020000000002</v>
      </c>
      <c r="H149" s="18">
        <v>4492.4030000000002</v>
      </c>
      <c r="I149" s="18">
        <v>4487.357</v>
      </c>
      <c r="J149" s="18">
        <v>4481.1080000000002</v>
      </c>
      <c r="K149" s="18">
        <v>4476.2510000000002</v>
      </c>
      <c r="L149" s="18">
        <v>4474.3590000000004</v>
      </c>
      <c r="M149" s="18">
        <v>4475.2889999999998</v>
      </c>
      <c r="N149" s="18">
        <v>4477.0749999999998</v>
      </c>
      <c r="O149" s="18">
        <v>4479.8029999999999</v>
      </c>
      <c r="P149" s="18">
        <v>4488.3590000000004</v>
      </c>
      <c r="Q149" s="18">
        <v>4504.8869999999997</v>
      </c>
      <c r="R149" s="18">
        <v>4527.5309999999999</v>
      </c>
      <c r="S149" s="18">
        <v>4551.5739999999996</v>
      </c>
      <c r="T149" s="18">
        <v>4577.1019999999999</v>
      </c>
      <c r="U149" s="18">
        <v>4606.9539999999997</v>
      </c>
      <c r="V149" s="18">
        <v>4641.79</v>
      </c>
      <c r="W149" s="18">
        <v>4679.9759999999997</v>
      </c>
      <c r="X149" s="18">
        <v>4718.8190000000004</v>
      </c>
      <c r="Y149" s="18">
        <v>4758.375</v>
      </c>
      <c r="Z149" s="18">
        <v>4796.82</v>
      </c>
      <c r="AA149" s="18">
        <v>4832.8130000000001</v>
      </c>
      <c r="AB149" s="18">
        <v>4866.5789999999997</v>
      </c>
      <c r="AC149" s="18">
        <v>4899.68</v>
      </c>
      <c r="AD149" s="18">
        <v>4931.799</v>
      </c>
      <c r="AE149" s="18">
        <v>4960.2349999999997</v>
      </c>
      <c r="AF149" s="18">
        <v>4983.7910000000002</v>
      </c>
      <c r="AG149" s="18">
        <v>5003.2579999999998</v>
      </c>
      <c r="AH149" s="18">
        <v>5020.768</v>
      </c>
      <c r="AI149" s="18">
        <v>5036.0720000000001</v>
      </c>
      <c r="AJ149" s="18">
        <v>5048.0129999999999</v>
      </c>
      <c r="AK149" s="18">
        <v>5056.2860000000001</v>
      </c>
      <c r="AL149" s="18">
        <v>5061.3389999999999</v>
      </c>
      <c r="AM149" s="18">
        <v>5064.3239999999996</v>
      </c>
      <c r="AN149" s="18">
        <v>5065.4880000000003</v>
      </c>
      <c r="AO149" s="18">
        <v>5063.5680000000002</v>
      </c>
      <c r="AP149" s="18">
        <v>5058.2110000000002</v>
      </c>
      <c r="AQ149" s="18">
        <v>5050.3159999999998</v>
      </c>
      <c r="AR149" s="18">
        <v>5041.2700000000004</v>
      </c>
      <c r="AS149" s="18">
        <v>5030.951</v>
      </c>
      <c r="AT149" s="18">
        <v>5020.8450000000003</v>
      </c>
      <c r="AU149" s="18">
        <v>5011.8869999999997</v>
      </c>
      <c r="AV149" s="18">
        <v>5003.6689999999999</v>
      </c>
      <c r="AW149" s="18">
        <v>4994.6369999999997</v>
      </c>
      <c r="AX149" s="18">
        <v>4984.8459999999995</v>
      </c>
      <c r="AY149" s="18">
        <v>4976.4170000000004</v>
      </c>
      <c r="AZ149" s="18">
        <v>4970.1719999999996</v>
      </c>
      <c r="BA149" s="18">
        <v>4965.2049999999999</v>
      </c>
      <c r="BB149" s="18">
        <v>4959.5360000000001</v>
      </c>
      <c r="BC149" s="18">
        <v>4953.2569999999996</v>
      </c>
      <c r="BD149" s="18">
        <v>4946.6890000000003</v>
      </c>
      <c r="BE149" s="18">
        <v>4939.6940000000004</v>
      </c>
      <c r="BF149" s="18">
        <v>4931.9430000000002</v>
      </c>
      <c r="BG149" s="18">
        <v>4923.0959999999995</v>
      </c>
      <c r="BH149" s="18">
        <v>4913.0460000000003</v>
      </c>
      <c r="BI149" s="18">
        <v>4901.0410000000002</v>
      </c>
      <c r="BJ149" s="18">
        <v>4886.6090000000004</v>
      </c>
      <c r="BK149" s="18">
        <v>4869.8220000000001</v>
      </c>
      <c r="BL149" s="18">
        <v>4850.6940000000004</v>
      </c>
      <c r="BM149" s="18">
        <v>4828.598</v>
      </c>
      <c r="BN149" s="18">
        <v>4805.1589999999997</v>
      </c>
      <c r="BO149" s="18">
        <v>4780.982</v>
      </c>
      <c r="BP149" s="18">
        <v>4754.7929999999997</v>
      </c>
      <c r="BQ149" s="18">
        <v>4724.6909999999998</v>
      </c>
      <c r="BR149" s="18">
        <v>4691.0290000000005</v>
      </c>
      <c r="BS149" s="18">
        <v>4651.1639999999998</v>
      </c>
      <c r="BT149" s="18">
        <v>4603.5770000000002</v>
      </c>
      <c r="BU149" s="18">
        <v>4549.2449999999999</v>
      </c>
      <c r="BV149" s="18">
        <v>4491.4639999999999</v>
      </c>
      <c r="BW149" s="18">
        <v>4430.5379999999996</v>
      </c>
      <c r="BX149" s="18">
        <v>4361.8159999999998</v>
      </c>
      <c r="BY149" s="18">
        <v>4283.6239999999998</v>
      </c>
      <c r="BZ149" s="18">
        <v>4198.4170000000004</v>
      </c>
      <c r="CA149" s="18">
        <v>4108.9709999999995</v>
      </c>
      <c r="CB149" s="18">
        <v>4013.11</v>
      </c>
      <c r="CC149" s="18">
        <v>3921.5830000000001</v>
      </c>
      <c r="CD149" s="18">
        <v>3839.502</v>
      </c>
      <c r="CE149" s="18">
        <v>3761.2049999999999</v>
      </c>
      <c r="CF149" s="18">
        <v>3674.2510000000002</v>
      </c>
      <c r="CG149" s="18">
        <v>3579.1210000000001</v>
      </c>
      <c r="CH149" s="18">
        <v>3478.2150000000001</v>
      </c>
      <c r="CI149" s="18">
        <v>3370.8220000000001</v>
      </c>
      <c r="CJ149" s="18">
        <v>3254.6289999999999</v>
      </c>
      <c r="CK149" s="18">
        <v>3126.6060000000002</v>
      </c>
      <c r="CL149" s="18">
        <v>3024.9560000000001</v>
      </c>
      <c r="CM149" s="18">
        <v>2874.7809999999999</v>
      </c>
      <c r="CN149" s="18">
        <v>2656.0320000000002</v>
      </c>
      <c r="CO149" s="18">
        <v>2376.6669999999999</v>
      </c>
      <c r="CP149" s="18">
        <v>2133.7269999999999</v>
      </c>
      <c r="CQ149" s="18">
        <v>1982.9649999999999</v>
      </c>
      <c r="CR149" s="18">
        <v>1801.961</v>
      </c>
      <c r="CS149" s="18">
        <v>1552.547</v>
      </c>
      <c r="CT149" s="18">
        <v>1234.7249999999999</v>
      </c>
      <c r="CU149" s="18">
        <v>1111.4369999999999</v>
      </c>
      <c r="CV149" s="18">
        <v>902.98299999999995</v>
      </c>
      <c r="CW149" s="18">
        <v>649.04999999999995</v>
      </c>
      <c r="CX149" s="18">
        <v>1665.5060000000001</v>
      </c>
      <c r="CY149" s="3">
        <f t="shared" si="12"/>
        <v>430967.91199999995</v>
      </c>
    </row>
    <row r="150" spans="1:119" customFormat="1">
      <c r="A150" s="15">
        <v>2098</v>
      </c>
      <c r="B150" s="18">
        <v>4481.1989999999996</v>
      </c>
      <c r="C150" s="18">
        <v>4496.4129999999996</v>
      </c>
      <c r="D150" s="18">
        <v>4505.87</v>
      </c>
      <c r="E150" s="18">
        <v>4499.4129999999996</v>
      </c>
      <c r="F150" s="18">
        <v>4502.1899999999996</v>
      </c>
      <c r="G150" s="18">
        <v>4501.72</v>
      </c>
      <c r="H150" s="18">
        <v>4498.8850000000002</v>
      </c>
      <c r="I150" s="18">
        <v>4494.5709999999999</v>
      </c>
      <c r="J150" s="18">
        <v>4489.1480000000001</v>
      </c>
      <c r="K150" s="18">
        <v>4482.9889999999996</v>
      </c>
      <c r="L150" s="18">
        <v>4479.5450000000001</v>
      </c>
      <c r="M150" s="18">
        <v>4480.7240000000002</v>
      </c>
      <c r="N150" s="18">
        <v>4485.8729999999996</v>
      </c>
      <c r="O150" s="18">
        <v>4492.009</v>
      </c>
      <c r="P150" s="18">
        <v>4499.2269999999999</v>
      </c>
      <c r="Q150" s="18">
        <v>4512.3530000000001</v>
      </c>
      <c r="R150" s="18">
        <v>4533.3339999999998</v>
      </c>
      <c r="S150" s="18">
        <v>4560.1779999999999</v>
      </c>
      <c r="T150" s="18">
        <v>4588.3389999999999</v>
      </c>
      <c r="U150" s="18">
        <v>4618.0039999999999</v>
      </c>
      <c r="V150" s="18">
        <v>4650.4750000000004</v>
      </c>
      <c r="W150" s="18">
        <v>4685.7089999999998</v>
      </c>
      <c r="X150" s="18">
        <v>4722.7299999999996</v>
      </c>
      <c r="Y150" s="18">
        <v>4760.2740000000003</v>
      </c>
      <c r="Z150" s="18">
        <v>4798.201</v>
      </c>
      <c r="AA150" s="18">
        <v>4834.7209999999995</v>
      </c>
      <c r="AB150" s="18">
        <v>4868.6819999999998</v>
      </c>
      <c r="AC150" s="18">
        <v>4900.3029999999999</v>
      </c>
      <c r="AD150" s="18">
        <v>4930.9620000000004</v>
      </c>
      <c r="AE150" s="18">
        <v>4960.3890000000001</v>
      </c>
      <c r="AF150" s="18">
        <v>4986.3119999999999</v>
      </c>
      <c r="AG150" s="18">
        <v>5007.7340000000004</v>
      </c>
      <c r="AH150" s="18">
        <v>5025.3280000000004</v>
      </c>
      <c r="AI150" s="18">
        <v>5040.9009999999998</v>
      </c>
      <c r="AJ150" s="18">
        <v>5054.2550000000001</v>
      </c>
      <c r="AK150" s="18">
        <v>5064.4009999999998</v>
      </c>
      <c r="AL150" s="18">
        <v>5071.0770000000002</v>
      </c>
      <c r="AM150" s="18">
        <v>5074.6859999999997</v>
      </c>
      <c r="AN150" s="18">
        <v>5076.28</v>
      </c>
      <c r="AO150" s="18">
        <v>5076.1130000000003</v>
      </c>
      <c r="AP150" s="18">
        <v>5072.9399999999996</v>
      </c>
      <c r="AQ150" s="18">
        <v>5066.3999999999996</v>
      </c>
      <c r="AR150" s="18">
        <v>5057.3789999999999</v>
      </c>
      <c r="AS150" s="18">
        <v>5047.25</v>
      </c>
      <c r="AT150" s="18">
        <v>5035.8879999999999</v>
      </c>
      <c r="AU150" s="18">
        <v>5024.7520000000004</v>
      </c>
      <c r="AV150" s="18">
        <v>5014.7579999999998</v>
      </c>
      <c r="AW150" s="18">
        <v>5005.4989999999998</v>
      </c>
      <c r="AX150" s="18">
        <v>4995.4430000000002</v>
      </c>
      <c r="AY150" s="18">
        <v>4984.6390000000001</v>
      </c>
      <c r="AZ150" s="18">
        <v>4975.1580000000004</v>
      </c>
      <c r="BA150" s="18">
        <v>4967.7969999999996</v>
      </c>
      <c r="BB150" s="18">
        <v>4961.6679999999997</v>
      </c>
      <c r="BC150" s="18">
        <v>4954.835</v>
      </c>
      <c r="BD150" s="18">
        <v>4947.3789999999999</v>
      </c>
      <c r="BE150" s="18">
        <v>4939.6329999999998</v>
      </c>
      <c r="BF150" s="18">
        <v>4931.4669999999996</v>
      </c>
      <c r="BG150" s="18">
        <v>4922.5429999999997</v>
      </c>
      <c r="BH150" s="18">
        <v>4912.491</v>
      </c>
      <c r="BI150" s="18">
        <v>4901.1949999999997</v>
      </c>
      <c r="BJ150" s="18">
        <v>4887.9629999999997</v>
      </c>
      <c r="BK150" s="18">
        <v>4872.3500000000004</v>
      </c>
      <c r="BL150" s="18">
        <v>4854.3850000000002</v>
      </c>
      <c r="BM150" s="18">
        <v>4834</v>
      </c>
      <c r="BN150" s="18">
        <v>4810.55</v>
      </c>
      <c r="BO150" s="18">
        <v>4785.7290000000003</v>
      </c>
      <c r="BP150" s="18">
        <v>4760.1530000000002</v>
      </c>
      <c r="BQ150" s="18">
        <v>4732.4949999999999</v>
      </c>
      <c r="BR150" s="18">
        <v>4700.7439999999997</v>
      </c>
      <c r="BS150" s="18">
        <v>4665.2209999999995</v>
      </c>
      <c r="BT150" s="18">
        <v>4623.3580000000002</v>
      </c>
      <c r="BU150" s="18">
        <v>4573.6400000000003</v>
      </c>
      <c r="BV150" s="18">
        <v>4516.9660000000003</v>
      </c>
      <c r="BW150" s="18">
        <v>4456.482</v>
      </c>
      <c r="BX150" s="18">
        <v>4392.442</v>
      </c>
      <c r="BY150" s="18">
        <v>4320.2839999999997</v>
      </c>
      <c r="BZ150" s="18">
        <v>4238.3389999999999</v>
      </c>
      <c r="CA150" s="18">
        <v>4148.9459999999999</v>
      </c>
      <c r="CB150" s="18">
        <v>4054.7750000000001</v>
      </c>
      <c r="CC150" s="18">
        <v>3953.683</v>
      </c>
      <c r="CD150" s="18">
        <v>3855.9879999999998</v>
      </c>
      <c r="CE150" s="18">
        <v>3766.5839999999998</v>
      </c>
      <c r="CF150" s="18">
        <v>3679.973</v>
      </c>
      <c r="CG150" s="18">
        <v>3584.451</v>
      </c>
      <c r="CH150" s="18">
        <v>3480.78</v>
      </c>
      <c r="CI150" s="18">
        <v>3369.5659999999998</v>
      </c>
      <c r="CJ150" s="18">
        <v>3249.413</v>
      </c>
      <c r="CK150" s="18">
        <v>3119.058</v>
      </c>
      <c r="CL150" s="18">
        <v>2975.0610000000001</v>
      </c>
      <c r="CM150" s="18">
        <v>2872.8119999999999</v>
      </c>
      <c r="CN150" s="18">
        <v>2713.681</v>
      </c>
      <c r="CO150" s="18">
        <v>2473.9969999999998</v>
      </c>
      <c r="CP150" s="18">
        <v>2159.067</v>
      </c>
      <c r="CQ150" s="18">
        <v>1907.6859999999999</v>
      </c>
      <c r="CR150" s="18">
        <v>1766.723</v>
      </c>
      <c r="CS150" s="18">
        <v>1589.3320000000001</v>
      </c>
      <c r="CT150" s="18">
        <v>1350.068</v>
      </c>
      <c r="CU150" s="18">
        <v>1048.93</v>
      </c>
      <c r="CV150" s="18">
        <v>914.07500000000005</v>
      </c>
      <c r="CW150" s="18">
        <v>658.00300000000004</v>
      </c>
      <c r="CX150" s="18">
        <v>1692.998</v>
      </c>
      <c r="CY150" s="3">
        <f t="shared" si="12"/>
        <v>431921.38199999998</v>
      </c>
    </row>
    <row r="151" spans="1:119" customFormat="1">
      <c r="A151" s="15">
        <v>2099</v>
      </c>
      <c r="B151" s="18">
        <v>4482.5739999999996</v>
      </c>
      <c r="C151" s="18">
        <v>4498.7619999999997</v>
      </c>
      <c r="D151" s="18">
        <v>4509.0810000000001</v>
      </c>
      <c r="E151" s="18">
        <v>4514.3950000000004</v>
      </c>
      <c r="F151" s="18">
        <v>4508.58</v>
      </c>
      <c r="G151" s="18">
        <v>4507.9030000000002</v>
      </c>
      <c r="H151" s="18">
        <v>4504.7929999999997</v>
      </c>
      <c r="I151" s="18">
        <v>4500.1329999999998</v>
      </c>
      <c r="J151" s="18">
        <v>4494.8059999999996</v>
      </c>
      <c r="K151" s="18">
        <v>4489.0110000000004</v>
      </c>
      <c r="L151" s="18">
        <v>4482.9449999999997</v>
      </c>
      <c r="M151" s="18">
        <v>4480.9110000000001</v>
      </c>
      <c r="N151" s="18">
        <v>4485.1620000000003</v>
      </c>
      <c r="O151" s="18">
        <v>4494.527</v>
      </c>
      <c r="P151" s="18">
        <v>4505.0079999999998</v>
      </c>
      <c r="Q151" s="18">
        <v>4516.7120000000004</v>
      </c>
      <c r="R151" s="18">
        <v>4534.3999999999996</v>
      </c>
      <c r="S151" s="18">
        <v>4559.826</v>
      </c>
      <c r="T151" s="18">
        <v>4590.8559999999998</v>
      </c>
      <c r="U151" s="18">
        <v>4623.1229999999996</v>
      </c>
      <c r="V151" s="18">
        <v>4656.9089999999997</v>
      </c>
      <c r="W151" s="18">
        <v>4691.9859999999999</v>
      </c>
      <c r="X151" s="18">
        <v>4727.6030000000001</v>
      </c>
      <c r="Y151" s="18">
        <v>4763.4399999999996</v>
      </c>
      <c r="Z151" s="18">
        <v>4799.6710000000003</v>
      </c>
      <c r="AA151" s="18">
        <v>4835.9539999999997</v>
      </c>
      <c r="AB151" s="18">
        <v>4870.5330000000004</v>
      </c>
      <c r="AC151" s="18">
        <v>4902.4480000000003</v>
      </c>
      <c r="AD151" s="18">
        <v>4931.9110000000001</v>
      </c>
      <c r="AE151" s="18">
        <v>4960.1149999999998</v>
      </c>
      <c r="AF151" s="18">
        <v>4986.8379999999997</v>
      </c>
      <c r="AG151" s="18">
        <v>5010.2389999999996</v>
      </c>
      <c r="AH151" s="18">
        <v>5029.5169999999998</v>
      </c>
      <c r="AI151" s="18">
        <v>5045.2309999999998</v>
      </c>
      <c r="AJ151" s="18">
        <v>5058.8599999999997</v>
      </c>
      <c r="AK151" s="18">
        <v>5070.2610000000004</v>
      </c>
      <c r="AL151" s="18">
        <v>5078.6080000000002</v>
      </c>
      <c r="AM151" s="18">
        <v>5083.6840000000002</v>
      </c>
      <c r="AN151" s="18">
        <v>5085.8490000000002</v>
      </c>
      <c r="AO151" s="18">
        <v>5086.05</v>
      </c>
      <c r="AP151" s="18">
        <v>5084.5529999999999</v>
      </c>
      <c r="AQ151" s="18">
        <v>5080.1279999999997</v>
      </c>
      <c r="AR151" s="18">
        <v>5072.4070000000002</v>
      </c>
      <c r="AS151" s="18">
        <v>5062.2650000000003</v>
      </c>
      <c r="AT151" s="18">
        <v>5051.0590000000002</v>
      </c>
      <c r="AU151" s="18">
        <v>5038.66</v>
      </c>
      <c r="AV151" s="18">
        <v>5026.4970000000003</v>
      </c>
      <c r="AW151" s="18">
        <v>5015.4719999999998</v>
      </c>
      <c r="AX151" s="18">
        <v>5005.1769999999997</v>
      </c>
      <c r="AY151" s="18">
        <v>4994.0990000000002</v>
      </c>
      <c r="AZ151" s="18">
        <v>4982.2889999999998</v>
      </c>
      <c r="BA151" s="18">
        <v>4971.76</v>
      </c>
      <c r="BB151" s="18">
        <v>4963.2860000000001</v>
      </c>
      <c r="BC151" s="18">
        <v>4955.9979999999996</v>
      </c>
      <c r="BD151" s="18">
        <v>4948.0050000000001</v>
      </c>
      <c r="BE151" s="18">
        <v>4939.3760000000002</v>
      </c>
      <c r="BF151" s="18">
        <v>4930.4549999999999</v>
      </c>
      <c r="BG151" s="18">
        <v>4921.1210000000001</v>
      </c>
      <c r="BH151" s="18">
        <v>4911.0280000000002</v>
      </c>
      <c r="BI151" s="18">
        <v>4899.777</v>
      </c>
      <c r="BJ151" s="18">
        <v>4887.2389999999996</v>
      </c>
      <c r="BK151" s="18">
        <v>4872.7879999999996</v>
      </c>
      <c r="BL151" s="18">
        <v>4855.9979999999996</v>
      </c>
      <c r="BM151" s="18">
        <v>4836.8649999999998</v>
      </c>
      <c r="BN151" s="18">
        <v>4815.232</v>
      </c>
      <c r="BO151" s="18">
        <v>4790.4390000000003</v>
      </c>
      <c r="BP151" s="18">
        <v>4764.2439999999997</v>
      </c>
      <c r="BQ151" s="18">
        <v>4737.2809999999999</v>
      </c>
      <c r="BR151" s="18">
        <v>4708.1679999999997</v>
      </c>
      <c r="BS151" s="18">
        <v>4674.7809999999999</v>
      </c>
      <c r="BT151" s="18">
        <v>4637.415</v>
      </c>
      <c r="BU151" s="18">
        <v>4593.5690000000004</v>
      </c>
      <c r="BV151" s="18">
        <v>4541.7430000000004</v>
      </c>
      <c r="BW151" s="18">
        <v>4482.7529999999997</v>
      </c>
      <c r="BX151" s="18">
        <v>4419.5929999999998</v>
      </c>
      <c r="BY151" s="18">
        <v>4352.4650000000001</v>
      </c>
      <c r="BZ151" s="18">
        <v>4276.9030000000002</v>
      </c>
      <c r="CA151" s="18">
        <v>4191.2420000000002</v>
      </c>
      <c r="CB151" s="18">
        <v>4097.7020000000002</v>
      </c>
      <c r="CC151" s="18">
        <v>3998.848</v>
      </c>
      <c r="CD151" s="18">
        <v>3892.5680000000002</v>
      </c>
      <c r="CE151" s="18">
        <v>3788.752</v>
      </c>
      <c r="CF151" s="18">
        <v>3692.0659999999998</v>
      </c>
      <c r="CG151" s="18">
        <v>3597.1779999999999</v>
      </c>
      <c r="CH151" s="18">
        <v>3493.1329999999998</v>
      </c>
      <c r="CI151" s="18">
        <v>3380.9679999999998</v>
      </c>
      <c r="CJ151" s="18">
        <v>3259.4940000000001</v>
      </c>
      <c r="CK151" s="18">
        <v>3126.6370000000002</v>
      </c>
      <c r="CL151" s="18">
        <v>2982.18</v>
      </c>
      <c r="CM151" s="18">
        <v>2822.2750000000001</v>
      </c>
      <c r="CN151" s="18">
        <v>2719.471</v>
      </c>
      <c r="CO151" s="18">
        <v>2551.453</v>
      </c>
      <c r="CP151" s="18">
        <v>2290.9430000000002</v>
      </c>
      <c r="CQ151" s="18">
        <v>1940.596</v>
      </c>
      <c r="CR151" s="18">
        <v>1680.884</v>
      </c>
      <c r="CS151" s="18">
        <v>1549.777</v>
      </c>
      <c r="CT151" s="18">
        <v>1376.075</v>
      </c>
      <c r="CU151" s="18">
        <v>1147.06</v>
      </c>
      <c r="CV151" s="18">
        <v>862.73099999999999</v>
      </c>
      <c r="CW151" s="18">
        <v>667.18799999999999</v>
      </c>
      <c r="CX151" s="18">
        <v>1713.6389999999999</v>
      </c>
      <c r="CY151" s="3">
        <f t="shared" si="12"/>
        <v>432882.96300000028</v>
      </c>
    </row>
    <row r="152" spans="1:119" customFormat="1">
      <c r="A152" s="15">
        <v>2100</v>
      </c>
      <c r="B152" s="18">
        <v>4480.9290000000001</v>
      </c>
      <c r="C152" s="18">
        <v>4498.09</v>
      </c>
      <c r="D152" s="18">
        <v>4509.232</v>
      </c>
      <c r="E152" s="18">
        <v>4515.2380000000003</v>
      </c>
      <c r="F152" s="18">
        <v>4516.9840000000004</v>
      </c>
      <c r="G152" s="18">
        <v>4515.3540000000003</v>
      </c>
      <c r="H152" s="18">
        <v>4511.2269999999999</v>
      </c>
      <c r="I152" s="18">
        <v>4505.4840000000004</v>
      </c>
      <c r="J152" s="18">
        <v>4499.0039999999999</v>
      </c>
      <c r="K152" s="18">
        <v>4492.6679999999997</v>
      </c>
      <c r="L152" s="18">
        <v>4486.5020000000004</v>
      </c>
      <c r="M152" s="18">
        <v>4480.5309999999999</v>
      </c>
      <c r="N152" s="18">
        <v>4479.91</v>
      </c>
      <c r="O152" s="18">
        <v>4487.2250000000004</v>
      </c>
      <c r="P152" s="18">
        <v>4500.7960000000003</v>
      </c>
      <c r="Q152" s="18">
        <v>4515.6099999999997</v>
      </c>
      <c r="R152" s="18">
        <v>4531.7889999999998</v>
      </c>
      <c r="S152" s="18">
        <v>4554.0259999999998</v>
      </c>
      <c r="T152" s="18">
        <v>4583.875</v>
      </c>
      <c r="U152" s="18">
        <v>4619.0720000000001</v>
      </c>
      <c r="V152" s="18">
        <v>4655.4210000000003</v>
      </c>
      <c r="W152" s="18">
        <v>4693.3059999999996</v>
      </c>
      <c r="X152" s="18">
        <v>4730.9660000000003</v>
      </c>
      <c r="Y152" s="18">
        <v>4766.9459999999999</v>
      </c>
      <c r="Z152" s="18">
        <v>4801.5839999999998</v>
      </c>
      <c r="AA152" s="18">
        <v>4836.4840000000004</v>
      </c>
      <c r="AB152" s="18">
        <v>4871.1040000000003</v>
      </c>
      <c r="AC152" s="18">
        <v>4903.7269999999999</v>
      </c>
      <c r="AD152" s="18">
        <v>4933.5810000000001</v>
      </c>
      <c r="AE152" s="18">
        <v>4960.8739999999998</v>
      </c>
      <c r="AF152" s="18">
        <v>4986.6109999999999</v>
      </c>
      <c r="AG152" s="18">
        <v>5010.62</v>
      </c>
      <c r="AH152" s="18">
        <v>5031.4870000000001</v>
      </c>
      <c r="AI152" s="18">
        <v>5048.616</v>
      </c>
      <c r="AJ152" s="18">
        <v>5062.4440000000004</v>
      </c>
      <c r="AK152" s="18">
        <v>5074.1220000000003</v>
      </c>
      <c r="AL152" s="18">
        <v>5083.5680000000002</v>
      </c>
      <c r="AM152" s="18">
        <v>5090.1120000000001</v>
      </c>
      <c r="AN152" s="18">
        <v>5093.5889999999999</v>
      </c>
      <c r="AO152" s="18">
        <v>5094.3090000000002</v>
      </c>
      <c r="AP152" s="18">
        <v>5093.1210000000001</v>
      </c>
      <c r="AQ152" s="18">
        <v>5090.2950000000001</v>
      </c>
      <c r="AR152" s="18">
        <v>5084.6220000000003</v>
      </c>
      <c r="AS152" s="18">
        <v>5075.7259999999997</v>
      </c>
      <c r="AT152" s="18">
        <v>5064.4690000000001</v>
      </c>
      <c r="AU152" s="18">
        <v>5052.1930000000002</v>
      </c>
      <c r="AV152" s="18">
        <v>5038.7640000000001</v>
      </c>
      <c r="AW152" s="18">
        <v>5025.5839999999998</v>
      </c>
      <c r="AX152" s="18">
        <v>5013.5330000000004</v>
      </c>
      <c r="AY152" s="18">
        <v>5002.2089999999998</v>
      </c>
      <c r="AZ152" s="18">
        <v>4990.1170000000002</v>
      </c>
      <c r="BA152" s="18">
        <v>4977.308</v>
      </c>
      <c r="BB152" s="18">
        <v>4965.7380000000003</v>
      </c>
      <c r="BC152" s="18">
        <v>4956.1570000000002</v>
      </c>
      <c r="BD152" s="18">
        <v>4947.7160000000003</v>
      </c>
      <c r="BE152" s="18">
        <v>4938.567</v>
      </c>
      <c r="BF152" s="18">
        <v>4928.7719999999999</v>
      </c>
      <c r="BG152" s="18">
        <v>4918.6809999999996</v>
      </c>
      <c r="BH152" s="18">
        <v>4908.1859999999997</v>
      </c>
      <c r="BI152" s="18">
        <v>4896.9309999999996</v>
      </c>
      <c r="BJ152" s="18">
        <v>4884.4859999999999</v>
      </c>
      <c r="BK152" s="18">
        <v>4870.7169999999996</v>
      </c>
      <c r="BL152" s="18">
        <v>4855.0550000000003</v>
      </c>
      <c r="BM152" s="18">
        <v>4837.0990000000002</v>
      </c>
      <c r="BN152" s="18">
        <v>4816.8090000000002</v>
      </c>
      <c r="BO152" s="18">
        <v>4793.9399999999996</v>
      </c>
      <c r="BP152" s="18">
        <v>4767.8190000000004</v>
      </c>
      <c r="BQ152" s="18">
        <v>4740.268</v>
      </c>
      <c r="BR152" s="18">
        <v>4711.9319999999998</v>
      </c>
      <c r="BS152" s="18">
        <v>4681.38</v>
      </c>
      <c r="BT152" s="18">
        <v>4646.3770000000004</v>
      </c>
      <c r="BU152" s="18">
        <v>4607.1880000000001</v>
      </c>
      <c r="BV152" s="18">
        <v>4561.3879999999999</v>
      </c>
      <c r="BW152" s="18">
        <v>4507.4809999999998</v>
      </c>
      <c r="BX152" s="18">
        <v>4446.2089999999998</v>
      </c>
      <c r="BY152" s="18">
        <v>4380.4089999999997</v>
      </c>
      <c r="BZ152" s="18">
        <v>4310.2349999999997</v>
      </c>
      <c r="CA152" s="18">
        <v>4231.3130000000001</v>
      </c>
      <c r="CB152" s="18">
        <v>4141.9830000000002</v>
      </c>
      <c r="CC152" s="18">
        <v>4044.3530000000001</v>
      </c>
      <c r="CD152" s="18">
        <v>3940.873</v>
      </c>
      <c r="CE152" s="18">
        <v>3829.4690000000001</v>
      </c>
      <c r="CF152" s="18">
        <v>3719.5920000000001</v>
      </c>
      <c r="CG152" s="18">
        <v>3615.683</v>
      </c>
      <c r="CH152" s="18">
        <v>3512.5790000000002</v>
      </c>
      <c r="CI152" s="18">
        <v>3400.0749999999998</v>
      </c>
      <c r="CJ152" s="18">
        <v>3279.4870000000001</v>
      </c>
      <c r="CK152" s="18">
        <v>3147.8310000000001</v>
      </c>
      <c r="CL152" s="18">
        <v>3002.355</v>
      </c>
      <c r="CM152" s="18">
        <v>2843.8879999999999</v>
      </c>
      <c r="CN152" s="18">
        <v>2668.1790000000001</v>
      </c>
      <c r="CO152" s="18">
        <v>2564.875</v>
      </c>
      <c r="CP152" s="18">
        <v>2388.0709999999999</v>
      </c>
      <c r="CQ152" s="18">
        <v>2106.9</v>
      </c>
      <c r="CR152" s="18">
        <v>1721.3620000000001</v>
      </c>
      <c r="CS152" s="18">
        <v>1453.4680000000001</v>
      </c>
      <c r="CT152" s="18">
        <v>1332.2750000000001</v>
      </c>
      <c r="CU152" s="18">
        <v>1162.3510000000001</v>
      </c>
      <c r="CV152" s="18">
        <v>943.69299999999998</v>
      </c>
      <c r="CW152" s="18">
        <v>676.303</v>
      </c>
      <c r="CX152" s="18">
        <v>1726.4349999999999</v>
      </c>
      <c r="CY152" s="3">
        <f t="shared" si="12"/>
        <v>433853.89100000006</v>
      </c>
    </row>
    <row r="153" spans="1:119">
      <c r="DA153"/>
      <c r="DB153"/>
      <c r="DC153" s="7"/>
      <c r="DI153" s="3"/>
      <c r="DJ153" s="3"/>
      <c r="DO153" s="3"/>
    </row>
    <row r="154" spans="1:119">
      <c r="DA154"/>
      <c r="DB154"/>
      <c r="DC154" s="7"/>
      <c r="DI154" s="3"/>
      <c r="DJ154" s="3"/>
      <c r="DO154" s="3"/>
    </row>
    <row r="155" spans="1:119">
      <c r="DA155"/>
      <c r="DB155"/>
      <c r="DC155" s="7"/>
      <c r="DI155" s="3"/>
      <c r="DJ155" s="3"/>
      <c r="DO155" s="3"/>
    </row>
    <row r="156" spans="1:119">
      <c r="DA156"/>
      <c r="DB156"/>
      <c r="DC156" s="7"/>
      <c r="DI156" s="3"/>
      <c r="DJ156" s="3"/>
      <c r="DO156" s="3"/>
    </row>
    <row r="157" spans="1:119">
      <c r="DA157"/>
      <c r="DB157"/>
      <c r="DC157" s="7"/>
      <c r="DI157" s="3"/>
      <c r="DJ157" s="3"/>
      <c r="DO157" s="3"/>
    </row>
    <row r="158" spans="1:119">
      <c r="DA158"/>
      <c r="DB158"/>
      <c r="DC158" s="7"/>
      <c r="DI158" s="3"/>
      <c r="DJ158" s="3"/>
      <c r="DO158" s="3"/>
    </row>
    <row r="159" spans="1:119">
      <c r="DA159"/>
      <c r="DB159"/>
      <c r="DC159" s="7"/>
      <c r="DI159" s="3"/>
      <c r="DJ159" s="3"/>
      <c r="DO159" s="3"/>
    </row>
    <row r="160" spans="1:119">
      <c r="DA160"/>
      <c r="DB160"/>
      <c r="DC160" s="7"/>
      <c r="DI160" s="3"/>
      <c r="DJ160" s="3"/>
      <c r="DO160" s="3"/>
    </row>
    <row r="161" spans="105:119">
      <c r="DA161"/>
      <c r="DB161"/>
      <c r="DC161" s="7"/>
      <c r="DI161" s="3"/>
      <c r="DJ161" s="3"/>
      <c r="DO161" s="3"/>
    </row>
    <row r="162" spans="105:119">
      <c r="DA162"/>
      <c r="DB162"/>
      <c r="DC162" s="7"/>
      <c r="DI162" s="3"/>
      <c r="DJ162" s="3"/>
      <c r="DO162" s="3"/>
    </row>
    <row r="163" spans="105:119">
      <c r="DA163"/>
      <c r="DB163"/>
      <c r="DC163" s="7"/>
      <c r="DI163" s="3"/>
      <c r="DJ163" s="3"/>
      <c r="DO163" s="3"/>
    </row>
    <row r="164" spans="105:119">
      <c r="DA164"/>
      <c r="DB164"/>
      <c r="DC164" s="7"/>
      <c r="DI164" s="3"/>
      <c r="DJ164" s="3"/>
      <c r="DO164" s="3"/>
    </row>
    <row r="165" spans="105:119">
      <c r="DA165"/>
      <c r="DB165"/>
      <c r="DC165" s="7"/>
      <c r="DI165" s="3"/>
      <c r="DJ165" s="3"/>
      <c r="DO165" s="3"/>
    </row>
    <row r="166" spans="105:119">
      <c r="DA166"/>
      <c r="DB166"/>
      <c r="DC166" s="7"/>
      <c r="DI166" s="3"/>
      <c r="DJ166" s="3"/>
      <c r="DO166" s="3"/>
    </row>
    <row r="167" spans="105:119">
      <c r="DA167"/>
      <c r="DB167"/>
      <c r="DC167" s="7"/>
      <c r="DI167" s="3"/>
      <c r="DJ167" s="3"/>
      <c r="DO167" s="3"/>
    </row>
    <row r="168" spans="105:119">
      <c r="DA168"/>
      <c r="DB168"/>
      <c r="DC168" s="7"/>
      <c r="DI168" s="3"/>
      <c r="DJ168" s="3"/>
      <c r="DO168" s="3"/>
    </row>
    <row r="169" spans="105:119">
      <c r="DA169"/>
      <c r="DB169"/>
      <c r="DC169" s="7"/>
      <c r="DI169" s="3"/>
      <c r="DJ169" s="3"/>
      <c r="DO169" s="3"/>
    </row>
    <row r="170" spans="105:119">
      <c r="DA170"/>
      <c r="DB170"/>
      <c r="DC170" s="7"/>
      <c r="DI170" s="3"/>
      <c r="DJ170" s="3"/>
      <c r="DO170" s="3"/>
    </row>
    <row r="171" spans="105:119">
      <c r="DA171"/>
      <c r="DB171"/>
      <c r="DC171" s="7"/>
      <c r="DI171" s="3"/>
      <c r="DJ171" s="3"/>
      <c r="DO171" s="3"/>
    </row>
    <row r="172" spans="105:119">
      <c r="DA172"/>
      <c r="DB172"/>
      <c r="DC172" s="7"/>
      <c r="DI172" s="3"/>
      <c r="DJ172" s="3"/>
      <c r="DO172" s="3"/>
    </row>
    <row r="173" spans="105:119">
      <c r="DA173"/>
      <c r="DB173"/>
      <c r="DC173" s="7"/>
      <c r="DI173" s="3"/>
      <c r="DJ173" s="3"/>
      <c r="DO173" s="3"/>
    </row>
    <row r="174" spans="105:119">
      <c r="DA174"/>
      <c r="DB174"/>
      <c r="DC174" s="7"/>
      <c r="DI174" s="3"/>
      <c r="DJ174" s="3"/>
      <c r="DO174" s="3"/>
    </row>
    <row r="175" spans="105:119">
      <c r="DA175"/>
      <c r="DB175"/>
      <c r="DC175" s="7"/>
      <c r="DI175" s="3"/>
      <c r="DJ175" s="3"/>
      <c r="DO175" s="3"/>
    </row>
    <row r="176" spans="105:119">
      <c r="DA176"/>
      <c r="DB176"/>
      <c r="DC176" s="7"/>
      <c r="DI176" s="3"/>
      <c r="DJ176" s="3"/>
      <c r="DO176" s="3"/>
    </row>
    <row r="177" spans="105:119">
      <c r="DA177"/>
      <c r="DB177"/>
      <c r="DC177" s="7"/>
      <c r="DI177" s="3"/>
      <c r="DJ177" s="3"/>
      <c r="DO177" s="3"/>
    </row>
    <row r="178" spans="105:119">
      <c r="DA178"/>
      <c r="DB178"/>
      <c r="DC178" s="7"/>
      <c r="DI178" s="3"/>
      <c r="DJ178" s="3"/>
      <c r="DO178" s="3"/>
    </row>
    <row r="179" spans="105:119">
      <c r="DA179"/>
      <c r="DB179"/>
      <c r="DC179" s="7"/>
      <c r="DI179" s="3"/>
      <c r="DJ179" s="3"/>
      <c r="DO179" s="3"/>
    </row>
    <row r="180" spans="105:119">
      <c r="DA180"/>
      <c r="DB180"/>
      <c r="DC180" s="7"/>
      <c r="DI180" s="3"/>
      <c r="DJ180" s="3"/>
      <c r="DO180" s="3"/>
    </row>
    <row r="181" spans="105:119">
      <c r="DA181"/>
      <c r="DB181"/>
      <c r="DC181" s="7"/>
      <c r="DI181" s="3"/>
      <c r="DJ181" s="3"/>
      <c r="DO181" s="3"/>
    </row>
    <row r="182" spans="105:119">
      <c r="DA182"/>
      <c r="DB182"/>
      <c r="DC182" s="7"/>
      <c r="DI182" s="3"/>
      <c r="DJ182" s="3"/>
      <c r="DO182" s="3"/>
    </row>
    <row r="183" spans="105:119">
      <c r="DA183"/>
      <c r="DB183"/>
      <c r="DC183" s="7"/>
      <c r="DI183" s="3"/>
      <c r="DJ183" s="3"/>
      <c r="DO183" s="3"/>
    </row>
    <row r="184" spans="105:119">
      <c r="DA184"/>
      <c r="DB184"/>
      <c r="DC184" s="7"/>
      <c r="DI184" s="3"/>
      <c r="DJ184" s="3"/>
      <c r="DO184" s="3"/>
    </row>
    <row r="185" spans="105:119">
      <c r="DA185"/>
      <c r="DB185"/>
      <c r="DC185" s="7"/>
      <c r="DI185" s="3"/>
      <c r="DJ185" s="3"/>
      <c r="DO185" s="3"/>
    </row>
    <row r="186" spans="105:119">
      <c r="DA186"/>
      <c r="DB186"/>
      <c r="DC186" s="7"/>
      <c r="DI186" s="3"/>
      <c r="DJ186" s="3"/>
      <c r="DO186" s="3"/>
    </row>
    <row r="187" spans="105:119">
      <c r="DA187"/>
      <c r="DB187"/>
      <c r="DC187" s="7"/>
      <c r="DI187" s="3"/>
      <c r="DJ187" s="3"/>
      <c r="DO187" s="3"/>
    </row>
    <row r="188" spans="105:119">
      <c r="DA188"/>
      <c r="DB188"/>
      <c r="DC188" s="7"/>
      <c r="DI188" s="3"/>
      <c r="DJ188" s="3"/>
      <c r="DO188" s="3"/>
    </row>
    <row r="189" spans="105:119">
      <c r="DA189"/>
      <c r="DB189"/>
      <c r="DC189" s="7"/>
      <c r="DI189" s="3"/>
      <c r="DJ189" s="3"/>
      <c r="DO189" s="3"/>
    </row>
    <row r="190" spans="105:119">
      <c r="DA190"/>
      <c r="DB190"/>
      <c r="DC190" s="7"/>
      <c r="DI190" s="3"/>
      <c r="DJ190" s="3"/>
      <c r="DO190" s="3"/>
    </row>
    <row r="191" spans="105:119">
      <c r="DA191"/>
      <c r="DB191"/>
      <c r="DC191" s="7"/>
      <c r="DI191" s="3"/>
      <c r="DJ191" s="3"/>
      <c r="DO191" s="3"/>
    </row>
    <row r="192" spans="105:119">
      <c r="DA192"/>
      <c r="DB192"/>
      <c r="DC192" s="7"/>
      <c r="DI192" s="3"/>
      <c r="DJ192" s="3"/>
      <c r="DO192" s="3"/>
    </row>
    <row r="193" spans="105:119">
      <c r="DA193"/>
      <c r="DB193"/>
      <c r="DC193" s="7"/>
      <c r="DI193" s="3"/>
      <c r="DJ193" s="3"/>
      <c r="DO193" s="3"/>
    </row>
    <row r="194" spans="105:119">
      <c r="DA194"/>
      <c r="DB194"/>
      <c r="DC194" s="7"/>
      <c r="DI194" s="3"/>
      <c r="DJ194" s="3"/>
      <c r="DO194" s="3"/>
    </row>
    <row r="195" spans="105:119">
      <c r="DA195"/>
      <c r="DB195"/>
      <c r="DC195" s="7"/>
      <c r="DI195" s="3"/>
      <c r="DJ195" s="3"/>
      <c r="DO195" s="3"/>
    </row>
    <row r="196" spans="105:119">
      <c r="DA196"/>
      <c r="DB196"/>
      <c r="DC196" s="7"/>
      <c r="DI196" s="3"/>
      <c r="DJ196" s="3"/>
      <c r="DO196" s="3"/>
    </row>
    <row r="197" spans="105:119">
      <c r="DA197"/>
      <c r="DB197"/>
      <c r="DC197" s="7"/>
      <c r="DI197" s="3"/>
      <c r="DJ197" s="3"/>
      <c r="DO197" s="3"/>
    </row>
    <row r="198" spans="105:119">
      <c r="DA198"/>
      <c r="DB198"/>
      <c r="DC198" s="7"/>
      <c r="DI198" s="3"/>
      <c r="DJ198" s="3"/>
      <c r="DO198" s="3"/>
    </row>
    <row r="199" spans="105:119">
      <c r="DA199"/>
      <c r="DB199"/>
      <c r="DC199" s="7"/>
      <c r="DI199" s="3"/>
      <c r="DJ199" s="3"/>
      <c r="DO199" s="3"/>
    </row>
    <row r="200" spans="105:119">
      <c r="DA200"/>
      <c r="DB200"/>
      <c r="DC200" s="7"/>
      <c r="DI200" s="3"/>
      <c r="DJ200" s="3"/>
      <c r="DO200" s="3"/>
    </row>
    <row r="201" spans="105:119">
      <c r="DA201"/>
      <c r="DB201"/>
      <c r="DC201" s="7"/>
      <c r="DI201" s="3"/>
      <c r="DJ201" s="3"/>
      <c r="DO201" s="3"/>
    </row>
    <row r="202" spans="105:119">
      <c r="DA202"/>
      <c r="DB202"/>
      <c r="DC202" s="7"/>
      <c r="DI202" s="3"/>
      <c r="DJ202" s="3"/>
      <c r="DO202" s="3"/>
    </row>
    <row r="203" spans="105:119">
      <c r="DA203"/>
      <c r="DB203"/>
      <c r="DC203" s="7"/>
      <c r="DI203" s="3"/>
      <c r="DJ203" s="3"/>
      <c r="DO203" s="3"/>
    </row>
    <row r="204" spans="105:119">
      <c r="DA204"/>
      <c r="DB204"/>
      <c r="DC204" s="7"/>
      <c r="DI204" s="3"/>
      <c r="DJ204" s="3"/>
      <c r="DO204" s="3"/>
    </row>
    <row r="205" spans="105:119">
      <c r="DA205"/>
      <c r="DB205"/>
      <c r="DC205" s="7"/>
      <c r="DI205" s="3"/>
      <c r="DJ205" s="3"/>
      <c r="DO205" s="3"/>
    </row>
    <row r="206" spans="105:119">
      <c r="DA206"/>
      <c r="DB206"/>
      <c r="DC206" s="7"/>
      <c r="DI206" s="3"/>
      <c r="DJ206" s="3"/>
      <c r="DO206" s="3"/>
    </row>
    <row r="207" spans="105:119">
      <c r="DA207"/>
      <c r="DB207"/>
      <c r="DC207" s="7"/>
      <c r="DI207" s="3"/>
      <c r="DJ207" s="3"/>
      <c r="DO207" s="3"/>
    </row>
    <row r="208" spans="105:119">
      <c r="DA208"/>
      <c r="DB208"/>
      <c r="DC208" s="7"/>
      <c r="DI208" s="3"/>
      <c r="DJ208" s="3"/>
      <c r="DO208" s="3"/>
    </row>
    <row r="209" spans="105:119">
      <c r="DA209"/>
      <c r="DB209"/>
      <c r="DC209" s="7"/>
      <c r="DI209" s="3"/>
      <c r="DJ209" s="3"/>
      <c r="DO209" s="3"/>
    </row>
    <row r="210" spans="105:119">
      <c r="DA210"/>
      <c r="DB210"/>
      <c r="DC210" s="7"/>
      <c r="DI210" s="3"/>
      <c r="DJ210" s="3"/>
      <c r="DO210" s="3"/>
    </row>
    <row r="211" spans="105:119">
      <c r="DA211"/>
      <c r="DB211"/>
      <c r="DC211" s="7"/>
      <c r="DI211" s="3"/>
      <c r="DJ211" s="3"/>
      <c r="DO211" s="3"/>
    </row>
    <row r="212" spans="105:119">
      <c r="DA212"/>
      <c r="DB212"/>
      <c r="DC212" s="7"/>
      <c r="DI212" s="3"/>
      <c r="DJ212" s="3"/>
      <c r="DO212" s="3"/>
    </row>
    <row r="213" spans="105:119">
      <c r="DA213"/>
      <c r="DB213"/>
      <c r="DC213" s="7"/>
      <c r="DI213" s="3"/>
      <c r="DJ213" s="3"/>
      <c r="DO213" s="3"/>
    </row>
    <row r="214" spans="105:119">
      <c r="DA214"/>
      <c r="DB214"/>
      <c r="DC214" s="7"/>
      <c r="DI214" s="3"/>
      <c r="DJ214" s="3"/>
      <c r="DO214" s="3"/>
    </row>
    <row r="215" spans="105:119">
      <c r="DA215"/>
      <c r="DB215"/>
      <c r="DC215" s="7"/>
      <c r="DI215" s="3"/>
      <c r="DJ215" s="3"/>
      <c r="DO215" s="3"/>
    </row>
    <row r="216" spans="105:119">
      <c r="DA216"/>
      <c r="DB216"/>
      <c r="DC216" s="7"/>
      <c r="DI216" s="3"/>
      <c r="DJ216" s="3"/>
      <c r="DO216" s="3"/>
    </row>
    <row r="217" spans="105:119">
      <c r="DA217"/>
      <c r="DB217"/>
      <c r="DC217" s="7"/>
      <c r="DI217" s="3"/>
      <c r="DJ217" s="3"/>
      <c r="DO217" s="3"/>
    </row>
    <row r="218" spans="105:119">
      <c r="DA218"/>
      <c r="DB218"/>
      <c r="DC218" s="7"/>
      <c r="DI218" s="3"/>
      <c r="DJ218" s="3"/>
      <c r="DO218" s="3"/>
    </row>
    <row r="219" spans="105:119">
      <c r="DA219"/>
      <c r="DB219"/>
      <c r="DC219" s="7"/>
      <c r="DI219" s="3"/>
      <c r="DJ219" s="3"/>
      <c r="DO219" s="3"/>
    </row>
    <row r="220" spans="105:119">
      <c r="DA220"/>
      <c r="DB220"/>
      <c r="DC220" s="7"/>
      <c r="DI220" s="3"/>
      <c r="DJ220" s="3"/>
      <c r="DO220" s="3"/>
    </row>
    <row r="221" spans="105:119">
      <c r="DA221"/>
      <c r="DB221"/>
      <c r="DC221" s="7"/>
      <c r="DI221" s="3"/>
      <c r="DJ221" s="3"/>
      <c r="DO221" s="3"/>
    </row>
    <row r="222" spans="105:119">
      <c r="DA222"/>
      <c r="DB222"/>
      <c r="DC222" s="7"/>
      <c r="DI222" s="3"/>
      <c r="DJ222" s="3"/>
      <c r="DO222" s="3"/>
    </row>
    <row r="223" spans="105:119">
      <c r="DA223"/>
      <c r="DB223"/>
      <c r="DC223" s="7"/>
      <c r="DI223" s="3"/>
      <c r="DJ223" s="3"/>
      <c r="DO223" s="3"/>
    </row>
    <row r="224" spans="105:119">
      <c r="DA224"/>
      <c r="DB224"/>
      <c r="DC224" s="7"/>
      <c r="DI224" s="3"/>
      <c r="DJ224" s="3"/>
      <c r="DO224" s="3"/>
    </row>
    <row r="225" spans="105:119">
      <c r="DA225"/>
      <c r="DB225"/>
      <c r="DC225" s="7"/>
      <c r="DI225" s="3"/>
      <c r="DJ225" s="3"/>
      <c r="DO225" s="3"/>
    </row>
    <row r="226" spans="105:119">
      <c r="DA226"/>
      <c r="DB226"/>
      <c r="DC226" s="7"/>
      <c r="DI226" s="3"/>
      <c r="DJ226" s="3"/>
      <c r="DO226" s="3"/>
    </row>
    <row r="227" spans="105:119">
      <c r="DA227"/>
      <c r="DB227"/>
      <c r="DC227" s="7"/>
      <c r="DI227" s="3"/>
      <c r="DJ227" s="3"/>
      <c r="DO227" s="3"/>
    </row>
    <row r="228" spans="105:119">
      <c r="DA228"/>
      <c r="DB228"/>
      <c r="DC228" s="7"/>
      <c r="DI228" s="3"/>
      <c r="DJ228" s="3"/>
      <c r="DO228" s="3"/>
    </row>
    <row r="229" spans="105:119">
      <c r="DA229"/>
      <c r="DB229"/>
      <c r="DC229" s="7"/>
      <c r="DI229" s="3"/>
      <c r="DJ229" s="3"/>
      <c r="DO229" s="3"/>
    </row>
    <row r="230" spans="105:119">
      <c r="DA230"/>
      <c r="DB230"/>
      <c r="DC230" s="7"/>
      <c r="DI230" s="3"/>
      <c r="DJ230" s="3"/>
      <c r="DO230" s="3"/>
    </row>
    <row r="231" spans="105:119">
      <c r="DA231"/>
      <c r="DB231"/>
      <c r="DC231" s="7"/>
      <c r="DI231" s="3"/>
      <c r="DJ231" s="3"/>
      <c r="DO231" s="3"/>
    </row>
    <row r="232" spans="105:119">
      <c r="DA232"/>
      <c r="DB232"/>
      <c r="DC232" s="7"/>
      <c r="DI232" s="3"/>
      <c r="DJ232" s="3"/>
      <c r="DO232" s="3"/>
    </row>
    <row r="233" spans="105:119">
      <c r="DA233"/>
      <c r="DB233"/>
      <c r="DC233" s="7"/>
      <c r="DI233" s="3"/>
      <c r="DJ233" s="3"/>
      <c r="DO233" s="3"/>
    </row>
    <row r="234" spans="105:119">
      <c r="DA234"/>
      <c r="DB234"/>
      <c r="DC234" s="7"/>
      <c r="DI234" s="3"/>
      <c r="DJ234" s="3"/>
      <c r="DO234" s="3"/>
    </row>
    <row r="235" spans="105:119">
      <c r="DA235"/>
      <c r="DB235"/>
      <c r="DC235" s="7"/>
      <c r="DI235" s="3"/>
      <c r="DJ235" s="3"/>
      <c r="DO235" s="3"/>
    </row>
    <row r="236" spans="105:119">
      <c r="DA236"/>
      <c r="DB236"/>
      <c r="DC236" s="7"/>
      <c r="DI236" s="3"/>
      <c r="DJ236" s="3"/>
      <c r="DO236" s="3"/>
    </row>
    <row r="237" spans="105:119">
      <c r="DA237"/>
      <c r="DB237"/>
      <c r="DC237" s="7"/>
      <c r="DI237" s="3"/>
      <c r="DJ237" s="3"/>
      <c r="DO237" s="3"/>
    </row>
    <row r="238" spans="105:119">
      <c r="DA238"/>
      <c r="DB238"/>
      <c r="DC238" s="7"/>
      <c r="DI238" s="3"/>
      <c r="DJ238" s="3"/>
      <c r="DO238" s="3"/>
    </row>
    <row r="239" spans="105:119">
      <c r="DA239"/>
      <c r="DB239"/>
      <c r="DC239" s="7"/>
      <c r="DI239" s="3"/>
      <c r="DJ239" s="3"/>
      <c r="DO239" s="3"/>
    </row>
    <row r="240" spans="105:119">
      <c r="DA240"/>
      <c r="DB240"/>
      <c r="DC240" s="7"/>
      <c r="DI240" s="3"/>
      <c r="DJ240" s="3"/>
      <c r="DO240" s="3"/>
    </row>
    <row r="241" spans="105:119">
      <c r="DA241"/>
      <c r="DB241"/>
      <c r="DC241" s="7"/>
      <c r="DI241" s="3"/>
      <c r="DJ241" s="3"/>
      <c r="DO241" s="3"/>
    </row>
    <row r="242" spans="105:119">
      <c r="DA242"/>
      <c r="DB242"/>
      <c r="DC242" s="7"/>
      <c r="DI242" s="3"/>
      <c r="DJ242" s="3"/>
      <c r="DO242" s="3"/>
    </row>
    <row r="243" spans="105:119">
      <c r="DA243"/>
      <c r="DB243"/>
      <c r="DC243" s="7"/>
      <c r="DI243" s="3"/>
      <c r="DJ243" s="3"/>
      <c r="DO243" s="3"/>
    </row>
    <row r="244" spans="105:119">
      <c r="DA244"/>
      <c r="DB244"/>
      <c r="DC244" s="7"/>
      <c r="DI244" s="3"/>
      <c r="DJ244" s="3"/>
      <c r="DO244" s="3"/>
    </row>
    <row r="245" spans="105:119">
      <c r="DA245"/>
      <c r="DB245"/>
      <c r="DC245" s="7"/>
      <c r="DI245" s="3"/>
      <c r="DJ245" s="3"/>
      <c r="DO245" s="3"/>
    </row>
    <row r="246" spans="105:119">
      <c r="DA246"/>
      <c r="DB246"/>
      <c r="DC246" s="7"/>
      <c r="DI246" s="3"/>
      <c r="DJ246" s="3"/>
      <c r="DO246" s="3"/>
    </row>
    <row r="247" spans="105:119">
      <c r="DA247"/>
      <c r="DB247"/>
      <c r="DC247" s="7"/>
      <c r="DI247" s="3"/>
      <c r="DJ247" s="3"/>
      <c r="DO247" s="3"/>
    </row>
    <row r="248" spans="105:119">
      <c r="DA248"/>
      <c r="DB248"/>
      <c r="DC248" s="7"/>
      <c r="DI248" s="3"/>
      <c r="DJ248" s="3"/>
      <c r="DO248" s="3"/>
    </row>
    <row r="249" spans="105:119">
      <c r="DA249"/>
      <c r="DB249"/>
      <c r="DC249" s="7"/>
      <c r="DI249" s="3"/>
      <c r="DJ249" s="3"/>
      <c r="DO249" s="3"/>
    </row>
    <row r="250" spans="105:119">
      <c r="DA250"/>
      <c r="DB250"/>
      <c r="DC250" s="7"/>
      <c r="DI250" s="3"/>
      <c r="DJ250" s="3"/>
      <c r="DO250" s="3"/>
    </row>
    <row r="251" spans="105:119">
      <c r="DA251"/>
      <c r="DB251"/>
      <c r="DC251" s="7"/>
      <c r="DI251" s="3"/>
      <c r="DJ251" s="3"/>
      <c r="DO251" s="3"/>
    </row>
    <row r="252" spans="105:119">
      <c r="DA252"/>
      <c r="DB252"/>
      <c r="DC252" s="7"/>
      <c r="DI252" s="3"/>
      <c r="DJ252" s="3"/>
      <c r="DO252" s="3"/>
    </row>
    <row r="253" spans="105:119">
      <c r="DA253"/>
      <c r="DB253"/>
      <c r="DC253" s="7"/>
      <c r="DI253" s="3"/>
      <c r="DJ253" s="3"/>
      <c r="DO253" s="3"/>
    </row>
    <row r="254" spans="105:119">
      <c r="DA254"/>
      <c r="DB254"/>
      <c r="DC254" s="7"/>
      <c r="DI254" s="3"/>
      <c r="DJ254" s="3"/>
      <c r="DO254" s="3"/>
    </row>
    <row r="255" spans="105:119">
      <c r="DA255"/>
      <c r="DB255"/>
      <c r="DC255" s="7"/>
      <c r="DI255" s="3"/>
      <c r="DJ255" s="3"/>
      <c r="DO255" s="3"/>
    </row>
    <row r="256" spans="105:119">
      <c r="DA256"/>
      <c r="DB256"/>
      <c r="DC256" s="7"/>
      <c r="DI256" s="3"/>
      <c r="DJ256" s="3"/>
      <c r="DO256" s="3"/>
    </row>
    <row r="257" spans="105:119">
      <c r="DA257"/>
      <c r="DB257"/>
      <c r="DC257" s="7"/>
      <c r="DI257" s="3"/>
      <c r="DJ257" s="3"/>
      <c r="DO257" s="3"/>
    </row>
    <row r="258" spans="105:119">
      <c r="DA258"/>
      <c r="DB258"/>
      <c r="DC258" s="7"/>
      <c r="DI258" s="3"/>
      <c r="DJ258" s="3"/>
      <c r="DO258" s="3"/>
    </row>
    <row r="259" spans="105:119">
      <c r="DA259"/>
      <c r="DB259"/>
      <c r="DC259" s="7"/>
      <c r="DI259" s="3"/>
      <c r="DJ259" s="3"/>
      <c r="DO259" s="3"/>
    </row>
    <row r="260" spans="105:119">
      <c r="DA260"/>
      <c r="DB260"/>
      <c r="DC260" s="7"/>
      <c r="DI260" s="3"/>
      <c r="DJ260" s="3"/>
      <c r="DO260" s="3"/>
    </row>
    <row r="261" spans="105:119">
      <c r="DA261"/>
      <c r="DB261"/>
      <c r="DC261" s="7"/>
      <c r="DI261" s="3"/>
      <c r="DJ261" s="3"/>
      <c r="DO261" s="3"/>
    </row>
    <row r="262" spans="105:119">
      <c r="DA262"/>
      <c r="DB262"/>
      <c r="DC262" s="7"/>
      <c r="DI262" s="3"/>
      <c r="DJ262" s="3"/>
      <c r="DO262" s="3"/>
    </row>
    <row r="263" spans="105:119">
      <c r="DA263"/>
      <c r="DB263"/>
      <c r="DC263" s="7"/>
      <c r="DI263" s="3"/>
      <c r="DJ263" s="3"/>
      <c r="DO263" s="3"/>
    </row>
    <row r="264" spans="105:119">
      <c r="DA264"/>
      <c r="DB264"/>
      <c r="DC264" s="7"/>
      <c r="DI264" s="3"/>
      <c r="DJ264" s="3"/>
      <c r="DO264" s="3"/>
    </row>
    <row r="265" spans="105:119">
      <c r="DA265"/>
      <c r="DB265"/>
      <c r="DC265" s="7"/>
      <c r="DI265" s="3"/>
      <c r="DJ265" s="3"/>
      <c r="DO265" s="3"/>
    </row>
    <row r="266" spans="105:119">
      <c r="DA266"/>
      <c r="DB266"/>
      <c r="DC266" s="7"/>
      <c r="DI266" s="3"/>
      <c r="DJ266" s="3"/>
      <c r="DO266" s="3"/>
    </row>
    <row r="267" spans="105:119">
      <c r="DA267"/>
      <c r="DB267"/>
      <c r="DC267" s="7"/>
      <c r="DI267" s="3"/>
      <c r="DJ267" s="3"/>
      <c r="DO267" s="3"/>
    </row>
    <row r="268" spans="105:119">
      <c r="DA268"/>
      <c r="DB268"/>
      <c r="DC268" s="7"/>
      <c r="DI268" s="3"/>
      <c r="DJ268" s="3"/>
      <c r="DO268" s="3"/>
    </row>
    <row r="269" spans="105:119">
      <c r="DA269"/>
      <c r="DB269"/>
      <c r="DC269" s="7"/>
      <c r="DI269" s="3"/>
      <c r="DJ269" s="3"/>
      <c r="DO269" s="3"/>
    </row>
    <row r="270" spans="105:119">
      <c r="DA270"/>
      <c r="DB270"/>
      <c r="DC270" s="7"/>
      <c r="DI270" s="3"/>
      <c r="DJ270" s="3"/>
      <c r="DO270" s="3"/>
    </row>
    <row r="271" spans="105:119">
      <c r="DA271"/>
      <c r="DB271"/>
      <c r="DC271" s="7"/>
      <c r="DI271" s="3"/>
      <c r="DJ271" s="3"/>
      <c r="DO271" s="3"/>
    </row>
    <row r="272" spans="105:119">
      <c r="DA272"/>
      <c r="DB272"/>
      <c r="DC272" s="7"/>
      <c r="DI272" s="3"/>
      <c r="DJ272" s="3"/>
      <c r="DO272" s="3"/>
    </row>
    <row r="273" spans="105:119">
      <c r="DA273"/>
      <c r="DB273"/>
      <c r="DC273" s="7"/>
      <c r="DI273" s="3"/>
      <c r="DJ273" s="3"/>
      <c r="DO273" s="3"/>
    </row>
    <row r="274" spans="105:119">
      <c r="DA274"/>
      <c r="DB274"/>
      <c r="DC274" s="7"/>
      <c r="DI274" s="3"/>
      <c r="DJ274" s="3"/>
      <c r="DO274" s="3"/>
    </row>
    <row r="275" spans="105:119">
      <c r="DA275"/>
      <c r="DB275"/>
      <c r="DC275" s="7"/>
      <c r="DI275" s="3"/>
      <c r="DJ275" s="3"/>
      <c r="DO275" s="3"/>
    </row>
    <row r="276" spans="105:119">
      <c r="DA276"/>
      <c r="DB276"/>
      <c r="DC276" s="7"/>
      <c r="DI276" s="3"/>
      <c r="DJ276" s="3"/>
      <c r="DO276" s="3"/>
    </row>
    <row r="277" spans="105:119">
      <c r="DA277"/>
      <c r="DB277"/>
      <c r="DC277" s="7"/>
      <c r="DI277" s="3"/>
      <c r="DJ277" s="3"/>
      <c r="DO277" s="3"/>
    </row>
    <row r="278" spans="105:119">
      <c r="DA278"/>
      <c r="DB278"/>
      <c r="DC278" s="7"/>
      <c r="DI278" s="3"/>
      <c r="DJ278" s="3"/>
      <c r="DO278" s="3"/>
    </row>
    <row r="279" spans="105:119">
      <c r="DA279"/>
      <c r="DB279"/>
      <c r="DC279" s="7"/>
      <c r="DI279" s="3"/>
      <c r="DJ279" s="3"/>
      <c r="DO279" s="3"/>
    </row>
    <row r="280" spans="105:119">
      <c r="DA280"/>
      <c r="DB280"/>
      <c r="DC280" s="7"/>
      <c r="DI280" s="3"/>
      <c r="DJ280" s="3"/>
      <c r="DO280" s="3"/>
    </row>
    <row r="281" spans="105:119">
      <c r="DA281"/>
      <c r="DB281"/>
      <c r="DC281" s="7"/>
      <c r="DI281" s="3"/>
      <c r="DJ281" s="3"/>
      <c r="DO281" s="3"/>
    </row>
    <row r="282" spans="105:119">
      <c r="DA282"/>
      <c r="DB282"/>
      <c r="DC282" s="7"/>
      <c r="DI282" s="3"/>
      <c r="DJ282" s="3"/>
      <c r="DO282" s="3"/>
    </row>
    <row r="283" spans="105:119">
      <c r="DA283"/>
      <c r="DB283"/>
      <c r="DC283" s="7"/>
      <c r="DI283" s="3"/>
      <c r="DJ283" s="3"/>
      <c r="DO283" s="3"/>
    </row>
    <row r="284" spans="105:119">
      <c r="DA284"/>
      <c r="DB284"/>
      <c r="DC284" s="7"/>
      <c r="DI284" s="3"/>
      <c r="DJ284" s="3"/>
      <c r="DO284" s="3"/>
    </row>
    <row r="285" spans="105:119">
      <c r="DA285"/>
      <c r="DB285"/>
      <c r="DC285" s="7"/>
      <c r="DI285" s="3"/>
      <c r="DJ285" s="3"/>
      <c r="DO285" s="3"/>
    </row>
    <row r="286" spans="105:119">
      <c r="DA286"/>
      <c r="DB286"/>
      <c r="DC286" s="7"/>
      <c r="DI286" s="3"/>
      <c r="DJ286" s="3"/>
      <c r="DO286" s="3"/>
    </row>
    <row r="287" spans="105:119">
      <c r="DA287"/>
      <c r="DB287"/>
      <c r="DC287" s="7"/>
      <c r="DI287" s="3"/>
      <c r="DJ287" s="3"/>
      <c r="DO287" s="3"/>
    </row>
    <row r="288" spans="105:119">
      <c r="DA288"/>
      <c r="DB288"/>
      <c r="DC288" s="7"/>
      <c r="DI288" s="3"/>
      <c r="DJ288" s="3"/>
      <c r="DO288" s="3"/>
    </row>
    <row r="289" spans="105:119">
      <c r="DA289"/>
      <c r="DB289"/>
      <c r="DC289" s="7"/>
      <c r="DI289" s="3"/>
      <c r="DJ289" s="3"/>
      <c r="DO289" s="3"/>
    </row>
    <row r="290" spans="105:119">
      <c r="DA290"/>
      <c r="DB290"/>
      <c r="DC290" s="7"/>
      <c r="DI290" s="3"/>
      <c r="DJ290" s="3"/>
      <c r="DO290" s="3"/>
    </row>
    <row r="291" spans="105:119">
      <c r="DA291"/>
      <c r="DB291"/>
      <c r="DC291" s="7"/>
      <c r="DI291" s="3"/>
      <c r="DJ291" s="3"/>
      <c r="DO291" s="3"/>
    </row>
    <row r="292" spans="105:119">
      <c r="DA292"/>
      <c r="DB292"/>
      <c r="DC292" s="7"/>
      <c r="DI292" s="3"/>
      <c r="DJ292" s="3"/>
      <c r="DO292" s="3"/>
    </row>
    <row r="293" spans="105:119">
      <c r="DA293"/>
      <c r="DB293"/>
      <c r="DC293" s="7"/>
      <c r="DI293" s="3"/>
      <c r="DJ293" s="3"/>
      <c r="DO293" s="3"/>
    </row>
    <row r="294" spans="105:119">
      <c r="DA294"/>
      <c r="DB294"/>
      <c r="DC294" s="7"/>
      <c r="DI294" s="3"/>
      <c r="DJ294" s="3"/>
      <c r="DO294" s="3"/>
    </row>
    <row r="295" spans="105:119">
      <c r="DA295"/>
      <c r="DB295"/>
      <c r="DC295" s="7"/>
      <c r="DI295" s="3"/>
      <c r="DJ295" s="3"/>
      <c r="DO295" s="3"/>
    </row>
    <row r="296" spans="105:119">
      <c r="DA296"/>
      <c r="DB296"/>
      <c r="DC296" s="7"/>
      <c r="DI296" s="3"/>
      <c r="DJ296" s="3"/>
      <c r="DO296" s="3"/>
    </row>
    <row r="297" spans="105:119">
      <c r="DA297"/>
      <c r="DB297"/>
      <c r="DC297" s="7"/>
      <c r="DI297" s="3"/>
      <c r="DJ297" s="3"/>
      <c r="DO297" s="3"/>
    </row>
    <row r="298" spans="105:119">
      <c r="DA298"/>
      <c r="DB298"/>
      <c r="DC298" s="7"/>
      <c r="DI298" s="3"/>
      <c r="DJ298" s="3"/>
      <c r="DO298" s="3"/>
    </row>
    <row r="299" spans="105:119">
      <c r="DA299"/>
      <c r="DB299"/>
      <c r="DC299" s="7"/>
      <c r="DI299" s="3"/>
      <c r="DJ299" s="3"/>
      <c r="DO299" s="3"/>
    </row>
    <row r="300" spans="105:119">
      <c r="DA300"/>
      <c r="DB300"/>
      <c r="DC300" s="7"/>
      <c r="DI300" s="3"/>
      <c r="DJ300" s="3"/>
      <c r="DO300" s="3"/>
    </row>
    <row r="301" spans="105:119">
      <c r="DA301"/>
      <c r="DB301"/>
      <c r="DC301" s="7"/>
      <c r="DI301" s="3"/>
      <c r="DJ301" s="3"/>
      <c r="DO301" s="3"/>
    </row>
    <row r="302" spans="105:119">
      <c r="DA302"/>
      <c r="DB302"/>
      <c r="DC302" s="7"/>
      <c r="DI302" s="3"/>
      <c r="DJ302" s="3"/>
      <c r="DO302" s="3"/>
    </row>
    <row r="303" spans="105:119">
      <c r="DA303"/>
      <c r="DB303"/>
      <c r="DC303" s="7"/>
      <c r="DI303" s="3"/>
      <c r="DJ303" s="3"/>
      <c r="DO303" s="3"/>
    </row>
    <row r="304" spans="105:119">
      <c r="DA304"/>
      <c r="DB304"/>
      <c r="DC304" s="7"/>
      <c r="DI304" s="3"/>
      <c r="DJ304" s="3"/>
      <c r="DO304" s="3"/>
    </row>
    <row r="305" spans="105:119">
      <c r="DA305"/>
      <c r="DB305"/>
      <c r="DC305" s="7"/>
      <c r="DI305" s="3"/>
      <c r="DJ305" s="3"/>
      <c r="DO305" s="3"/>
    </row>
    <row r="306" spans="105:119">
      <c r="DA306"/>
      <c r="DB306"/>
      <c r="DC306" s="7"/>
      <c r="DI306" s="3"/>
      <c r="DJ306" s="3"/>
      <c r="DO306" s="3"/>
    </row>
    <row r="307" spans="105:119">
      <c r="DA307"/>
      <c r="DB307"/>
      <c r="DC307" s="7"/>
      <c r="DI307" s="3"/>
      <c r="DJ307" s="3"/>
      <c r="DO307" s="3"/>
    </row>
    <row r="308" spans="105:119">
      <c r="DA308"/>
      <c r="DB308"/>
      <c r="DC308" s="7"/>
      <c r="DI308" s="3"/>
      <c r="DJ308" s="3"/>
      <c r="DO308" s="3"/>
    </row>
    <row r="309" spans="105:119">
      <c r="DA309"/>
      <c r="DB309"/>
      <c r="DC309" s="7"/>
      <c r="DI309" s="3"/>
      <c r="DJ309" s="3"/>
      <c r="DO309" s="3"/>
    </row>
    <row r="310" spans="105:119">
      <c r="DA310"/>
      <c r="DB310"/>
      <c r="DC310" s="7"/>
      <c r="DI310" s="3"/>
      <c r="DJ310" s="3"/>
      <c r="DO310" s="3"/>
    </row>
    <row r="311" spans="105:119">
      <c r="DA311"/>
      <c r="DB311"/>
      <c r="DC311" s="7"/>
      <c r="DI311" s="3"/>
      <c r="DJ311" s="3"/>
      <c r="DO311" s="3"/>
    </row>
    <row r="312" spans="105:119">
      <c r="DA312"/>
      <c r="DB312"/>
      <c r="DC312" s="7"/>
      <c r="DI312" s="3"/>
      <c r="DJ312" s="3"/>
      <c r="DO312" s="3"/>
    </row>
    <row r="313" spans="105:119">
      <c r="DA313"/>
      <c r="DB313"/>
      <c r="DC313" s="7"/>
      <c r="DI313" s="3"/>
      <c r="DJ313" s="3"/>
      <c r="DO313" s="3"/>
    </row>
    <row r="314" spans="105:119">
      <c r="DA314"/>
      <c r="DB314"/>
      <c r="DC314" s="7"/>
      <c r="DI314" s="3"/>
      <c r="DJ314" s="3"/>
      <c r="DO314" s="3"/>
    </row>
    <row r="315" spans="105:119">
      <c r="DA315"/>
      <c r="DB315"/>
      <c r="DC315" s="7"/>
      <c r="DI315" s="3"/>
      <c r="DJ315" s="3"/>
      <c r="DO315" s="3"/>
    </row>
    <row r="316" spans="105:119">
      <c r="DA316"/>
      <c r="DB316"/>
      <c r="DC316" s="7"/>
      <c r="DI316" s="3"/>
      <c r="DJ316" s="3"/>
      <c r="DO316" s="3"/>
    </row>
    <row r="317" spans="105:119">
      <c r="DA317"/>
      <c r="DB317"/>
      <c r="DC317" s="7"/>
      <c r="DI317" s="3"/>
      <c r="DJ317" s="3"/>
      <c r="DO317" s="3"/>
    </row>
    <row r="318" spans="105:119">
      <c r="DA318"/>
      <c r="DB318"/>
      <c r="DC318" s="7"/>
      <c r="DI318" s="3"/>
      <c r="DJ318" s="3"/>
      <c r="DO318" s="3"/>
    </row>
    <row r="319" spans="105:119">
      <c r="DA319"/>
      <c r="DB319"/>
      <c r="DC319" s="7"/>
      <c r="DI319" s="3"/>
      <c r="DJ319" s="3"/>
      <c r="DO319" s="3"/>
    </row>
    <row r="320" spans="105:119">
      <c r="DA320"/>
      <c r="DB320"/>
      <c r="DC320" s="7"/>
      <c r="DI320" s="3"/>
      <c r="DJ320" s="3"/>
      <c r="DO320" s="3"/>
    </row>
    <row r="321" spans="105:119">
      <c r="DA321"/>
      <c r="DB321"/>
      <c r="DC321" s="7"/>
      <c r="DI321" s="3"/>
      <c r="DJ321" s="3"/>
      <c r="DO321" s="3"/>
    </row>
    <row r="322" spans="105:119">
      <c r="DA322"/>
      <c r="DB322"/>
      <c r="DC322" s="7"/>
      <c r="DI322" s="3"/>
      <c r="DJ322" s="3"/>
      <c r="DO322" s="3"/>
    </row>
    <row r="323" spans="105:119">
      <c r="DA323"/>
      <c r="DB323"/>
      <c r="DC323" s="7"/>
      <c r="DI323" s="3"/>
      <c r="DJ323" s="3"/>
      <c r="DO323" s="3"/>
    </row>
    <row r="324" spans="105:119">
      <c r="DA324"/>
      <c r="DB324"/>
      <c r="DC324" s="7"/>
      <c r="DI324" s="3"/>
      <c r="DJ324" s="3"/>
      <c r="DO324" s="3"/>
    </row>
    <row r="325" spans="105:119">
      <c r="DA325"/>
      <c r="DB325"/>
      <c r="DC325" s="7"/>
      <c r="DI325" s="3"/>
      <c r="DJ325" s="3"/>
      <c r="DO325" s="3"/>
    </row>
    <row r="326" spans="105:119">
      <c r="DA326"/>
      <c r="DB326"/>
      <c r="DC326" s="7"/>
      <c r="DI326" s="3"/>
      <c r="DJ326" s="3"/>
      <c r="DO326" s="3"/>
    </row>
    <row r="327" spans="105:119">
      <c r="DA327"/>
      <c r="DB327"/>
      <c r="DC327" s="7"/>
      <c r="DI327" s="3"/>
      <c r="DJ327" s="3"/>
      <c r="DO327" s="3"/>
    </row>
    <row r="328" spans="105:119">
      <c r="DA328"/>
      <c r="DB328"/>
      <c r="DC328" s="7"/>
      <c r="DI328" s="3"/>
      <c r="DJ328" s="3"/>
      <c r="DO328" s="3"/>
    </row>
    <row r="329" spans="105:119">
      <c r="DA329"/>
      <c r="DB329"/>
      <c r="DC329" s="7"/>
      <c r="DI329" s="3"/>
      <c r="DJ329" s="3"/>
      <c r="DO329" s="3"/>
    </row>
    <row r="330" spans="105:119">
      <c r="DA330"/>
      <c r="DB330"/>
      <c r="DC330" s="7"/>
      <c r="DI330" s="3"/>
      <c r="DJ330" s="3"/>
      <c r="DO330" s="3"/>
    </row>
    <row r="331" spans="105:119">
      <c r="DA331"/>
      <c r="DB331"/>
      <c r="DC331" s="7"/>
      <c r="DI331" s="3"/>
      <c r="DJ331" s="3"/>
      <c r="DO331" s="3"/>
    </row>
    <row r="332" spans="105:119">
      <c r="DA332"/>
      <c r="DB332"/>
      <c r="DC332" s="7"/>
      <c r="DI332" s="3"/>
      <c r="DJ332" s="3"/>
      <c r="DO332" s="3"/>
    </row>
    <row r="333" spans="105:119">
      <c r="DA333"/>
      <c r="DB333"/>
      <c r="DC333" s="7"/>
      <c r="DI333" s="3"/>
      <c r="DJ333" s="3"/>
      <c r="DO333" s="3"/>
    </row>
    <row r="334" spans="105:119">
      <c r="DA334"/>
      <c r="DB334"/>
      <c r="DC334" s="7"/>
      <c r="DI334" s="3"/>
      <c r="DJ334" s="3"/>
      <c r="DO334" s="3"/>
    </row>
    <row r="335" spans="105:119">
      <c r="DA335"/>
      <c r="DB335"/>
      <c r="DC335" s="7"/>
      <c r="DI335" s="3"/>
      <c r="DJ335" s="3"/>
      <c r="DO335" s="3"/>
    </row>
    <row r="336" spans="105:119">
      <c r="DA336"/>
      <c r="DB336"/>
      <c r="DC336" s="7"/>
      <c r="DI336" s="3"/>
      <c r="DJ336" s="3"/>
      <c r="DO336" s="3"/>
    </row>
    <row r="337" spans="105:119">
      <c r="DA337"/>
      <c r="DB337"/>
      <c r="DC337" s="7"/>
      <c r="DI337" s="3"/>
      <c r="DJ337" s="3"/>
      <c r="DO337" s="3"/>
    </row>
    <row r="338" spans="105:119">
      <c r="DA338"/>
      <c r="DB338"/>
      <c r="DC338" s="7"/>
      <c r="DI338" s="3"/>
      <c r="DJ338" s="3"/>
      <c r="DO338" s="3"/>
    </row>
    <row r="339" spans="105:119">
      <c r="DA339"/>
      <c r="DB339"/>
      <c r="DC339" s="7"/>
      <c r="DI339" s="3"/>
      <c r="DJ339" s="3"/>
      <c r="DO339" s="3"/>
    </row>
    <row r="340" spans="105:119">
      <c r="DA340"/>
      <c r="DB340"/>
      <c r="DC340" s="7"/>
      <c r="DI340" s="3"/>
      <c r="DJ340" s="3"/>
      <c r="DO340" s="3"/>
    </row>
    <row r="341" spans="105:119">
      <c r="DA341"/>
      <c r="DB341"/>
      <c r="DC341" s="7"/>
      <c r="DI341" s="3"/>
      <c r="DJ341" s="3"/>
      <c r="DO341" s="3"/>
    </row>
    <row r="342" spans="105:119">
      <c r="DA342"/>
      <c r="DB342"/>
      <c r="DC342" s="7"/>
      <c r="DI342" s="3"/>
      <c r="DJ342" s="3"/>
      <c r="DO342" s="3"/>
    </row>
    <row r="343" spans="105:119">
      <c r="DA343"/>
      <c r="DB343"/>
      <c r="DC343" s="7"/>
      <c r="DI343" s="3"/>
      <c r="DJ343" s="3"/>
      <c r="DO343" s="3"/>
    </row>
    <row r="344" spans="105:119">
      <c r="DA344"/>
      <c r="DB344"/>
      <c r="DC344" s="7"/>
      <c r="DI344" s="3"/>
      <c r="DJ344" s="3"/>
      <c r="DO344" s="3"/>
    </row>
    <row r="345" spans="105:119">
      <c r="DA345"/>
      <c r="DB345"/>
      <c r="DC345" s="7"/>
      <c r="DI345" s="3"/>
      <c r="DJ345" s="3"/>
      <c r="DO345" s="3"/>
    </row>
    <row r="346" spans="105:119">
      <c r="DA346"/>
      <c r="DB346"/>
      <c r="DC346" s="7"/>
      <c r="DI346" s="3"/>
      <c r="DJ346" s="3"/>
      <c r="DO346" s="3"/>
    </row>
    <row r="347" spans="105:119">
      <c r="DA347"/>
      <c r="DB347"/>
      <c r="DC347" s="7"/>
      <c r="DI347" s="3"/>
      <c r="DJ347" s="3"/>
      <c r="DO347" s="3"/>
    </row>
    <row r="348" spans="105:119">
      <c r="DA348"/>
      <c r="DB348"/>
      <c r="DC348" s="7"/>
      <c r="DI348" s="3"/>
      <c r="DJ348" s="3"/>
      <c r="DO348" s="3"/>
    </row>
    <row r="349" spans="105:119">
      <c r="DA349"/>
      <c r="DB349"/>
      <c r="DC349" s="7"/>
      <c r="DI349" s="3"/>
      <c r="DJ349" s="3"/>
      <c r="DO349" s="3"/>
    </row>
    <row r="350" spans="105:119">
      <c r="DA350"/>
      <c r="DB350"/>
      <c r="DC350" s="7"/>
      <c r="DI350" s="3"/>
      <c r="DJ350" s="3"/>
      <c r="DO350" s="3"/>
    </row>
    <row r="351" spans="105:119">
      <c r="DA351"/>
      <c r="DB351"/>
      <c r="DC351" s="7"/>
      <c r="DI351" s="3"/>
      <c r="DJ351" s="3"/>
      <c r="DO351" s="3"/>
    </row>
    <row r="352" spans="105:119">
      <c r="DA352"/>
      <c r="DB352"/>
      <c r="DC352" s="7"/>
      <c r="DI352" s="3"/>
      <c r="DJ352" s="3"/>
      <c r="DO352" s="3"/>
    </row>
    <row r="353" spans="105:119">
      <c r="DA353"/>
      <c r="DB353"/>
      <c r="DC353" s="7"/>
      <c r="DI353" s="3"/>
      <c r="DJ353" s="3"/>
      <c r="DO353" s="3"/>
    </row>
    <row r="354" spans="105:119">
      <c r="DA354"/>
      <c r="DB354"/>
      <c r="DC354" s="7"/>
      <c r="DI354" s="3"/>
      <c r="DJ354" s="3"/>
      <c r="DO354" s="3"/>
    </row>
    <row r="355" spans="105:119">
      <c r="DA355"/>
      <c r="DB355"/>
      <c r="DC355" s="7"/>
      <c r="DI355" s="3"/>
      <c r="DJ355" s="3"/>
      <c r="DO355" s="3"/>
    </row>
    <row r="356" spans="105:119">
      <c r="DA356"/>
      <c r="DB356"/>
      <c r="DC356" s="7"/>
      <c r="DI356" s="3"/>
      <c r="DJ356" s="3"/>
      <c r="DO356" s="3"/>
    </row>
    <row r="357" spans="105:119">
      <c r="DA357"/>
      <c r="DB357"/>
      <c r="DC357" s="7"/>
      <c r="DI357" s="3"/>
      <c r="DJ357" s="3"/>
      <c r="DO357" s="3"/>
    </row>
    <row r="358" spans="105:119">
      <c r="DA358"/>
      <c r="DB358"/>
      <c r="DC358" s="7"/>
      <c r="DI358" s="3"/>
      <c r="DJ358" s="3"/>
      <c r="DO358" s="3"/>
    </row>
    <row r="359" spans="105:119">
      <c r="DA359"/>
      <c r="DB359"/>
      <c r="DC359" s="7"/>
      <c r="DI359" s="3"/>
      <c r="DJ359" s="3"/>
      <c r="DO359" s="3"/>
    </row>
    <row r="360" spans="105:119">
      <c r="DA360"/>
      <c r="DB360"/>
      <c r="DC360" s="7"/>
      <c r="DI360" s="3"/>
      <c r="DJ360" s="3"/>
      <c r="DO360" s="3"/>
    </row>
    <row r="361" spans="105:119">
      <c r="DA361"/>
      <c r="DB361"/>
      <c r="DC361" s="7"/>
      <c r="DI361" s="3"/>
      <c r="DJ361" s="3"/>
      <c r="DO361" s="3"/>
    </row>
    <row r="362" spans="105:119">
      <c r="DA362"/>
      <c r="DB362"/>
      <c r="DC362" s="7"/>
      <c r="DI362" s="3"/>
      <c r="DJ362" s="3"/>
      <c r="DO362" s="3"/>
    </row>
    <row r="363" spans="105:119">
      <c r="DA363"/>
      <c r="DB363"/>
      <c r="DC363" s="7"/>
      <c r="DI363" s="3"/>
      <c r="DJ363" s="3"/>
      <c r="DO363" s="3"/>
    </row>
    <row r="364" spans="105:119">
      <c r="DA364"/>
      <c r="DB364"/>
      <c r="DC364" s="7"/>
      <c r="DI364" s="3"/>
      <c r="DJ364" s="3"/>
      <c r="DO364" s="3"/>
    </row>
    <row r="365" spans="105:119">
      <c r="DA365"/>
      <c r="DB365"/>
      <c r="DC365" s="7"/>
      <c r="DI365" s="3"/>
      <c r="DJ365" s="3"/>
      <c r="DO365" s="3"/>
    </row>
    <row r="366" spans="105:119">
      <c r="DA366"/>
      <c r="DB366"/>
      <c r="DC366" s="7"/>
      <c r="DI366" s="3"/>
      <c r="DJ366" s="3"/>
      <c r="DO366" s="3"/>
    </row>
    <row r="367" spans="105:119">
      <c r="DA367"/>
      <c r="DB367"/>
      <c r="DC367" s="7"/>
      <c r="DI367" s="3"/>
      <c r="DJ367" s="3"/>
      <c r="DO367" s="3"/>
    </row>
    <row r="368" spans="105:119">
      <c r="DA368"/>
      <c r="DB368"/>
      <c r="DC368" s="7"/>
      <c r="DI368" s="3"/>
      <c r="DJ368" s="3"/>
      <c r="DO368" s="3"/>
    </row>
    <row r="369" spans="105:119">
      <c r="DA369"/>
      <c r="DB369"/>
      <c r="DC369" s="7"/>
      <c r="DI369" s="3"/>
      <c r="DJ369" s="3"/>
      <c r="DO369" s="3"/>
    </row>
    <row r="370" spans="105:119">
      <c r="DA370"/>
      <c r="DB370"/>
      <c r="DC370" s="7"/>
      <c r="DI370" s="3"/>
      <c r="DJ370" s="3"/>
      <c r="DO370" s="3"/>
    </row>
    <row r="371" spans="105:119">
      <c r="DA371"/>
      <c r="DB371"/>
      <c r="DC371" s="7"/>
      <c r="DI371" s="3"/>
      <c r="DJ371" s="3"/>
      <c r="DO371" s="3"/>
    </row>
    <row r="372" spans="105:119">
      <c r="DA372"/>
      <c r="DB372"/>
      <c r="DC372" s="7"/>
      <c r="DI372" s="3"/>
      <c r="DJ372" s="3"/>
      <c r="DO372" s="3"/>
    </row>
    <row r="373" spans="105:119">
      <c r="DA373"/>
      <c r="DB373"/>
      <c r="DC373" s="7"/>
      <c r="DI373" s="3"/>
      <c r="DJ373" s="3"/>
      <c r="DO373" s="3"/>
    </row>
    <row r="374" spans="105:119">
      <c r="DA374"/>
      <c r="DB374"/>
      <c r="DC374" s="7"/>
      <c r="DI374" s="3"/>
      <c r="DJ374" s="3"/>
      <c r="DO374" s="3"/>
    </row>
    <row r="375" spans="105:119">
      <c r="DA375"/>
      <c r="DB375"/>
      <c r="DC375" s="7"/>
      <c r="DI375" s="3"/>
      <c r="DJ375" s="3"/>
      <c r="DO375" s="3"/>
    </row>
    <row r="376" spans="105:119">
      <c r="DA376"/>
      <c r="DB376"/>
      <c r="DC376" s="7"/>
      <c r="DI376" s="3"/>
      <c r="DJ376" s="3"/>
      <c r="DO376" s="3"/>
    </row>
    <row r="377" spans="105:119">
      <c r="DA377"/>
      <c r="DB377"/>
      <c r="DC377" s="7"/>
      <c r="DI377" s="3"/>
      <c r="DJ377" s="3"/>
      <c r="DO377" s="3"/>
    </row>
    <row r="378" spans="105:119">
      <c r="DA378"/>
      <c r="DB378"/>
      <c r="DC378" s="7"/>
      <c r="DI378" s="3"/>
      <c r="DJ378" s="3"/>
      <c r="DO378" s="3"/>
    </row>
    <row r="379" spans="105:119">
      <c r="DA379"/>
      <c r="DB379"/>
      <c r="DC379" s="7"/>
      <c r="DI379" s="3"/>
      <c r="DJ379" s="3"/>
      <c r="DO379" s="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3683-E35A-4EAA-901C-DA7ABAD74AB4}">
  <dimension ref="A1:GE152"/>
  <sheetViews>
    <sheetView tabSelected="1" workbookViewId="0">
      <pane xSplit="1" ySplit="1" topLeftCell="B61" activePane="bottomRight" state="frozen"/>
      <selection pane="topRight" activeCell="B1" sqref="B1"/>
      <selection pane="bottomLeft" activeCell="A2" sqref="A2"/>
      <selection pane="bottomRight" activeCell="D68" sqref="D68"/>
    </sheetView>
  </sheetViews>
  <sheetFormatPr baseColWidth="10" defaultColWidth="8.83203125" defaultRowHeight="15"/>
  <cols>
    <col min="2" max="102" width="8.83203125" customWidth="1"/>
    <col min="103" max="103" width="10.33203125" customWidth="1"/>
    <col min="104" max="104" width="10.33203125" bestFit="1" customWidth="1"/>
  </cols>
  <sheetData>
    <row r="1" spans="1:187">
      <c r="A1" s="2" t="s">
        <v>104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16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6" t="s">
        <v>25</v>
      </c>
      <c r="AB1" s="16" t="s">
        <v>26</v>
      </c>
      <c r="AC1" s="16" t="s">
        <v>27</v>
      </c>
      <c r="AD1" s="16" t="s">
        <v>28</v>
      </c>
      <c r="AE1" s="16" t="s">
        <v>29</v>
      </c>
      <c r="AF1" s="16" t="s">
        <v>30</v>
      </c>
      <c r="AG1" s="16" t="s">
        <v>31</v>
      </c>
      <c r="AH1" s="16" t="s">
        <v>32</v>
      </c>
      <c r="AI1" s="16" t="s">
        <v>33</v>
      </c>
      <c r="AJ1" s="16" t="s">
        <v>34</v>
      </c>
      <c r="AK1" s="16" t="s">
        <v>35</v>
      </c>
      <c r="AL1" s="16" t="s">
        <v>36</v>
      </c>
      <c r="AM1" s="16" t="s">
        <v>37</v>
      </c>
      <c r="AN1" s="16" t="s">
        <v>38</v>
      </c>
      <c r="AO1" s="16" t="s">
        <v>39</v>
      </c>
      <c r="AP1" s="16" t="s">
        <v>40</v>
      </c>
      <c r="AQ1" s="16" t="s">
        <v>41</v>
      </c>
      <c r="AR1" s="16" t="s">
        <v>42</v>
      </c>
      <c r="AS1" s="16" t="s">
        <v>43</v>
      </c>
      <c r="AT1" s="16" t="s">
        <v>44</v>
      </c>
      <c r="AU1" s="16" t="s">
        <v>45</v>
      </c>
      <c r="AV1" s="16" t="s">
        <v>46</v>
      </c>
      <c r="AW1" s="16" t="s">
        <v>47</v>
      </c>
      <c r="AX1" s="16" t="s">
        <v>48</v>
      </c>
      <c r="AY1" s="16" t="s">
        <v>49</v>
      </c>
      <c r="AZ1" s="16" t="s">
        <v>50</v>
      </c>
      <c r="BA1" s="16" t="s">
        <v>51</v>
      </c>
      <c r="BB1" s="16" t="s">
        <v>52</v>
      </c>
      <c r="BC1" s="16" t="s">
        <v>53</v>
      </c>
      <c r="BD1" s="16" t="s">
        <v>54</v>
      </c>
      <c r="BE1" s="16" t="s">
        <v>55</v>
      </c>
      <c r="BF1" s="16" t="s">
        <v>56</v>
      </c>
      <c r="BG1" s="16" t="s">
        <v>57</v>
      </c>
      <c r="BH1" s="16" t="s">
        <v>58</v>
      </c>
      <c r="BI1" s="16" t="s">
        <v>59</v>
      </c>
      <c r="BJ1" s="16" t="s">
        <v>60</v>
      </c>
      <c r="BK1" s="16" t="s">
        <v>61</v>
      </c>
      <c r="BL1" s="16" t="s">
        <v>62</v>
      </c>
      <c r="BM1" s="16" t="s">
        <v>63</v>
      </c>
      <c r="BN1" s="16" t="s">
        <v>64</v>
      </c>
      <c r="BO1" s="16" t="s">
        <v>65</v>
      </c>
      <c r="BP1" s="16" t="s">
        <v>66</v>
      </c>
      <c r="BQ1" s="16" t="s">
        <v>67</v>
      </c>
      <c r="BR1" s="16" t="s">
        <v>68</v>
      </c>
      <c r="BS1" s="16" t="s">
        <v>69</v>
      </c>
      <c r="BT1" s="16" t="s">
        <v>70</v>
      </c>
      <c r="BU1" s="16" t="s">
        <v>71</v>
      </c>
      <c r="BV1" s="16" t="s">
        <v>72</v>
      </c>
      <c r="BW1" s="16" t="s">
        <v>73</v>
      </c>
      <c r="BX1" s="16" t="s">
        <v>74</v>
      </c>
      <c r="BY1" s="16" t="s">
        <v>75</v>
      </c>
      <c r="BZ1" s="16" t="s">
        <v>76</v>
      </c>
      <c r="CA1" s="16" t="s">
        <v>77</v>
      </c>
      <c r="CB1" s="16" t="s">
        <v>78</v>
      </c>
      <c r="CC1" s="16" t="s">
        <v>79</v>
      </c>
      <c r="CD1" s="16" t="s">
        <v>80</v>
      </c>
      <c r="CE1" s="16" t="s">
        <v>81</v>
      </c>
      <c r="CF1" s="16" t="s">
        <v>82</v>
      </c>
      <c r="CG1" s="16" t="s">
        <v>83</v>
      </c>
      <c r="CH1" s="16" t="s">
        <v>84</v>
      </c>
      <c r="CI1" s="16" t="s">
        <v>85</v>
      </c>
      <c r="CJ1" s="16" t="s">
        <v>86</v>
      </c>
      <c r="CK1" s="16" t="s">
        <v>87</v>
      </c>
      <c r="CL1" s="16" t="s">
        <v>88</v>
      </c>
      <c r="CM1" s="16" t="s">
        <v>89</v>
      </c>
      <c r="CN1" s="16" t="s">
        <v>90</v>
      </c>
      <c r="CO1" s="16" t="s">
        <v>91</v>
      </c>
      <c r="CP1" s="16" t="s">
        <v>92</v>
      </c>
      <c r="CQ1" s="16" t="s">
        <v>93</v>
      </c>
      <c r="CR1" s="16" t="s">
        <v>94</v>
      </c>
      <c r="CS1" s="16" t="s">
        <v>95</v>
      </c>
      <c r="CT1" s="16" t="s">
        <v>96</v>
      </c>
      <c r="CU1" s="16" t="s">
        <v>97</v>
      </c>
      <c r="CV1" s="16" t="s">
        <v>98</v>
      </c>
      <c r="CW1" s="16" t="s">
        <v>99</v>
      </c>
      <c r="CX1" s="16" t="s">
        <v>100</v>
      </c>
      <c r="CY1" s="6" t="s">
        <v>106</v>
      </c>
      <c r="CZ1" s="20" t="s">
        <v>127</v>
      </c>
      <c r="DA1">
        <v>18</v>
      </c>
      <c r="DB1">
        <v>19</v>
      </c>
      <c r="DC1">
        <v>20</v>
      </c>
      <c r="DD1">
        <v>21</v>
      </c>
      <c r="DE1">
        <v>22</v>
      </c>
      <c r="DF1">
        <v>23</v>
      </c>
      <c r="DG1">
        <v>24</v>
      </c>
      <c r="DH1">
        <v>25</v>
      </c>
      <c r="DI1">
        <v>26</v>
      </c>
      <c r="DJ1">
        <v>27</v>
      </c>
      <c r="DK1">
        <v>28</v>
      </c>
      <c r="DL1">
        <v>29</v>
      </c>
      <c r="DM1">
        <v>30</v>
      </c>
      <c r="DN1">
        <v>31</v>
      </c>
      <c r="DO1">
        <v>32</v>
      </c>
      <c r="DP1">
        <v>33</v>
      </c>
      <c r="DQ1">
        <v>34</v>
      </c>
      <c r="DR1">
        <v>35</v>
      </c>
      <c r="DS1">
        <v>36</v>
      </c>
      <c r="DT1">
        <v>37</v>
      </c>
      <c r="DU1">
        <v>38</v>
      </c>
      <c r="DV1">
        <v>39</v>
      </c>
      <c r="DW1">
        <v>40</v>
      </c>
      <c r="DX1">
        <v>41</v>
      </c>
      <c r="DY1">
        <v>42</v>
      </c>
      <c r="DZ1">
        <v>43</v>
      </c>
      <c r="EA1">
        <v>44</v>
      </c>
      <c r="EB1">
        <v>45</v>
      </c>
      <c r="EC1">
        <v>46</v>
      </c>
      <c r="ED1">
        <v>47</v>
      </c>
      <c r="EE1">
        <v>48</v>
      </c>
      <c r="EF1">
        <v>49</v>
      </c>
      <c r="EG1">
        <v>50</v>
      </c>
      <c r="EH1">
        <v>51</v>
      </c>
      <c r="EI1">
        <v>52</v>
      </c>
      <c r="EJ1">
        <v>53</v>
      </c>
      <c r="EK1">
        <v>54</v>
      </c>
      <c r="EL1">
        <v>55</v>
      </c>
      <c r="EM1">
        <v>56</v>
      </c>
      <c r="EN1">
        <v>57</v>
      </c>
      <c r="EO1">
        <v>58</v>
      </c>
      <c r="EP1">
        <v>59</v>
      </c>
      <c r="EQ1">
        <v>60</v>
      </c>
      <c r="ER1">
        <v>61</v>
      </c>
      <c r="ES1">
        <v>62</v>
      </c>
      <c r="ET1">
        <v>63</v>
      </c>
      <c r="EU1">
        <v>64</v>
      </c>
      <c r="EV1">
        <v>65</v>
      </c>
      <c r="EW1">
        <v>66</v>
      </c>
      <c r="EX1">
        <v>67</v>
      </c>
      <c r="EY1">
        <v>68</v>
      </c>
      <c r="EZ1">
        <v>69</v>
      </c>
      <c r="FA1">
        <v>70</v>
      </c>
      <c r="FB1">
        <v>71</v>
      </c>
      <c r="FC1">
        <v>72</v>
      </c>
      <c r="FD1">
        <v>73</v>
      </c>
      <c r="FE1">
        <v>74</v>
      </c>
      <c r="FF1">
        <v>75</v>
      </c>
      <c r="FG1">
        <v>76</v>
      </c>
      <c r="FH1">
        <v>77</v>
      </c>
      <c r="FI1">
        <v>78</v>
      </c>
      <c r="FJ1">
        <v>79</v>
      </c>
      <c r="FK1">
        <v>80</v>
      </c>
      <c r="FL1">
        <v>81</v>
      </c>
      <c r="FM1">
        <v>82</v>
      </c>
      <c r="FN1">
        <v>83</v>
      </c>
      <c r="FO1">
        <v>84</v>
      </c>
      <c r="FP1">
        <v>85</v>
      </c>
      <c r="FQ1">
        <v>86</v>
      </c>
      <c r="FR1">
        <v>87</v>
      </c>
      <c r="FS1">
        <v>88</v>
      </c>
      <c r="FT1">
        <v>89</v>
      </c>
      <c r="FU1">
        <v>90</v>
      </c>
      <c r="FV1">
        <v>91</v>
      </c>
      <c r="FW1">
        <v>92</v>
      </c>
      <c r="FX1">
        <v>93</v>
      </c>
      <c r="FY1">
        <v>94</v>
      </c>
      <c r="FZ1">
        <v>95</v>
      </c>
      <c r="GA1">
        <v>96</v>
      </c>
      <c r="GB1">
        <v>97</v>
      </c>
      <c r="GC1">
        <v>98</v>
      </c>
      <c r="GD1">
        <v>99</v>
      </c>
      <c r="GE1">
        <v>100</v>
      </c>
    </row>
    <row r="2" spans="1:187">
      <c r="A2" s="4">
        <v>1950</v>
      </c>
      <c r="B2" s="17">
        <v>3762.5650000000001</v>
      </c>
      <c r="C2" s="17">
        <v>3600.4270000000001</v>
      </c>
      <c r="D2" s="17">
        <v>3442.3440000000001</v>
      </c>
      <c r="E2" s="17">
        <v>3289.2939999999999</v>
      </c>
      <c r="F2" s="17">
        <v>3142.2570000000001</v>
      </c>
      <c r="G2" s="17">
        <v>3002.2139999999999</v>
      </c>
      <c r="H2" s="17">
        <v>2870.1419999999998</v>
      </c>
      <c r="I2" s="17">
        <v>2747.0219999999999</v>
      </c>
      <c r="J2" s="17">
        <v>2633.8330000000001</v>
      </c>
      <c r="K2" s="17">
        <v>2531.556</v>
      </c>
      <c r="L2" s="17">
        <v>2439.4470000000001</v>
      </c>
      <c r="M2" s="17">
        <v>2356.7649999999999</v>
      </c>
      <c r="N2" s="17">
        <v>2293.0970000000002</v>
      </c>
      <c r="O2" s="17">
        <v>2252.8690000000001</v>
      </c>
      <c r="P2" s="17">
        <v>2231.893</v>
      </c>
      <c r="Q2" s="17">
        <v>2218.6799999999998</v>
      </c>
      <c r="R2" s="17">
        <v>2212.0720000000001</v>
      </c>
      <c r="S2" s="17">
        <v>2223.7379999999998</v>
      </c>
      <c r="T2" s="17">
        <v>2257.2109999999998</v>
      </c>
      <c r="U2" s="17">
        <v>2305.335</v>
      </c>
      <c r="V2" s="17">
        <v>2355.9160000000002</v>
      </c>
      <c r="W2" s="17">
        <v>2409.587</v>
      </c>
      <c r="X2" s="17">
        <v>2458.7289999999998</v>
      </c>
      <c r="Y2" s="17">
        <v>2497.712</v>
      </c>
      <c r="Z2" s="17">
        <v>2527.7809999999999</v>
      </c>
      <c r="AA2" s="17">
        <v>2558.2109999999998</v>
      </c>
      <c r="AB2" s="17">
        <v>2590.0219999999999</v>
      </c>
      <c r="AC2" s="17">
        <v>2600.8249999999998</v>
      </c>
      <c r="AD2" s="17">
        <v>2581.308</v>
      </c>
      <c r="AE2" s="17">
        <v>2541.674</v>
      </c>
      <c r="AF2" s="17">
        <v>2500.721</v>
      </c>
      <c r="AG2" s="17">
        <v>2453.83</v>
      </c>
      <c r="AH2" s="17">
        <v>2415.0619999999999</v>
      </c>
      <c r="AI2" s="17">
        <v>2393.038</v>
      </c>
      <c r="AJ2" s="17">
        <v>2380.817</v>
      </c>
      <c r="AK2" s="17">
        <v>2362.8049999999998</v>
      </c>
      <c r="AL2" s="17">
        <v>2342.0830000000001</v>
      </c>
      <c r="AM2" s="17">
        <v>2317.6309999999999</v>
      </c>
      <c r="AN2" s="17">
        <v>2287.3690000000001</v>
      </c>
      <c r="AO2" s="17">
        <v>2252.63</v>
      </c>
      <c r="AP2" s="17">
        <v>2217.9070000000002</v>
      </c>
      <c r="AQ2" s="17">
        <v>2183.5920000000001</v>
      </c>
      <c r="AR2" s="17">
        <v>2143.4319999999998</v>
      </c>
      <c r="AS2" s="17">
        <v>2095.1799999999998</v>
      </c>
      <c r="AT2" s="17">
        <v>2042.126</v>
      </c>
      <c r="AU2" s="17">
        <v>1988.9970000000001</v>
      </c>
      <c r="AV2" s="17">
        <v>1933.87</v>
      </c>
      <c r="AW2" s="17">
        <v>1886.1590000000001</v>
      </c>
      <c r="AX2" s="17">
        <v>1850.7149999999999</v>
      </c>
      <c r="AY2" s="17">
        <v>1822.9490000000001</v>
      </c>
      <c r="AZ2" s="17">
        <v>1793.749</v>
      </c>
      <c r="BA2" s="17">
        <v>1765.3340000000001</v>
      </c>
      <c r="BB2" s="17">
        <v>1733.059</v>
      </c>
      <c r="BC2" s="17">
        <v>1693.8230000000001</v>
      </c>
      <c r="BD2" s="17">
        <v>1650.2449999999999</v>
      </c>
      <c r="BE2" s="17">
        <v>1607.5630000000001</v>
      </c>
      <c r="BF2" s="17">
        <v>1564.1479999999999</v>
      </c>
      <c r="BG2" s="17">
        <v>1523.2650000000001</v>
      </c>
      <c r="BH2" s="17">
        <v>1486.873</v>
      </c>
      <c r="BI2" s="17">
        <v>1452.86</v>
      </c>
      <c r="BJ2" s="17">
        <v>1416.357</v>
      </c>
      <c r="BK2" s="17">
        <v>1377.3889999999999</v>
      </c>
      <c r="BL2" s="17">
        <v>1337.825</v>
      </c>
      <c r="BM2" s="17">
        <v>1297.7950000000001</v>
      </c>
      <c r="BN2" s="17">
        <v>1255.8920000000001</v>
      </c>
      <c r="BO2" s="17">
        <v>1212.7650000000001</v>
      </c>
      <c r="BP2" s="17">
        <v>1170.903</v>
      </c>
      <c r="BQ2" s="17">
        <v>1114.9490000000001</v>
      </c>
      <c r="BR2" s="17">
        <v>1038.1590000000001</v>
      </c>
      <c r="BS2" s="17">
        <v>948.66899999999998</v>
      </c>
      <c r="BT2" s="17">
        <v>860.62400000000002</v>
      </c>
      <c r="BU2" s="17">
        <v>770.32299999999998</v>
      </c>
      <c r="BV2" s="17">
        <v>691.53499999999997</v>
      </c>
      <c r="BW2" s="17">
        <v>632.26800000000003</v>
      </c>
      <c r="BX2" s="17">
        <v>585.96799999999996</v>
      </c>
      <c r="BY2" s="17">
        <v>538.79700000000003</v>
      </c>
      <c r="BZ2" s="17">
        <v>494.38799999999998</v>
      </c>
      <c r="CA2" s="17">
        <v>447.678</v>
      </c>
      <c r="CB2" s="17">
        <v>395.03800000000001</v>
      </c>
      <c r="CC2" s="17">
        <v>340.09</v>
      </c>
      <c r="CD2" s="17">
        <v>289.44099999999997</v>
      </c>
      <c r="CE2" s="17">
        <v>241.00299999999999</v>
      </c>
      <c r="CF2" s="17">
        <v>200.84700000000001</v>
      </c>
      <c r="CG2" s="17">
        <v>172.41200000000001</v>
      </c>
      <c r="CH2" s="17">
        <v>152.34100000000001</v>
      </c>
      <c r="CI2" s="17">
        <v>133.79</v>
      </c>
      <c r="CJ2" s="17">
        <v>118.074</v>
      </c>
      <c r="CK2" s="17">
        <v>102.949</v>
      </c>
      <c r="CL2" s="17">
        <v>86.587000000000003</v>
      </c>
      <c r="CM2" s="17">
        <v>70.132000000000005</v>
      </c>
      <c r="CN2" s="17">
        <v>54.923999999999999</v>
      </c>
      <c r="CO2" s="17">
        <v>44.055</v>
      </c>
      <c r="CP2" s="17">
        <v>36.962000000000003</v>
      </c>
      <c r="CQ2" s="17">
        <v>28.573</v>
      </c>
      <c r="CR2" s="17">
        <v>18.885000000000002</v>
      </c>
      <c r="CS2" s="17">
        <v>13.112</v>
      </c>
      <c r="CT2" s="17">
        <v>11.18</v>
      </c>
      <c r="CU2" s="17">
        <v>8.9619999999999997</v>
      </c>
      <c r="CV2" s="17">
        <v>6.46</v>
      </c>
      <c r="CW2" s="17">
        <v>3.6709999999999998</v>
      </c>
      <c r="CX2" s="17">
        <v>6.2670000000000003</v>
      </c>
      <c r="CY2" s="19">
        <f>SUM(B2:CX2)</f>
        <v>158804.39699999997</v>
      </c>
      <c r="CZ2" s="21">
        <f>SUM(T2:CX2)</f>
        <v>109554.18199999993</v>
      </c>
      <c r="DA2">
        <f>T2/$CZ2</f>
        <v>2.060360415999456E-2</v>
      </c>
      <c r="DB2">
        <f>U2/$CZ2</f>
        <v>2.1042875387449853E-2</v>
      </c>
      <c r="DC2">
        <f t="shared" ref="DC2:FN2" si="0">V2/$CZ2</f>
        <v>2.1504573873775093E-2</v>
      </c>
      <c r="DD2">
        <f t="shared" si="0"/>
        <v>2.1994477581878176E-2</v>
      </c>
      <c r="DE2">
        <f t="shared" si="0"/>
        <v>2.2443041015084219E-2</v>
      </c>
      <c r="DF2">
        <f t="shared" si="0"/>
        <v>2.2798874076755935E-2</v>
      </c>
      <c r="DG2">
        <f t="shared" si="0"/>
        <v>2.3073341006735842E-2</v>
      </c>
      <c r="DH2">
        <f t="shared" si="0"/>
        <v>2.3351103109874906E-2</v>
      </c>
      <c r="DI2">
        <f t="shared" si="0"/>
        <v>2.3641470847730866E-2</v>
      </c>
      <c r="DJ2">
        <f t="shared" si="0"/>
        <v>2.3740079589111455E-2</v>
      </c>
      <c r="DK2">
        <f t="shared" si="0"/>
        <v>2.3561930296736658E-2</v>
      </c>
      <c r="DL2">
        <f t="shared" si="0"/>
        <v>2.3200154969894273E-2</v>
      </c>
      <c r="DM2">
        <f t="shared" si="0"/>
        <v>2.2826339938351252E-2</v>
      </c>
      <c r="DN2">
        <f t="shared" si="0"/>
        <v>2.2398323415896634E-2</v>
      </c>
      <c r="DO2">
        <f t="shared" si="0"/>
        <v>2.2044452853474835E-2</v>
      </c>
      <c r="DP2">
        <f t="shared" si="0"/>
        <v>2.1843419907055683E-2</v>
      </c>
      <c r="DQ2">
        <f t="shared" si="0"/>
        <v>2.1731867798529148E-2</v>
      </c>
      <c r="DR2">
        <f t="shared" si="0"/>
        <v>2.1567456000903748E-2</v>
      </c>
      <c r="DS2">
        <f t="shared" si="0"/>
        <v>2.137830758482594E-2</v>
      </c>
      <c r="DT2">
        <f t="shared" si="0"/>
        <v>2.1155112088737986E-2</v>
      </c>
      <c r="DU2">
        <f t="shared" si="0"/>
        <v>2.0878883473384902E-2</v>
      </c>
      <c r="DV2">
        <f t="shared" si="0"/>
        <v>2.0561789234116154E-2</v>
      </c>
      <c r="DW2">
        <f t="shared" si="0"/>
        <v>2.024484104130321E-2</v>
      </c>
      <c r="DX2">
        <f t="shared" si="0"/>
        <v>1.9931617033113365E-2</v>
      </c>
      <c r="DY2">
        <f t="shared" si="0"/>
        <v>1.9565040429036302E-2</v>
      </c>
      <c r="DZ2">
        <f t="shared" si="0"/>
        <v>1.9124600829934554E-2</v>
      </c>
      <c r="EA2">
        <f t="shared" si="0"/>
        <v>1.8640329038283554E-2</v>
      </c>
      <c r="EB2">
        <f t="shared" si="0"/>
        <v>1.8155372653870953E-2</v>
      </c>
      <c r="EC2">
        <f t="shared" si="0"/>
        <v>1.7652178718289377E-2</v>
      </c>
      <c r="ED2">
        <f t="shared" si="0"/>
        <v>1.7216677314974626E-2</v>
      </c>
      <c r="EE2">
        <f t="shared" si="0"/>
        <v>1.6893147903746852E-2</v>
      </c>
      <c r="EF2">
        <f t="shared" si="0"/>
        <v>1.6639702535499751E-2</v>
      </c>
      <c r="EG2">
        <f t="shared" si="0"/>
        <v>1.6373167753650893E-2</v>
      </c>
      <c r="EH2">
        <f t="shared" si="0"/>
        <v>1.6113798376040097E-2</v>
      </c>
      <c r="EI2">
        <f t="shared" si="0"/>
        <v>1.5819195290965718E-2</v>
      </c>
      <c r="EJ2">
        <f t="shared" si="0"/>
        <v>1.5461052869711549E-2</v>
      </c>
      <c r="EK2">
        <f t="shared" si="0"/>
        <v>1.5063277091512591E-2</v>
      </c>
      <c r="EL2">
        <f t="shared" si="0"/>
        <v>1.4673679914838861E-2</v>
      </c>
      <c r="EM2">
        <f t="shared" si="0"/>
        <v>1.4277391984908443E-2</v>
      </c>
      <c r="EN2">
        <f t="shared" si="0"/>
        <v>1.3904215906609582E-2</v>
      </c>
      <c r="EO2">
        <f t="shared" si="0"/>
        <v>1.357203324287521E-2</v>
      </c>
      <c r="EP2">
        <f t="shared" si="0"/>
        <v>1.326156586153873E-2</v>
      </c>
      <c r="EQ2">
        <f t="shared" si="0"/>
        <v>1.2928370000517195E-2</v>
      </c>
      <c r="ER2">
        <f t="shared" si="0"/>
        <v>1.2572673857397802E-2</v>
      </c>
      <c r="ES2">
        <f t="shared" si="0"/>
        <v>1.2211537483799577E-2</v>
      </c>
      <c r="ET2">
        <f t="shared" si="0"/>
        <v>1.1846147507175955E-2</v>
      </c>
      <c r="EU2">
        <f t="shared" si="0"/>
        <v>1.1463660967319357E-2</v>
      </c>
      <c r="EV2">
        <f t="shared" si="0"/>
        <v>1.1070001873593478E-2</v>
      </c>
      <c r="EW2">
        <f t="shared" si="0"/>
        <v>1.0687889577779885E-2</v>
      </c>
      <c r="EX2">
        <f t="shared" si="0"/>
        <v>1.0177146866013757E-2</v>
      </c>
      <c r="EY2">
        <f t="shared" si="0"/>
        <v>9.4762151571721916E-3</v>
      </c>
      <c r="EZ2">
        <f t="shared" si="0"/>
        <v>8.6593590740333456E-3</v>
      </c>
      <c r="FA2">
        <f t="shared" si="0"/>
        <v>7.8556928114346253E-3</v>
      </c>
      <c r="FB2">
        <f t="shared" si="0"/>
        <v>7.031433998567033E-3</v>
      </c>
      <c r="FC2">
        <f t="shared" si="0"/>
        <v>6.3122647385564926E-3</v>
      </c>
      <c r="FD2">
        <f t="shared" si="0"/>
        <v>5.7712812825347045E-3</v>
      </c>
      <c r="FE2">
        <f t="shared" si="0"/>
        <v>5.348659351041481E-3</v>
      </c>
      <c r="FF2">
        <f t="shared" si="0"/>
        <v>4.9180870156102334E-3</v>
      </c>
      <c r="FG2">
        <f t="shared" si="0"/>
        <v>4.5127259496127708E-3</v>
      </c>
      <c r="FH2">
        <f t="shared" si="0"/>
        <v>4.0863615776894789E-3</v>
      </c>
      <c r="FI2">
        <f t="shared" si="0"/>
        <v>3.6058687380824974E-3</v>
      </c>
      <c r="FJ2">
        <f t="shared" si="0"/>
        <v>3.1043086972252706E-3</v>
      </c>
      <c r="FK2">
        <f t="shared" si="0"/>
        <v>2.6419895134628469E-3</v>
      </c>
      <c r="FL2">
        <f t="shared" si="0"/>
        <v>2.1998521243123347E-3</v>
      </c>
      <c r="FM2">
        <f t="shared" si="0"/>
        <v>1.8333120318492283E-3</v>
      </c>
      <c r="FN2">
        <f t="shared" si="0"/>
        <v>1.5737600961686713E-3</v>
      </c>
      <c r="FO2">
        <f t="shared" ref="FO2:GE2" si="1">CH2/$CZ2</f>
        <v>1.3905539452615339E-3</v>
      </c>
      <c r="FP2">
        <f t="shared" si="1"/>
        <v>1.2212222076561175E-3</v>
      </c>
      <c r="FQ2">
        <f t="shared" si="1"/>
        <v>1.0777680764391092E-3</v>
      </c>
      <c r="FR2">
        <f t="shared" si="1"/>
        <v>9.397085361834938E-4</v>
      </c>
      <c r="FS2">
        <f t="shared" si="1"/>
        <v>7.9035777931325401E-4</v>
      </c>
      <c r="FT2">
        <f t="shared" si="1"/>
        <v>6.4015812741863244E-4</v>
      </c>
      <c r="FU2">
        <f t="shared" si="1"/>
        <v>5.0134097117351516E-4</v>
      </c>
      <c r="FV2">
        <f t="shared" si="1"/>
        <v>4.0212978816271959E-4</v>
      </c>
      <c r="FW2">
        <f t="shared" si="1"/>
        <v>3.3738556872251602E-4</v>
      </c>
      <c r="FX2">
        <f t="shared" si="1"/>
        <v>2.6081158636189736E-4</v>
      </c>
      <c r="FY2">
        <f t="shared" si="1"/>
        <v>1.7238045737039975E-4</v>
      </c>
      <c r="FZ2">
        <f t="shared" si="1"/>
        <v>1.1968507053432254E-4</v>
      </c>
      <c r="GA2">
        <f t="shared" si="1"/>
        <v>1.0204996099555567E-4</v>
      </c>
      <c r="GB2">
        <f t="shared" si="1"/>
        <v>8.1804271059228074E-5</v>
      </c>
      <c r="GC2">
        <f t="shared" si="1"/>
        <v>5.8966256532315712E-5</v>
      </c>
      <c r="GD2">
        <f t="shared" si="1"/>
        <v>3.3508533704354641E-5</v>
      </c>
      <c r="GE2">
        <f t="shared" si="1"/>
        <v>5.7204571159136625E-5</v>
      </c>
    </row>
    <row r="3" spans="1:187">
      <c r="A3" s="4">
        <v>1951</v>
      </c>
      <c r="B3" s="17">
        <v>3712.154</v>
      </c>
      <c r="C3" s="17">
        <v>3735.7539999999999</v>
      </c>
      <c r="D3" s="17">
        <v>3585.3789999999999</v>
      </c>
      <c r="E3" s="17">
        <v>3435.7379999999998</v>
      </c>
      <c r="F3" s="17">
        <v>3288.2289999999998</v>
      </c>
      <c r="G3" s="17">
        <v>3144.248</v>
      </c>
      <c r="H3" s="17">
        <v>3004.99</v>
      </c>
      <c r="I3" s="17">
        <v>2871.652</v>
      </c>
      <c r="J3" s="17">
        <v>2746.636</v>
      </c>
      <c r="K3" s="17">
        <v>2631.7449999999999</v>
      </c>
      <c r="L3" s="17">
        <v>2527.77</v>
      </c>
      <c r="M3" s="17">
        <v>2433.0320000000002</v>
      </c>
      <c r="N3" s="17">
        <v>2347.058</v>
      </c>
      <c r="O3" s="17">
        <v>2280.585</v>
      </c>
      <c r="P3" s="17">
        <v>2238.5430000000001</v>
      </c>
      <c r="Q3" s="17">
        <v>2216.5250000000001</v>
      </c>
      <c r="R3" s="17">
        <v>2202.1030000000001</v>
      </c>
      <c r="S3" s="17">
        <v>2194.0549999999998</v>
      </c>
      <c r="T3" s="17">
        <v>2205.6610000000001</v>
      </c>
      <c r="U3" s="17">
        <v>2241.0830000000001</v>
      </c>
      <c r="V3" s="17">
        <v>2292.3980000000001</v>
      </c>
      <c r="W3" s="17">
        <v>2346.0920000000001</v>
      </c>
      <c r="X3" s="17">
        <v>2403.1559999999999</v>
      </c>
      <c r="Y3" s="17">
        <v>2454.607</v>
      </c>
      <c r="Z3" s="17">
        <v>2494.0360000000001</v>
      </c>
      <c r="AA3" s="17">
        <v>2523.3359999999998</v>
      </c>
      <c r="AB3" s="17">
        <v>2553.201</v>
      </c>
      <c r="AC3" s="17">
        <v>2584.357</v>
      </c>
      <c r="AD3" s="17">
        <v>2594.645</v>
      </c>
      <c r="AE3" s="17">
        <v>2575.011</v>
      </c>
      <c r="AF3" s="17">
        <v>2535.4670000000001</v>
      </c>
      <c r="AG3" s="17">
        <v>2494.2809999999999</v>
      </c>
      <c r="AH3" s="17">
        <v>2446.8380000000002</v>
      </c>
      <c r="AI3" s="17">
        <v>2407.6460000000002</v>
      </c>
      <c r="AJ3" s="17">
        <v>2385.4639999999999</v>
      </c>
      <c r="AK3" s="17">
        <v>2373.1170000000002</v>
      </c>
      <c r="AL3" s="17">
        <v>2355.1709999999998</v>
      </c>
      <c r="AM3" s="17">
        <v>2335.3150000000001</v>
      </c>
      <c r="AN3" s="17">
        <v>2309.4229999999998</v>
      </c>
      <c r="AO3" s="17">
        <v>2274.0929999999998</v>
      </c>
      <c r="AP3" s="17">
        <v>2232.4270000000001</v>
      </c>
      <c r="AQ3" s="17">
        <v>2191.0369999999998</v>
      </c>
      <c r="AR3" s="17">
        <v>2148.7220000000002</v>
      </c>
      <c r="AS3" s="17">
        <v>2106.6819999999998</v>
      </c>
      <c r="AT3" s="17">
        <v>2066.2170000000001</v>
      </c>
      <c r="AU3" s="17">
        <v>2026.6279999999999</v>
      </c>
      <c r="AV3" s="17">
        <v>1985.9670000000001</v>
      </c>
      <c r="AW3" s="17">
        <v>1944.683</v>
      </c>
      <c r="AX3" s="17">
        <v>1903.5239999999999</v>
      </c>
      <c r="AY3" s="17">
        <v>1862.69</v>
      </c>
      <c r="AZ3" s="17">
        <v>1822.1320000000001</v>
      </c>
      <c r="BA3" s="17">
        <v>1781.463</v>
      </c>
      <c r="BB3" s="17">
        <v>1740.587</v>
      </c>
      <c r="BC3" s="17">
        <v>1700.58</v>
      </c>
      <c r="BD3" s="17">
        <v>1661.8810000000001</v>
      </c>
      <c r="BE3" s="17">
        <v>1623.9580000000001</v>
      </c>
      <c r="BF3" s="17">
        <v>1585.479</v>
      </c>
      <c r="BG3" s="17">
        <v>1546.279</v>
      </c>
      <c r="BH3" s="17">
        <v>1507.49</v>
      </c>
      <c r="BI3" s="17">
        <v>1469.405</v>
      </c>
      <c r="BJ3" s="17">
        <v>1431.229</v>
      </c>
      <c r="BK3" s="17">
        <v>1391.367</v>
      </c>
      <c r="BL3" s="17">
        <v>1349.521</v>
      </c>
      <c r="BM3" s="17">
        <v>1306.317</v>
      </c>
      <c r="BN3" s="17">
        <v>1261.703</v>
      </c>
      <c r="BO3" s="17">
        <v>1214.857</v>
      </c>
      <c r="BP3" s="17">
        <v>1166.9000000000001</v>
      </c>
      <c r="BQ3" s="17">
        <v>1119.874</v>
      </c>
      <c r="BR3" s="17">
        <v>1061.4079999999999</v>
      </c>
      <c r="BS3" s="17">
        <v>986.18700000000001</v>
      </c>
      <c r="BT3" s="17">
        <v>900.90099999999995</v>
      </c>
      <c r="BU3" s="17">
        <v>816.91399999999999</v>
      </c>
      <c r="BV3" s="17">
        <v>731.17399999999998</v>
      </c>
      <c r="BW3" s="17">
        <v>655.84900000000005</v>
      </c>
      <c r="BX3" s="17">
        <v>597.90300000000002</v>
      </c>
      <c r="BY3" s="17">
        <v>551.61199999999997</v>
      </c>
      <c r="BZ3" s="17">
        <v>504.983</v>
      </c>
      <c r="CA3" s="17">
        <v>461.24099999999999</v>
      </c>
      <c r="CB3" s="17">
        <v>415.59399999999999</v>
      </c>
      <c r="CC3" s="17">
        <v>364.726</v>
      </c>
      <c r="CD3" s="17">
        <v>311.99200000000002</v>
      </c>
      <c r="CE3" s="17">
        <v>263.43400000000003</v>
      </c>
      <c r="CF3" s="17">
        <v>217.07599999999999</v>
      </c>
      <c r="CG3" s="17">
        <v>178.90299999999999</v>
      </c>
      <c r="CH3" s="17">
        <v>152.25700000000001</v>
      </c>
      <c r="CI3" s="17">
        <v>133.84399999999999</v>
      </c>
      <c r="CJ3" s="17">
        <v>116.97799999999999</v>
      </c>
      <c r="CK3" s="17">
        <v>103.05500000000001</v>
      </c>
      <c r="CL3" s="17">
        <v>89.539000000000001</v>
      </c>
      <c r="CM3" s="17">
        <v>74.795000000000002</v>
      </c>
      <c r="CN3" s="17">
        <v>59.734999999999999</v>
      </c>
      <c r="CO3" s="17">
        <v>46.387999999999998</v>
      </c>
      <c r="CP3" s="17">
        <v>37.331000000000003</v>
      </c>
      <c r="CQ3" s="17">
        <v>31.24</v>
      </c>
      <c r="CR3" s="17">
        <v>24.062999999999999</v>
      </c>
      <c r="CS3" s="17">
        <v>15.801</v>
      </c>
      <c r="CT3" s="17">
        <v>11.365</v>
      </c>
      <c r="CU3" s="17">
        <v>9.1319999999999997</v>
      </c>
      <c r="CV3" s="17">
        <v>6.5890000000000004</v>
      </c>
      <c r="CW3" s="17">
        <v>3.7360000000000002</v>
      </c>
      <c r="CX3" s="17">
        <v>6.3259999999999996</v>
      </c>
      <c r="CY3" s="3">
        <f t="shared" ref="CY3:CY13" si="2">SUM(B3:CX3)</f>
        <v>160872.26400000002</v>
      </c>
      <c r="CZ3" s="21">
        <f t="shared" ref="CZ3:CZ66" si="3">SUM(T3:CX3)</f>
        <v>110276.06800000001</v>
      </c>
      <c r="DA3">
        <f t="shared" ref="DA3:DA66" si="4">T3/$CZ3</f>
        <v>2.0001266276559661E-2</v>
      </c>
      <c r="DB3">
        <f t="shared" ref="DB3:DB66" si="5">U3/$CZ3</f>
        <v>2.0322478309618364E-2</v>
      </c>
      <c r="DC3">
        <f t="shared" ref="DC3:DC66" si="6">V3/$CZ3</f>
        <v>2.078781046128703E-2</v>
      </c>
      <c r="DD3">
        <f t="shared" ref="DD3:DD66" si="7">W3/$CZ3</f>
        <v>2.1274715743401368E-2</v>
      </c>
      <c r="DE3">
        <f t="shared" ref="DE3:DE66" si="8">X3/$CZ3</f>
        <v>2.1792180693276077E-2</v>
      </c>
      <c r="DF3">
        <f t="shared" ref="DF3:DF66" si="9">Y3/$CZ3</f>
        <v>2.2258746113435961E-2</v>
      </c>
      <c r="DG3">
        <f t="shared" ref="DG3:DG66" si="10">Z3/$CZ3</f>
        <v>2.2616294226232292E-2</v>
      </c>
      <c r="DH3">
        <f t="shared" ref="DH3:DH66" si="11">AA3/$CZ3</f>
        <v>2.2881991040884769E-2</v>
      </c>
      <c r="DI3">
        <f t="shared" ref="DI3:DI66" si="12">AB3/$CZ3</f>
        <v>2.3152811360666211E-2</v>
      </c>
      <c r="DJ3">
        <f t="shared" ref="DJ3:DJ66" si="13">AC3/$CZ3</f>
        <v>2.3435338662963569E-2</v>
      </c>
      <c r="DK3">
        <f t="shared" ref="DK3:DK66" si="14">AD3/$CZ3</f>
        <v>2.3528631797064072E-2</v>
      </c>
      <c r="DL3">
        <f t="shared" ref="DL3:DL66" si="15">AE3/$CZ3</f>
        <v>2.3350587726794898E-2</v>
      </c>
      <c r="DM3">
        <f t="shared" ref="DM3:DM66" si="16">AF3/$CZ3</f>
        <v>2.2991996776671433E-2</v>
      </c>
      <c r="DN3">
        <f t="shared" ref="DN3:DN66" si="17">AG3/$CZ3</f>
        <v>2.261851592314662E-2</v>
      </c>
      <c r="DO3">
        <f t="shared" ref="DO3:DO66" si="18">AH3/$CZ3</f>
        <v>2.2188295650875038E-2</v>
      </c>
      <c r="DP3">
        <f t="shared" ref="DP3:DP66" si="19">AI3/$CZ3</f>
        <v>2.1832896689787669E-2</v>
      </c>
      <c r="DQ3">
        <f t="shared" ref="DQ3:DQ66" si="20">AJ3/$CZ3</f>
        <v>2.1631746971609467E-2</v>
      </c>
      <c r="DR3">
        <f t="shared" ref="DR3:DR66" si="21">AK3/$CZ3</f>
        <v>2.1519782515277929E-2</v>
      </c>
      <c r="DS3">
        <f t="shared" ref="DS3:DS66" si="22">AL3/$CZ3</f>
        <v>2.1357045483340952E-2</v>
      </c>
      <c r="DT3">
        <f t="shared" ref="DT3:DT66" si="23">AM3/$CZ3</f>
        <v>2.1176988283622879E-2</v>
      </c>
      <c r="DU3">
        <f t="shared" ref="DU3:DU66" si="24">AN3/$CZ3</f>
        <v>2.0942195726456257E-2</v>
      </c>
      <c r="DV3">
        <f t="shared" ref="DV3:DV66" si="25">AO3/$CZ3</f>
        <v>2.0621817963259258E-2</v>
      </c>
      <c r="DW3">
        <f t="shared" ref="DW3:DW66" si="26">AP3/$CZ3</f>
        <v>2.0243984397412498E-2</v>
      </c>
      <c r="DX3">
        <f t="shared" ref="DX3:DX66" si="27">AQ3/$CZ3</f>
        <v>1.9868653641150858E-2</v>
      </c>
      <c r="DY3">
        <f t="shared" ref="DY3:DY66" si="28">AR3/$CZ3</f>
        <v>1.9484934845518793E-2</v>
      </c>
      <c r="DZ3">
        <f t="shared" ref="DZ3:DZ66" si="29">AS3/$CZ3</f>
        <v>1.9103709791321172E-2</v>
      </c>
      <c r="EA3">
        <f t="shared" ref="EA3:EA66" si="30">AT3/$CZ3</f>
        <v>1.8736767074429964E-2</v>
      </c>
      <c r="EB3">
        <f t="shared" ref="EB3:EB66" si="31">AU3/$CZ3</f>
        <v>1.8377768057526313E-2</v>
      </c>
      <c r="EC3">
        <f t="shared" ref="EC3:EC66" si="32">AV3/$CZ3</f>
        <v>1.800904798310364E-2</v>
      </c>
      <c r="ED3">
        <f t="shared" ref="ED3:ED66" si="33">AW3/$CZ3</f>
        <v>1.7634678450813096E-2</v>
      </c>
      <c r="EE3">
        <f t="shared" ref="EE3:EE66" si="34">AX3/$CZ3</f>
        <v>1.7261442437356396E-2</v>
      </c>
      <c r="EF3">
        <f t="shared" ref="EF3:EF66" si="35">AY3/$CZ3</f>
        <v>1.6891153572867686E-2</v>
      </c>
      <c r="EG3">
        <f t="shared" ref="EG3:EG66" si="36">AZ3/$CZ3</f>
        <v>1.6523367517964096E-2</v>
      </c>
      <c r="EH3">
        <f t="shared" ref="EH3:EH66" si="37">BA3/$CZ3</f>
        <v>1.6154574898336053E-2</v>
      </c>
      <c r="EI3">
        <f t="shared" ref="EI3:EI66" si="38">BB3/$CZ3</f>
        <v>1.5783905171519171E-2</v>
      </c>
      <c r="EJ3">
        <f t="shared" ref="EJ3:EJ66" si="39">BC3/$CZ3</f>
        <v>1.5421115667635155E-2</v>
      </c>
      <c r="EK3">
        <f t="shared" ref="EK3:EK66" si="40">BD3/$CZ3</f>
        <v>1.507018730482846E-2</v>
      </c>
      <c r="EL3">
        <f t="shared" ref="EL3:EL66" si="41">BE3/$CZ3</f>
        <v>1.4726295826942251E-2</v>
      </c>
      <c r="EM3">
        <f t="shared" ref="EM3:EM66" si="42">BF3/$CZ3</f>
        <v>1.4377362457283115E-2</v>
      </c>
      <c r="EN3">
        <f t="shared" ref="EN3:EN66" si="43">BG3/$CZ3</f>
        <v>1.4021890950990381E-2</v>
      </c>
      <c r="EO3">
        <f t="shared" ref="EO3:EO66" si="44">BH3/$CZ3</f>
        <v>1.3670146454623317E-2</v>
      </c>
      <c r="EP3">
        <f t="shared" ref="EP3:EP66" si="45">BI3/$CZ3</f>
        <v>1.3324785936328449E-2</v>
      </c>
      <c r="EQ3">
        <f t="shared" ref="EQ3:EQ66" si="46">BJ3/$CZ3</f>
        <v>1.2978600216322547E-2</v>
      </c>
      <c r="ER3">
        <f t="shared" ref="ER3:ER66" si="47">BK3/$CZ3</f>
        <v>1.2617125594285787E-2</v>
      </c>
      <c r="ES3">
        <f t="shared" ref="ES3:ES66" si="48">BL3/$CZ3</f>
        <v>1.2237659761318293E-2</v>
      </c>
      <c r="ET3">
        <f t="shared" ref="ET3:ET66" si="49">BM3/$CZ3</f>
        <v>1.1845879379739943E-2</v>
      </c>
      <c r="EU3">
        <f t="shared" ref="EU3:EU66" si="50">BN3/$CZ3</f>
        <v>1.144131290571586E-2</v>
      </c>
      <c r="EV3">
        <f t="shared" ref="EV3:EV66" si="51">BO3/$CZ3</f>
        <v>1.1016506319394702E-2</v>
      </c>
      <c r="EW3">
        <f t="shared" ref="EW3:EW66" si="52">BP3/$CZ3</f>
        <v>1.058162501767836E-2</v>
      </c>
      <c r="EX3">
        <f t="shared" ref="EX3:EX66" si="53">BQ3/$CZ3</f>
        <v>1.0155186164236468E-2</v>
      </c>
      <c r="EY3">
        <f t="shared" ref="EY3:EY66" si="54">BR3/$CZ3</f>
        <v>9.6250076671213908E-3</v>
      </c>
      <c r="EZ3">
        <f t="shared" ref="EZ3:EZ66" si="55">BS3/$CZ3</f>
        <v>8.9428923055181828E-3</v>
      </c>
      <c r="FA3">
        <f t="shared" ref="FA3:FA66" si="56">BT3/$CZ3</f>
        <v>8.1695060074140468E-3</v>
      </c>
      <c r="FB3">
        <f t="shared" ref="FB3:FB66" si="57">BU3/$CZ3</f>
        <v>7.4078992370311923E-3</v>
      </c>
      <c r="FC3">
        <f t="shared" ref="FC3:FC66" si="58">BV3/$CZ3</f>
        <v>6.6303959985225432E-3</v>
      </c>
      <c r="FD3">
        <f t="shared" ref="FD3:FD66" si="59">BW3/$CZ3</f>
        <v>5.9473375492495794E-3</v>
      </c>
      <c r="FE3">
        <f t="shared" ref="FE3:FE66" si="60">BX3/$CZ3</f>
        <v>5.4218744904832835E-3</v>
      </c>
      <c r="FF3">
        <f t="shared" ref="FF3:FF66" si="61">BY3/$CZ3</f>
        <v>5.0021007277843811E-3</v>
      </c>
      <c r="FG3">
        <f t="shared" ref="FG3:FG66" si="62">BZ3/$CZ3</f>
        <v>4.5792619301587715E-3</v>
      </c>
      <c r="FH3">
        <f t="shared" ref="FH3:FH66" si="63">CA3/$CZ3</f>
        <v>4.1826028835195679E-3</v>
      </c>
      <c r="FI3">
        <f t="shared" ref="FI3:FI66" si="64">CB3/$CZ3</f>
        <v>3.7686690098526175E-3</v>
      </c>
      <c r="FJ3">
        <f t="shared" ref="FJ3:FJ66" si="65">CC3/$CZ3</f>
        <v>3.3073903215337704E-3</v>
      </c>
      <c r="FK3">
        <f t="shared" ref="FK3:FK66" si="66">CD3/$CZ3</f>
        <v>2.829190464063336E-3</v>
      </c>
      <c r="FL3">
        <f t="shared" ref="FL3:FL66" si="67">CE3/$CZ3</f>
        <v>2.3888592037938821E-3</v>
      </c>
      <c r="FM3">
        <f t="shared" ref="FM3:FM66" si="68">CF3/$CZ3</f>
        <v>1.9684778750000405E-3</v>
      </c>
      <c r="FN3">
        <f t="shared" ref="FN3:FN66" si="69">CG3/$CZ3</f>
        <v>1.6223193594461489E-3</v>
      </c>
      <c r="FO3">
        <f t="shared" ref="FO3:FO66" si="70">CH3/$CZ3</f>
        <v>1.3806894166737971E-3</v>
      </c>
      <c r="FP3">
        <f t="shared" ref="FP3:FP66" si="71">CI3/$CZ3</f>
        <v>1.21371755837359E-3</v>
      </c>
      <c r="FQ3">
        <f t="shared" ref="FQ3:FQ66" si="72">CJ3/$CZ3</f>
        <v>1.060774129161007E-3</v>
      </c>
      <c r="FR3">
        <f t="shared" ref="FR3:FR66" si="73">CK3/$CZ3</f>
        <v>9.3451826737239122E-4</v>
      </c>
      <c r="FS3">
        <f t="shared" ref="FS3:FS66" si="74">CL3/$CZ3</f>
        <v>8.119531429067637E-4</v>
      </c>
      <c r="FT3">
        <f t="shared" ref="FT3:FT66" si="75">CM3/$CZ3</f>
        <v>6.7825232941747611E-4</v>
      </c>
      <c r="FU3">
        <f t="shared" ref="FU3:FU66" si="76">CN3/$CZ3</f>
        <v>5.416859803162368E-4</v>
      </c>
      <c r="FV3">
        <f t="shared" ref="FV3:FV66" si="77">CO3/$CZ3</f>
        <v>4.2065337331396318E-4</v>
      </c>
      <c r="FW3">
        <f t="shared" ref="FW3:FW66" si="78">CP3/$CZ3</f>
        <v>3.3852313268913434E-4</v>
      </c>
      <c r="FX3">
        <f t="shared" ref="FX3:FX66" si="79">CQ3/$CZ3</f>
        <v>2.8328902695369946E-4</v>
      </c>
      <c r="FY3">
        <f t="shared" ref="FY3:FY66" si="80">CR3/$CZ3</f>
        <v>2.182069095898486E-4</v>
      </c>
      <c r="FZ3">
        <f t="shared" ref="FZ3:FZ66" si="81">CS3/$CZ3</f>
        <v>1.4328584874825242E-4</v>
      </c>
      <c r="GA3">
        <f t="shared" ref="GA3:GA66" si="82">CT3/$CZ3</f>
        <v>1.0305953237288075E-4</v>
      </c>
      <c r="GB3">
        <f t="shared" ref="GB3:GB66" si="83">CU3/$CZ3</f>
        <v>8.281035192513392E-5</v>
      </c>
      <c r="GC3">
        <f t="shared" ref="GC3:GC66" si="84">CV3/$CZ3</f>
        <v>5.9750044769459856E-5</v>
      </c>
      <c r="GD3">
        <f t="shared" ref="GD3:GD66" si="85">CW3/$CZ3</f>
        <v>3.3878610905858557E-5</v>
      </c>
      <c r="GE3">
        <f t="shared" ref="GE3:GE66" si="86">CX3/$CZ3</f>
        <v>5.736512114305707E-5</v>
      </c>
    </row>
    <row r="4" spans="1:187">
      <c r="A4" s="4">
        <v>1952</v>
      </c>
      <c r="B4" s="17">
        <v>3706.92</v>
      </c>
      <c r="C4" s="17">
        <v>3664.5859999999998</v>
      </c>
      <c r="D4" s="17">
        <v>3717.9169999999999</v>
      </c>
      <c r="E4" s="17">
        <v>3578.92</v>
      </c>
      <c r="F4" s="17">
        <v>3437.346</v>
      </c>
      <c r="G4" s="17">
        <v>3295.0129999999999</v>
      </c>
      <c r="H4" s="17">
        <v>3153.7370000000001</v>
      </c>
      <c r="I4" s="17">
        <v>3014.931</v>
      </c>
      <c r="J4" s="17">
        <v>2880.009</v>
      </c>
      <c r="K4" s="17">
        <v>2752.8049999999998</v>
      </c>
      <c r="L4" s="17">
        <v>2635.9409999999998</v>
      </c>
      <c r="M4" s="17">
        <v>2530.0250000000001</v>
      </c>
      <c r="N4" s="17">
        <v>2432.4360000000001</v>
      </c>
      <c r="O4" s="17">
        <v>2342.9720000000002</v>
      </c>
      <c r="P4" s="17">
        <v>2273.5390000000002</v>
      </c>
      <c r="Q4" s="17">
        <v>2229.5889999999999</v>
      </c>
      <c r="R4" s="17">
        <v>2206.4780000000001</v>
      </c>
      <c r="S4" s="17">
        <v>2190.8139999999999</v>
      </c>
      <c r="T4" s="17">
        <v>2181.31</v>
      </c>
      <c r="U4" s="17">
        <v>2192.8820000000001</v>
      </c>
      <c r="V4" s="17">
        <v>2230.3310000000001</v>
      </c>
      <c r="W4" s="17">
        <v>2284.9479999999999</v>
      </c>
      <c r="X4" s="17">
        <v>2341.8739999999998</v>
      </c>
      <c r="Y4" s="17">
        <v>2402.4560000000001</v>
      </c>
      <c r="Z4" s="17">
        <v>2456.3330000000001</v>
      </c>
      <c r="AA4" s="17">
        <v>2496.299</v>
      </c>
      <c r="AB4" s="17">
        <v>2524.902</v>
      </c>
      <c r="AC4" s="17">
        <v>2554.277</v>
      </c>
      <c r="AD4" s="17">
        <v>2584.8519999999999</v>
      </c>
      <c r="AE4" s="17">
        <v>2594.652</v>
      </c>
      <c r="AF4" s="17">
        <v>2574.8530000000001</v>
      </c>
      <c r="AG4" s="17">
        <v>2535.3049999999998</v>
      </c>
      <c r="AH4" s="17">
        <v>2493.7890000000002</v>
      </c>
      <c r="AI4" s="17">
        <v>2445.6819999999998</v>
      </c>
      <c r="AJ4" s="17">
        <v>2405.9740000000002</v>
      </c>
      <c r="AK4" s="17">
        <v>2383.5810000000001</v>
      </c>
      <c r="AL4" s="17">
        <v>2371.078</v>
      </c>
      <c r="AM4" s="17">
        <v>2353.1559999999999</v>
      </c>
      <c r="AN4" s="17">
        <v>2334.116</v>
      </c>
      <c r="AO4" s="17">
        <v>2306.7269999999999</v>
      </c>
      <c r="AP4" s="17">
        <v>2266.2550000000001</v>
      </c>
      <c r="AQ4" s="17">
        <v>2217.58</v>
      </c>
      <c r="AR4" s="17">
        <v>2169.44</v>
      </c>
      <c r="AS4" s="17">
        <v>2119.0419999999999</v>
      </c>
      <c r="AT4" s="17">
        <v>2075.0239999999999</v>
      </c>
      <c r="AU4" s="17">
        <v>2042.2349999999999</v>
      </c>
      <c r="AV4" s="17">
        <v>2015.9880000000001</v>
      </c>
      <c r="AW4" s="17">
        <v>1987.6690000000001</v>
      </c>
      <c r="AX4" s="17">
        <v>1960.1</v>
      </c>
      <c r="AY4" s="17">
        <v>1925.3820000000001</v>
      </c>
      <c r="AZ4" s="17">
        <v>1879.07</v>
      </c>
      <c r="BA4" s="17">
        <v>1825.652</v>
      </c>
      <c r="BB4" s="17">
        <v>1773.441</v>
      </c>
      <c r="BC4" s="17">
        <v>1720.0350000000001</v>
      </c>
      <c r="BD4" s="17">
        <v>1672.2159999999999</v>
      </c>
      <c r="BE4" s="17">
        <v>1633.961</v>
      </c>
      <c r="BF4" s="17">
        <v>1601.5909999999999</v>
      </c>
      <c r="BG4" s="17">
        <v>1567.2139999999999</v>
      </c>
      <c r="BH4" s="17">
        <v>1532.124</v>
      </c>
      <c r="BI4" s="17">
        <v>1495.335</v>
      </c>
      <c r="BJ4" s="17">
        <v>1455.47</v>
      </c>
      <c r="BK4" s="17">
        <v>1413.0509999999999</v>
      </c>
      <c r="BL4" s="17">
        <v>1369.742</v>
      </c>
      <c r="BM4" s="17">
        <v>1324.9259999999999</v>
      </c>
      <c r="BN4" s="17">
        <v>1277.9870000000001</v>
      </c>
      <c r="BO4" s="17">
        <v>1228.691</v>
      </c>
      <c r="BP4" s="17">
        <v>1176.798</v>
      </c>
      <c r="BQ4" s="17">
        <v>1123.904</v>
      </c>
      <c r="BR4" s="17">
        <v>1071.6079999999999</v>
      </c>
      <c r="BS4" s="17">
        <v>1010.497</v>
      </c>
      <c r="BT4" s="17">
        <v>936.66099999999994</v>
      </c>
      <c r="BU4" s="17">
        <v>855.37099999999998</v>
      </c>
      <c r="BV4" s="17">
        <v>775.23199999999997</v>
      </c>
      <c r="BW4" s="17">
        <v>693.84100000000001</v>
      </c>
      <c r="BX4" s="17">
        <v>621.79499999999996</v>
      </c>
      <c r="BY4" s="17">
        <v>565.02700000000004</v>
      </c>
      <c r="BZ4" s="17">
        <v>518.63499999999999</v>
      </c>
      <c r="CA4" s="17">
        <v>472.43599999999998</v>
      </c>
      <c r="CB4" s="17">
        <v>429.25400000000002</v>
      </c>
      <c r="CC4" s="17">
        <v>384.56200000000001</v>
      </c>
      <c r="CD4" s="17">
        <v>335.339</v>
      </c>
      <c r="CE4" s="17">
        <v>284.69299999999998</v>
      </c>
      <c r="CF4" s="17">
        <v>238.10599999999999</v>
      </c>
      <c r="CG4" s="17">
        <v>193.71299999999999</v>
      </c>
      <c r="CH4" s="17">
        <v>157.429</v>
      </c>
      <c r="CI4" s="17">
        <v>132.50399999999999</v>
      </c>
      <c r="CJ4" s="17">
        <v>115.702</v>
      </c>
      <c r="CK4" s="17">
        <v>100.477</v>
      </c>
      <c r="CL4" s="17">
        <v>88.308999999999997</v>
      </c>
      <c r="CM4" s="17">
        <v>76.367000000000004</v>
      </c>
      <c r="CN4" s="17">
        <v>63.203000000000003</v>
      </c>
      <c r="CO4" s="17">
        <v>49.497999999999998</v>
      </c>
      <c r="CP4" s="17">
        <v>37.978999999999999</v>
      </c>
      <c r="CQ4" s="17">
        <v>30.707000000000001</v>
      </c>
      <c r="CR4" s="17">
        <v>25.6</v>
      </c>
      <c r="CS4" s="17">
        <v>19.617999999999999</v>
      </c>
      <c r="CT4" s="17">
        <v>12.760999999999999</v>
      </c>
      <c r="CU4" s="17">
        <v>9.1080000000000005</v>
      </c>
      <c r="CV4" s="17">
        <v>6.577</v>
      </c>
      <c r="CW4" s="17">
        <v>3.7440000000000002</v>
      </c>
      <c r="CX4" s="17">
        <v>6.3949999999999996</v>
      </c>
      <c r="CY4" s="3">
        <f t="shared" si="2"/>
        <v>163266.02599999998</v>
      </c>
      <c r="CZ4" s="21">
        <f t="shared" si="3"/>
        <v>111222.04800000002</v>
      </c>
      <c r="DA4">
        <f t="shared" si="4"/>
        <v>1.9612208543399592E-2</v>
      </c>
      <c r="DB4">
        <f t="shared" si="5"/>
        <v>1.9716252662421749E-2</v>
      </c>
      <c r="DC4">
        <f t="shared" si="6"/>
        <v>2.0052957485551783E-2</v>
      </c>
      <c r="DD4">
        <f t="shared" si="7"/>
        <v>2.0544020192830827E-2</v>
      </c>
      <c r="DE4">
        <f t="shared" si="8"/>
        <v>2.1055843172389697E-2</v>
      </c>
      <c r="DF4">
        <f t="shared" si="9"/>
        <v>2.1600537332310224E-2</v>
      </c>
      <c r="DG4">
        <f t="shared" si="10"/>
        <v>2.208494668251388E-2</v>
      </c>
      <c r="DH4">
        <f t="shared" si="11"/>
        <v>2.2444281910723309E-2</v>
      </c>
      <c r="DI4">
        <f t="shared" si="12"/>
        <v>2.2701452143733224E-2</v>
      </c>
      <c r="DJ4">
        <f t="shared" si="13"/>
        <v>2.2965563446556921E-2</v>
      </c>
      <c r="DK4">
        <f t="shared" si="14"/>
        <v>2.3240463977070438E-2</v>
      </c>
      <c r="DL4">
        <f t="shared" si="15"/>
        <v>2.3328576003203965E-2</v>
      </c>
      <c r="DM4">
        <f t="shared" si="16"/>
        <v>2.3150562737345021E-2</v>
      </c>
      <c r="DN4">
        <f t="shared" si="17"/>
        <v>2.2794985756780878E-2</v>
      </c>
      <c r="DO4">
        <f t="shared" si="18"/>
        <v>2.2421714442805437E-2</v>
      </c>
      <c r="DP4">
        <f t="shared" si="19"/>
        <v>2.1989183295743658E-2</v>
      </c>
      <c r="DQ4">
        <f t="shared" si="20"/>
        <v>2.1632167751487543E-2</v>
      </c>
      <c r="DR4">
        <f t="shared" si="21"/>
        <v>2.1430831771772442E-2</v>
      </c>
      <c r="DS4">
        <f t="shared" si="22"/>
        <v>2.1318417010267598E-2</v>
      </c>
      <c r="DT4">
        <f t="shared" si="23"/>
        <v>2.115727989472015E-2</v>
      </c>
      <c r="DU4">
        <f t="shared" si="24"/>
        <v>2.098609081537502E-2</v>
      </c>
      <c r="DV4">
        <f t="shared" si="25"/>
        <v>2.0739835684377969E-2</v>
      </c>
      <c r="DW4">
        <f t="shared" si="26"/>
        <v>2.0375950998492671E-2</v>
      </c>
      <c r="DX4">
        <f t="shared" si="27"/>
        <v>1.9938312950324378E-2</v>
      </c>
      <c r="DY4">
        <f t="shared" si="28"/>
        <v>1.9505485099501133E-2</v>
      </c>
      <c r="DZ4">
        <f t="shared" si="29"/>
        <v>1.9052355518574874E-2</v>
      </c>
      <c r="EA4">
        <f t="shared" si="30"/>
        <v>1.8656588664866157E-2</v>
      </c>
      <c r="EB4">
        <f t="shared" si="31"/>
        <v>1.8361782009264922E-2</v>
      </c>
      <c r="EC4">
        <f t="shared" si="32"/>
        <v>1.8125794626619351E-2</v>
      </c>
      <c r="ED4">
        <f t="shared" si="33"/>
        <v>1.7871177844162693E-2</v>
      </c>
      <c r="EE4">
        <f t="shared" si="34"/>
        <v>1.7623304329012171E-2</v>
      </c>
      <c r="EF4">
        <f t="shared" si="35"/>
        <v>1.7311153989899554E-2</v>
      </c>
      <c r="EG4">
        <f t="shared" si="36"/>
        <v>1.6894761729257132E-2</v>
      </c>
      <c r="EH4">
        <f t="shared" si="37"/>
        <v>1.641447925864483E-2</v>
      </c>
      <c r="EI4">
        <f t="shared" si="38"/>
        <v>1.5945048952883872E-2</v>
      </c>
      <c r="EJ4">
        <f t="shared" si="39"/>
        <v>1.5464874374548469E-2</v>
      </c>
      <c r="EK4">
        <f t="shared" si="40"/>
        <v>1.5034932642132246E-2</v>
      </c>
      <c r="EL4">
        <f t="shared" si="41"/>
        <v>1.4690981054403886E-2</v>
      </c>
      <c r="EM4">
        <f t="shared" si="42"/>
        <v>1.4399941637471013E-2</v>
      </c>
      <c r="EN4">
        <f t="shared" si="43"/>
        <v>1.4090857237226917E-2</v>
      </c>
      <c r="EO4">
        <f t="shared" si="44"/>
        <v>1.3775362237530455E-2</v>
      </c>
      <c r="EP4">
        <f t="shared" si="45"/>
        <v>1.3444591489629823E-2</v>
      </c>
      <c r="EQ4">
        <f t="shared" si="46"/>
        <v>1.3086164354750955E-2</v>
      </c>
      <c r="ER4">
        <f t="shared" si="47"/>
        <v>1.270477414693892E-2</v>
      </c>
      <c r="ES4">
        <f t="shared" si="48"/>
        <v>1.2315381928590271E-2</v>
      </c>
      <c r="ET4">
        <f t="shared" si="49"/>
        <v>1.1912440238467823E-2</v>
      </c>
      <c r="EU4">
        <f t="shared" si="50"/>
        <v>1.1490410606357471E-2</v>
      </c>
      <c r="EV4">
        <f t="shared" si="51"/>
        <v>1.1047189132859698E-2</v>
      </c>
      <c r="EW4">
        <f t="shared" si="52"/>
        <v>1.0580617972436542E-2</v>
      </c>
      <c r="EX4">
        <f t="shared" si="53"/>
        <v>1.0105046797915461E-2</v>
      </c>
      <c r="EY4">
        <f t="shared" si="54"/>
        <v>9.6348522551931402E-3</v>
      </c>
      <c r="EZ4">
        <f t="shared" si="55"/>
        <v>9.0854018440660236E-3</v>
      </c>
      <c r="FA4">
        <f t="shared" si="56"/>
        <v>8.4215406643114478E-3</v>
      </c>
      <c r="FB4">
        <f t="shared" si="57"/>
        <v>7.6906603985569463E-3</v>
      </c>
      <c r="FC4">
        <f t="shared" si="58"/>
        <v>6.9701288003615955E-3</v>
      </c>
      <c r="FD4">
        <f t="shared" si="59"/>
        <v>6.2383404412765337E-3</v>
      </c>
      <c r="FE4">
        <f t="shared" si="60"/>
        <v>5.590573192825939E-3</v>
      </c>
      <c r="FF4">
        <f t="shared" si="61"/>
        <v>5.0801707949128926E-3</v>
      </c>
      <c r="FG4">
        <f t="shared" si="62"/>
        <v>4.6630592524244821E-3</v>
      </c>
      <c r="FH4">
        <f t="shared" si="63"/>
        <v>4.2476829773895183E-3</v>
      </c>
      <c r="FI4">
        <f t="shared" si="64"/>
        <v>3.8594326189713745E-3</v>
      </c>
      <c r="FJ4">
        <f t="shared" si="65"/>
        <v>3.457605815710208E-3</v>
      </c>
      <c r="FK4">
        <f t="shared" si="66"/>
        <v>3.0150406868968997E-3</v>
      </c>
      <c r="FL4">
        <f t="shared" si="67"/>
        <v>2.55968133224808E-3</v>
      </c>
      <c r="FM4">
        <f t="shared" si="68"/>
        <v>2.1408165402600743E-3</v>
      </c>
      <c r="FN4">
        <f t="shared" si="69"/>
        <v>1.7416780528982882E-3</v>
      </c>
      <c r="FO4">
        <f t="shared" si="70"/>
        <v>1.4154477716504551E-3</v>
      </c>
      <c r="FP4">
        <f t="shared" si="71"/>
        <v>1.1913465215098356E-3</v>
      </c>
      <c r="FQ4">
        <f t="shared" si="72"/>
        <v>1.0402793518062173E-3</v>
      </c>
      <c r="FR4">
        <f t="shared" si="73"/>
        <v>9.0339102549163617E-4</v>
      </c>
      <c r="FS4">
        <f t="shared" si="74"/>
        <v>7.9398825671686947E-4</v>
      </c>
      <c r="FT4">
        <f t="shared" si="75"/>
        <v>6.8661745915701887E-4</v>
      </c>
      <c r="FU4">
        <f t="shared" si="76"/>
        <v>5.6825963139970227E-4</v>
      </c>
      <c r="FV4">
        <f t="shared" si="77"/>
        <v>4.4503766015889214E-4</v>
      </c>
      <c r="FW4">
        <f t="shared" si="78"/>
        <v>3.414700653597027E-4</v>
      </c>
      <c r="FX4">
        <f t="shared" si="79"/>
        <v>2.7608734555939837E-4</v>
      </c>
      <c r="FY4">
        <f t="shared" si="80"/>
        <v>2.3017019071614286E-4</v>
      </c>
      <c r="FZ4">
        <f t="shared" si="81"/>
        <v>1.7638589068239414E-4</v>
      </c>
      <c r="GA4">
        <f t="shared" si="82"/>
        <v>1.1473444545815229E-4</v>
      </c>
      <c r="GB4">
        <f t="shared" si="83"/>
        <v>8.1890238165727703E-5</v>
      </c>
      <c r="GC4">
        <f t="shared" si="84"/>
        <v>5.913395876328404E-5</v>
      </c>
      <c r="GD4">
        <f t="shared" si="85"/>
        <v>3.3662390392235897E-5</v>
      </c>
      <c r="GE4">
        <f t="shared" si="86"/>
        <v>5.7497592563661464E-5</v>
      </c>
    </row>
    <row r="5" spans="1:187">
      <c r="A5" s="4">
        <v>1953</v>
      </c>
      <c r="B5" s="17">
        <v>3740.8409999999999</v>
      </c>
      <c r="C5" s="17">
        <v>3732.6489999999999</v>
      </c>
      <c r="D5" s="17">
        <v>3695.538</v>
      </c>
      <c r="E5" s="17">
        <v>3702.7249999999999</v>
      </c>
      <c r="F5" s="17">
        <v>3575.018</v>
      </c>
      <c r="G5" s="17">
        <v>3441.4169999999999</v>
      </c>
      <c r="H5" s="17">
        <v>3304.1640000000002</v>
      </c>
      <c r="I5" s="17">
        <v>3165.4940000000001</v>
      </c>
      <c r="J5" s="17">
        <v>3027.0410000000002</v>
      </c>
      <c r="K5" s="17">
        <v>2890.4389999999999</v>
      </c>
      <c r="L5" s="17">
        <v>2760.9520000000002</v>
      </c>
      <c r="M5" s="17">
        <v>2642.029</v>
      </c>
      <c r="N5" s="17">
        <v>2534.0920000000001</v>
      </c>
      <c r="O5" s="17">
        <v>2433.5790000000002</v>
      </c>
      <c r="P5" s="17">
        <v>2340.5569999999998</v>
      </c>
      <c r="Q5" s="17">
        <v>2268.1129999999998</v>
      </c>
      <c r="R5" s="17">
        <v>2222.2179999999998</v>
      </c>
      <c r="S5" s="17">
        <v>2197.9960000000001</v>
      </c>
      <c r="T5" s="17">
        <v>2181.0770000000002</v>
      </c>
      <c r="U5" s="17">
        <v>2170.107</v>
      </c>
      <c r="V5" s="17">
        <v>2181.6550000000002</v>
      </c>
      <c r="W5" s="17">
        <v>2221.1590000000001</v>
      </c>
      <c r="X5" s="17">
        <v>2279.12</v>
      </c>
      <c r="Y5" s="17">
        <v>2339.3220000000001</v>
      </c>
      <c r="Z5" s="17">
        <v>2403.4679999999998</v>
      </c>
      <c r="AA5" s="17">
        <v>2459.8110000000001</v>
      </c>
      <c r="AB5" s="17">
        <v>2500.3440000000001</v>
      </c>
      <c r="AC5" s="17">
        <v>2528.2689999999998</v>
      </c>
      <c r="AD5" s="17">
        <v>2557.1729999999998</v>
      </c>
      <c r="AE5" s="17">
        <v>2587.1889999999999</v>
      </c>
      <c r="AF5" s="17">
        <v>2596.5059999999999</v>
      </c>
      <c r="AG5" s="17">
        <v>2576.5279999999998</v>
      </c>
      <c r="AH5" s="17">
        <v>2536.9470000000001</v>
      </c>
      <c r="AI5" s="17">
        <v>2495.0720000000001</v>
      </c>
      <c r="AJ5" s="17">
        <v>2446.2669999999998</v>
      </c>
      <c r="AK5" s="17">
        <v>2406.0140000000001</v>
      </c>
      <c r="AL5" s="17">
        <v>2383.395</v>
      </c>
      <c r="AM5" s="17">
        <v>2370.7260000000001</v>
      </c>
      <c r="AN5" s="17">
        <v>2352.8139999999999</v>
      </c>
      <c r="AO5" s="17">
        <v>2334.578</v>
      </c>
      <c r="AP5" s="17">
        <v>2305.67</v>
      </c>
      <c r="AQ5" s="17">
        <v>2260.0250000000001</v>
      </c>
      <c r="AR5" s="17">
        <v>2204.2979999999998</v>
      </c>
      <c r="AS5" s="17">
        <v>2149.3679999999999</v>
      </c>
      <c r="AT5" s="17">
        <v>2090.8440000000001</v>
      </c>
      <c r="AU5" s="17">
        <v>2044.818</v>
      </c>
      <c r="AV5" s="17">
        <v>2019.6859999999999</v>
      </c>
      <c r="AW5" s="17">
        <v>2006.7729999999999</v>
      </c>
      <c r="AX5" s="17">
        <v>1990.79</v>
      </c>
      <c r="AY5" s="17">
        <v>1976.9269999999999</v>
      </c>
      <c r="AZ5" s="17">
        <v>1948.6289999999999</v>
      </c>
      <c r="BA5" s="17">
        <v>1896.8030000000001</v>
      </c>
      <c r="BB5" s="17">
        <v>1830.4739999999999</v>
      </c>
      <c r="BC5" s="17">
        <v>1766.674</v>
      </c>
      <c r="BD5" s="17">
        <v>1700.6859999999999</v>
      </c>
      <c r="BE5" s="17">
        <v>1645.0150000000001</v>
      </c>
      <c r="BF5" s="17">
        <v>1607.1769999999999</v>
      </c>
      <c r="BG5" s="17">
        <v>1580.3420000000001</v>
      </c>
      <c r="BH5" s="17">
        <v>1550.047</v>
      </c>
      <c r="BI5" s="17">
        <v>1519.046</v>
      </c>
      <c r="BJ5" s="17">
        <v>1484.231</v>
      </c>
      <c r="BK5" s="17">
        <v>1442.5550000000001</v>
      </c>
      <c r="BL5" s="17">
        <v>1395.8589999999999</v>
      </c>
      <c r="BM5" s="17">
        <v>1349.07</v>
      </c>
      <c r="BN5" s="17">
        <v>1301.249</v>
      </c>
      <c r="BO5" s="17">
        <v>1250.538</v>
      </c>
      <c r="BP5" s="17">
        <v>1196.519</v>
      </c>
      <c r="BQ5" s="17">
        <v>1139.537</v>
      </c>
      <c r="BR5" s="17">
        <v>1081.664</v>
      </c>
      <c r="BS5" s="17">
        <v>1024.0550000000001</v>
      </c>
      <c r="BT5" s="17">
        <v>960.25099999999998</v>
      </c>
      <c r="BU5" s="17">
        <v>887.75</v>
      </c>
      <c r="BV5" s="17">
        <v>810.40099999999995</v>
      </c>
      <c r="BW5" s="17">
        <v>734.05799999999999</v>
      </c>
      <c r="BX5" s="17">
        <v>656.96199999999999</v>
      </c>
      <c r="BY5" s="17">
        <v>588.14700000000005</v>
      </c>
      <c r="BZ5" s="17">
        <v>532.52</v>
      </c>
      <c r="CA5" s="17">
        <v>485.99099999999999</v>
      </c>
      <c r="CB5" s="17">
        <v>440.19</v>
      </c>
      <c r="CC5" s="17">
        <v>397.53899999999999</v>
      </c>
      <c r="CD5" s="17">
        <v>353.77</v>
      </c>
      <c r="CE5" s="17">
        <v>306.161</v>
      </c>
      <c r="CF5" s="17">
        <v>257.56799999999998</v>
      </c>
      <c r="CG5" s="17">
        <v>212.922</v>
      </c>
      <c r="CH5" s="17">
        <v>170.46600000000001</v>
      </c>
      <c r="CI5" s="17">
        <v>136.047</v>
      </c>
      <c r="CJ5" s="17">
        <v>112.827</v>
      </c>
      <c r="CK5" s="17">
        <v>97.626000000000005</v>
      </c>
      <c r="CL5" s="17">
        <v>84.03</v>
      </c>
      <c r="CM5" s="17">
        <v>73.611000000000004</v>
      </c>
      <c r="CN5" s="17">
        <v>63.235999999999997</v>
      </c>
      <c r="CO5" s="17">
        <v>51.640999999999998</v>
      </c>
      <c r="CP5" s="17">
        <v>39.284999999999997</v>
      </c>
      <c r="CQ5" s="17">
        <v>29.587</v>
      </c>
      <c r="CR5" s="17">
        <v>24.099</v>
      </c>
      <c r="CS5" s="17">
        <v>19.972999999999999</v>
      </c>
      <c r="CT5" s="17">
        <v>15.182</v>
      </c>
      <c r="CU5" s="17">
        <v>9.7260000000000009</v>
      </c>
      <c r="CV5" s="17">
        <v>6.4889999999999999</v>
      </c>
      <c r="CW5" s="17">
        <v>3.7189999999999999</v>
      </c>
      <c r="CX5" s="17">
        <v>6.45</v>
      </c>
      <c r="CY5" s="3">
        <f t="shared" si="2"/>
        <v>165909.99599999987</v>
      </c>
      <c r="CZ5" s="21">
        <f t="shared" si="3"/>
        <v>112235.13400000003</v>
      </c>
      <c r="DA5">
        <f t="shared" si="4"/>
        <v>1.9433103719553625E-2</v>
      </c>
      <c r="DB5">
        <f t="shared" si="5"/>
        <v>1.9335362489966815E-2</v>
      </c>
      <c r="DC5">
        <f t="shared" si="6"/>
        <v>1.9438253622078801E-2</v>
      </c>
      <c r="DD5">
        <f t="shared" si="7"/>
        <v>1.9790228966982831E-2</v>
      </c>
      <c r="DE5">
        <f t="shared" si="8"/>
        <v>2.0306653707920012E-2</v>
      </c>
      <c r="DF5">
        <f t="shared" si="9"/>
        <v>2.08430454584747E-2</v>
      </c>
      <c r="DG5">
        <f t="shared" si="10"/>
        <v>2.141457772037764E-2</v>
      </c>
      <c r="DH5">
        <f t="shared" si="11"/>
        <v>2.191658629819072E-2</v>
      </c>
      <c r="DI5">
        <f t="shared" si="12"/>
        <v>2.2277729895168113E-2</v>
      </c>
      <c r="DJ5">
        <f t="shared" si="13"/>
        <v>2.2526537902115385E-2</v>
      </c>
      <c r="DK5">
        <f t="shared" si="14"/>
        <v>2.2784068667837998E-2</v>
      </c>
      <c r="DL5">
        <f t="shared" si="15"/>
        <v>2.3051507204508697E-2</v>
      </c>
      <c r="DM5">
        <f t="shared" si="16"/>
        <v>2.3134520425662778E-2</v>
      </c>
      <c r="DN5">
        <f t="shared" si="17"/>
        <v>2.2956519123503688E-2</v>
      </c>
      <c r="DO5">
        <f t="shared" si="18"/>
        <v>2.2603857718920702E-2</v>
      </c>
      <c r="DP5">
        <f t="shared" si="19"/>
        <v>2.2230757081824301E-2</v>
      </c>
      <c r="DQ5">
        <f t="shared" si="20"/>
        <v>2.1795911073621554E-2</v>
      </c>
      <c r="DR5">
        <f t="shared" si="21"/>
        <v>2.1437262239113106E-2</v>
      </c>
      <c r="DS5">
        <f t="shared" si="22"/>
        <v>2.1235729980952304E-2</v>
      </c>
      <c r="DT5">
        <f t="shared" si="23"/>
        <v>2.1122850889098588E-2</v>
      </c>
      <c r="DU5">
        <f t="shared" si="24"/>
        <v>2.0963257370013914E-2</v>
      </c>
      <c r="DV5">
        <f t="shared" si="25"/>
        <v>2.0800777054358035E-2</v>
      </c>
      <c r="DW5">
        <f t="shared" si="26"/>
        <v>2.054321064917158E-2</v>
      </c>
      <c r="DX5">
        <f t="shared" si="27"/>
        <v>2.0136519817404053E-2</v>
      </c>
      <c r="DY5">
        <f t="shared" si="28"/>
        <v>1.9639999717022648E-2</v>
      </c>
      <c r="DZ5">
        <f t="shared" si="29"/>
        <v>1.9150580779811778E-2</v>
      </c>
      <c r="EA5">
        <f t="shared" si="30"/>
        <v>1.8629139784338826E-2</v>
      </c>
      <c r="EB5">
        <f t="shared" si="31"/>
        <v>1.8219054293640343E-2</v>
      </c>
      <c r="EC5">
        <f t="shared" si="32"/>
        <v>1.799513154232078E-2</v>
      </c>
      <c r="ED5">
        <f t="shared" si="33"/>
        <v>1.7880078443172701E-2</v>
      </c>
      <c r="EE5">
        <f t="shared" si="34"/>
        <v>1.7737672055525851E-2</v>
      </c>
      <c r="EF5">
        <f t="shared" si="35"/>
        <v>1.7614154583715284E-2</v>
      </c>
      <c r="EG5">
        <f t="shared" si="36"/>
        <v>1.7362023196764744E-2</v>
      </c>
      <c r="EH5">
        <f t="shared" si="37"/>
        <v>1.6900260483495296E-2</v>
      </c>
      <c r="EI5">
        <f t="shared" si="38"/>
        <v>1.6309277984200558E-2</v>
      </c>
      <c r="EJ5">
        <f t="shared" si="39"/>
        <v>1.5740828535919949E-2</v>
      </c>
      <c r="EK5">
        <f t="shared" si="40"/>
        <v>1.5152884300917744E-2</v>
      </c>
      <c r="EL5">
        <f t="shared" si="41"/>
        <v>1.4656863153030135E-2</v>
      </c>
      <c r="EM5">
        <f t="shared" si="42"/>
        <v>1.4319731644816314E-2</v>
      </c>
      <c r="EN5">
        <f t="shared" si="43"/>
        <v>1.4080635391766001E-2</v>
      </c>
      <c r="EO5">
        <f t="shared" si="44"/>
        <v>1.3810711002492317E-2</v>
      </c>
      <c r="EP5">
        <f t="shared" si="45"/>
        <v>1.3534496247850513E-2</v>
      </c>
      <c r="EQ5">
        <f t="shared" si="46"/>
        <v>1.3224299264435319E-2</v>
      </c>
      <c r="ER5">
        <f t="shared" si="47"/>
        <v>1.2852971690665061E-2</v>
      </c>
      <c r="ES5">
        <f t="shared" si="48"/>
        <v>1.2436916589773033E-2</v>
      </c>
      <c r="ET5">
        <f t="shared" si="49"/>
        <v>1.2020032871346681E-2</v>
      </c>
      <c r="EU5">
        <f t="shared" si="50"/>
        <v>1.1593954171249081E-2</v>
      </c>
      <c r="EV5">
        <f t="shared" si="51"/>
        <v>1.1142125958525604E-2</v>
      </c>
      <c r="EW5">
        <f t="shared" si="52"/>
        <v>1.0660823909204756E-2</v>
      </c>
      <c r="EX5">
        <f t="shared" si="53"/>
        <v>1.0153121927042914E-2</v>
      </c>
      <c r="EY5">
        <f t="shared" si="54"/>
        <v>9.6374812543102567E-3</v>
      </c>
      <c r="EZ5">
        <f t="shared" si="55"/>
        <v>9.1241927861911744E-3</v>
      </c>
      <c r="FA5">
        <f t="shared" si="56"/>
        <v>8.555707698446725E-3</v>
      </c>
      <c r="FB5">
        <f t="shared" si="57"/>
        <v>7.9097335064437103E-3</v>
      </c>
      <c r="FC5">
        <f t="shared" si="58"/>
        <v>7.2205642842641388E-3</v>
      </c>
      <c r="FD5">
        <f t="shared" si="59"/>
        <v>6.5403583872408414E-3</v>
      </c>
      <c r="FE5">
        <f t="shared" si="60"/>
        <v>5.8534433611492796E-3</v>
      </c>
      <c r="FF5">
        <f t="shared" si="61"/>
        <v>5.2403109350767103E-3</v>
      </c>
      <c r="FG5">
        <f t="shared" si="62"/>
        <v>4.7446818212913602E-3</v>
      </c>
      <c r="FH5">
        <f t="shared" si="63"/>
        <v>4.3301146680147394E-3</v>
      </c>
      <c r="FI5">
        <f t="shared" si="64"/>
        <v>3.9220338971573719E-3</v>
      </c>
      <c r="FJ5">
        <f t="shared" si="65"/>
        <v>3.542019204075614E-3</v>
      </c>
      <c r="FK5">
        <f t="shared" si="66"/>
        <v>3.1520432808500045E-3</v>
      </c>
      <c r="FL5">
        <f t="shared" si="67"/>
        <v>2.7278534723360324E-3</v>
      </c>
      <c r="FM5">
        <f t="shared" si="68"/>
        <v>2.2948963557169176E-3</v>
      </c>
      <c r="FN5">
        <f t="shared" si="69"/>
        <v>1.8971064800439399E-3</v>
      </c>
      <c r="FO5">
        <f t="shared" si="70"/>
        <v>1.5188292108244818E-3</v>
      </c>
      <c r="FP5">
        <f t="shared" si="71"/>
        <v>1.2121605343296507E-3</v>
      </c>
      <c r="FQ5">
        <f t="shared" si="72"/>
        <v>1.0052734467265836E-3</v>
      </c>
      <c r="FR5">
        <f t="shared" si="73"/>
        <v>8.6983457426085468E-4</v>
      </c>
      <c r="FS5">
        <f t="shared" si="74"/>
        <v>7.4869603666174599E-4</v>
      </c>
      <c r="FT5">
        <f t="shared" si="75"/>
        <v>6.5586414321918112E-4</v>
      </c>
      <c r="FU5">
        <f t="shared" si="76"/>
        <v>5.6342428387887861E-4</v>
      </c>
      <c r="FV5">
        <f t="shared" si="77"/>
        <v>4.6011438806675263E-4</v>
      </c>
      <c r="FW5">
        <f t="shared" si="78"/>
        <v>3.5002408425867772E-4</v>
      </c>
      <c r="FX5">
        <f t="shared" si="79"/>
        <v>2.6361620417364131E-4</v>
      </c>
      <c r="FY5">
        <f t="shared" si="80"/>
        <v>2.147188597823565E-4</v>
      </c>
      <c r="FZ5">
        <f t="shared" si="81"/>
        <v>1.7795675282928779E-4</v>
      </c>
      <c r="GA5">
        <f t="shared" si="82"/>
        <v>1.352695850124792E-4</v>
      </c>
      <c r="GB5">
        <f t="shared" si="83"/>
        <v>8.6657356331930766E-5</v>
      </c>
      <c r="GC5">
        <f t="shared" si="84"/>
        <v>5.7816120217756394E-5</v>
      </c>
      <c r="GD5">
        <f t="shared" si="85"/>
        <v>3.31357915071407E-5</v>
      </c>
      <c r="GE5">
        <f t="shared" si="86"/>
        <v>5.7468635445296465E-5</v>
      </c>
    </row>
    <row r="6" spans="1:187">
      <c r="A6" s="4">
        <v>1954</v>
      </c>
      <c r="B6" s="17">
        <v>3807.931</v>
      </c>
      <c r="C6" s="17">
        <v>3814.68</v>
      </c>
      <c r="D6" s="17">
        <v>3790.5720000000001</v>
      </c>
      <c r="E6" s="17">
        <v>3739.248</v>
      </c>
      <c r="F6" s="17">
        <v>3687.415</v>
      </c>
      <c r="G6" s="17">
        <v>3571.0169999999998</v>
      </c>
      <c r="H6" s="17">
        <v>3445.4059999999999</v>
      </c>
      <c r="I6" s="17">
        <v>3313.2440000000001</v>
      </c>
      <c r="J6" s="17">
        <v>3177.1880000000001</v>
      </c>
      <c r="K6" s="17">
        <v>3039.0929999999998</v>
      </c>
      <c r="L6" s="17">
        <v>2900.8110000000001</v>
      </c>
      <c r="M6" s="17">
        <v>2769.04</v>
      </c>
      <c r="N6" s="17">
        <v>2648.058</v>
      </c>
      <c r="O6" s="17">
        <v>2538.1</v>
      </c>
      <c r="P6" s="17">
        <v>2434.66</v>
      </c>
      <c r="Q6" s="17">
        <v>2338.0770000000002</v>
      </c>
      <c r="R6" s="17">
        <v>2262.6170000000002</v>
      </c>
      <c r="S6" s="17">
        <v>2214.7750000000001</v>
      </c>
      <c r="T6" s="17">
        <v>2189.44</v>
      </c>
      <c r="U6" s="17">
        <v>2171.2640000000001</v>
      </c>
      <c r="V6" s="17">
        <v>2158.8240000000001</v>
      </c>
      <c r="W6" s="17">
        <v>2170.346</v>
      </c>
      <c r="X6" s="17">
        <v>2211.9079999999999</v>
      </c>
      <c r="Y6" s="17">
        <v>2273.2190000000001</v>
      </c>
      <c r="Z6" s="17">
        <v>2336.6999999999998</v>
      </c>
      <c r="AA6" s="17">
        <v>2404.415</v>
      </c>
      <c r="AB6" s="17">
        <v>2463.2280000000001</v>
      </c>
      <c r="AC6" s="17">
        <v>2504.3270000000002</v>
      </c>
      <c r="AD6" s="17">
        <v>2531.5720000000001</v>
      </c>
      <c r="AE6" s="17">
        <v>2560.0030000000002</v>
      </c>
      <c r="AF6" s="17">
        <v>2589.4580000000001</v>
      </c>
      <c r="AG6" s="17">
        <v>2598.2919999999999</v>
      </c>
      <c r="AH6" s="17">
        <v>2578.1370000000002</v>
      </c>
      <c r="AI6" s="17">
        <v>2538.5230000000001</v>
      </c>
      <c r="AJ6" s="17">
        <v>2496.288</v>
      </c>
      <c r="AK6" s="17">
        <v>2446.7849999999999</v>
      </c>
      <c r="AL6" s="17">
        <v>2405.989</v>
      </c>
      <c r="AM6" s="17">
        <v>2383.143</v>
      </c>
      <c r="AN6" s="17">
        <v>2370.3090000000002</v>
      </c>
      <c r="AO6" s="17">
        <v>2352.4070000000002</v>
      </c>
      <c r="AP6" s="17">
        <v>2334.9769999999999</v>
      </c>
      <c r="AQ6" s="17">
        <v>2304.5479999999998</v>
      </c>
      <c r="AR6" s="17">
        <v>2253.721</v>
      </c>
      <c r="AS6" s="17">
        <v>2190.9349999999999</v>
      </c>
      <c r="AT6" s="17">
        <v>2129.2049999999999</v>
      </c>
      <c r="AU6" s="17">
        <v>2062.5430000000001</v>
      </c>
      <c r="AV6" s="17">
        <v>2014.5060000000001</v>
      </c>
      <c r="AW6" s="17">
        <v>1997.0450000000001</v>
      </c>
      <c r="AX6" s="17">
        <v>1997.489</v>
      </c>
      <c r="AY6" s="17">
        <v>1993.86</v>
      </c>
      <c r="AZ6" s="17">
        <v>1993.7260000000001</v>
      </c>
      <c r="BA6" s="17">
        <v>1971.8610000000001</v>
      </c>
      <c r="BB6" s="17">
        <v>1914.511</v>
      </c>
      <c r="BC6" s="17">
        <v>1835.252</v>
      </c>
      <c r="BD6" s="17">
        <v>1759.846</v>
      </c>
      <c r="BE6" s="17">
        <v>1681.259</v>
      </c>
      <c r="BF6" s="17">
        <v>1617.723</v>
      </c>
      <c r="BG6" s="17">
        <v>1580.3040000000001</v>
      </c>
      <c r="BH6" s="17">
        <v>1559.0139999999999</v>
      </c>
      <c r="BI6" s="17">
        <v>1532.807</v>
      </c>
      <c r="BJ6" s="17">
        <v>1505.903</v>
      </c>
      <c r="BK6" s="17">
        <v>1473.067</v>
      </c>
      <c r="BL6" s="17">
        <v>1429.578</v>
      </c>
      <c r="BM6" s="17">
        <v>1378.6</v>
      </c>
      <c r="BN6" s="17">
        <v>1328.325</v>
      </c>
      <c r="BO6" s="17">
        <v>1277.4949999999999</v>
      </c>
      <c r="BP6" s="17">
        <v>1223.008</v>
      </c>
      <c r="BQ6" s="17">
        <v>1164.26</v>
      </c>
      <c r="BR6" s="17">
        <v>1102.181</v>
      </c>
      <c r="BS6" s="17">
        <v>1039.3209999999999</v>
      </c>
      <c r="BT6" s="17">
        <v>976.39200000000005</v>
      </c>
      <c r="BU6" s="17">
        <v>909.89200000000005</v>
      </c>
      <c r="BV6" s="17">
        <v>838.73199999999997</v>
      </c>
      <c r="BW6" s="17">
        <v>765.33299999999997</v>
      </c>
      <c r="BX6" s="17">
        <v>692.79499999999996</v>
      </c>
      <c r="BY6" s="17">
        <v>620.00300000000004</v>
      </c>
      <c r="BZ6" s="17">
        <v>554.42600000000004</v>
      </c>
      <c r="CA6" s="17">
        <v>499.94299999999998</v>
      </c>
      <c r="CB6" s="17">
        <v>453.28199999999998</v>
      </c>
      <c r="CC6" s="17">
        <v>407.87799999999999</v>
      </c>
      <c r="CD6" s="17">
        <v>365.76</v>
      </c>
      <c r="CE6" s="17">
        <v>322.91699999999997</v>
      </c>
      <c r="CF6" s="17">
        <v>276.92599999999999</v>
      </c>
      <c r="CG6" s="17">
        <v>230.39099999999999</v>
      </c>
      <c r="CH6" s="17">
        <v>187.69200000000001</v>
      </c>
      <c r="CI6" s="17">
        <v>147.17599999999999</v>
      </c>
      <c r="CJ6" s="17">
        <v>114.627</v>
      </c>
      <c r="CK6" s="17">
        <v>93.114999999999995</v>
      </c>
      <c r="CL6" s="17">
        <v>79.516000000000005</v>
      </c>
      <c r="CM6" s="17">
        <v>67.555000000000007</v>
      </c>
      <c r="CN6" s="17">
        <v>58.887</v>
      </c>
      <c r="CO6" s="17">
        <v>50.082000000000001</v>
      </c>
      <c r="CP6" s="17">
        <v>40.061</v>
      </c>
      <c r="CQ6" s="17">
        <v>29.055</v>
      </c>
      <c r="CR6" s="17">
        <v>21.181000000000001</v>
      </c>
      <c r="CS6" s="17">
        <v>17.478000000000002</v>
      </c>
      <c r="CT6" s="17">
        <v>14.336</v>
      </c>
      <c r="CU6" s="17">
        <v>10.738</v>
      </c>
      <c r="CV6" s="17">
        <v>6.6859999999999999</v>
      </c>
      <c r="CW6" s="17">
        <v>3.6789999999999998</v>
      </c>
      <c r="CX6" s="17">
        <v>6.4770000000000003</v>
      </c>
      <c r="CY6" s="3">
        <f t="shared" si="2"/>
        <v>168736.39000000007</v>
      </c>
      <c r="CZ6" s="21">
        <f t="shared" si="3"/>
        <v>113244.458</v>
      </c>
      <c r="DA6">
        <f t="shared" si="4"/>
        <v>1.9333749648040171E-2</v>
      </c>
      <c r="DB6">
        <f t="shared" si="5"/>
        <v>1.917324731246451E-2</v>
      </c>
      <c r="DC6">
        <f t="shared" si="6"/>
        <v>1.9063396462191556E-2</v>
      </c>
      <c r="DD6">
        <f t="shared" si="7"/>
        <v>1.9165140955507066E-2</v>
      </c>
      <c r="DE6">
        <f t="shared" si="8"/>
        <v>1.9532152293050845E-2</v>
      </c>
      <c r="DF6">
        <f t="shared" si="9"/>
        <v>2.0073556270630039E-2</v>
      </c>
      <c r="DG6">
        <f t="shared" si="10"/>
        <v>2.0634122333827585E-2</v>
      </c>
      <c r="DH6">
        <f t="shared" si="11"/>
        <v>2.1232076540116426E-2</v>
      </c>
      <c r="DI6">
        <f t="shared" si="12"/>
        <v>2.175142204309901E-2</v>
      </c>
      <c r="DJ6">
        <f t="shared" si="13"/>
        <v>2.2114344880347258E-2</v>
      </c>
      <c r="DK6">
        <f t="shared" si="14"/>
        <v>2.2354930605080914E-2</v>
      </c>
      <c r="DL6">
        <f t="shared" si="15"/>
        <v>2.2605989248498149E-2</v>
      </c>
      <c r="DM6">
        <f t="shared" si="16"/>
        <v>2.2866090277018237E-2</v>
      </c>
      <c r="DN6">
        <f t="shared" si="17"/>
        <v>2.2944098509438758E-2</v>
      </c>
      <c r="DO6">
        <f t="shared" si="18"/>
        <v>2.2766120704997329E-2</v>
      </c>
      <c r="DP6">
        <f t="shared" si="19"/>
        <v>2.2416311092239058E-2</v>
      </c>
      <c r="DQ6">
        <f t="shared" si="20"/>
        <v>2.204335685901733E-2</v>
      </c>
      <c r="DR6">
        <f t="shared" si="21"/>
        <v>2.1606222884655423E-2</v>
      </c>
      <c r="DS6">
        <f t="shared" si="22"/>
        <v>2.1245975675030386E-2</v>
      </c>
      <c r="DT6">
        <f t="shared" si="23"/>
        <v>2.1044235118331353E-2</v>
      </c>
      <c r="DU6">
        <f t="shared" si="24"/>
        <v>2.093090506910281E-2</v>
      </c>
      <c r="DV6">
        <f t="shared" si="25"/>
        <v>2.0772822277978498E-2</v>
      </c>
      <c r="DW6">
        <f t="shared" si="26"/>
        <v>2.061890746123753E-2</v>
      </c>
      <c r="DX6">
        <f t="shared" si="27"/>
        <v>2.0350205570324683E-2</v>
      </c>
      <c r="DY6">
        <f t="shared" si="28"/>
        <v>1.9901380074599323E-2</v>
      </c>
      <c r="DZ6">
        <f t="shared" si="29"/>
        <v>1.9346951177072171E-2</v>
      </c>
      <c r="EA6">
        <f t="shared" si="30"/>
        <v>1.8801847239182337E-2</v>
      </c>
      <c r="EB6">
        <f t="shared" si="31"/>
        <v>1.8213191501168208E-2</v>
      </c>
      <c r="EC6">
        <f t="shared" si="32"/>
        <v>1.7789002972666442E-2</v>
      </c>
      <c r="ED6">
        <f t="shared" si="33"/>
        <v>1.7634814411845213E-2</v>
      </c>
      <c r="EE6">
        <f t="shared" si="34"/>
        <v>1.7638735133510906E-2</v>
      </c>
      <c r="EF6">
        <f t="shared" si="35"/>
        <v>1.7606689415211825E-2</v>
      </c>
      <c r="EG6">
        <f t="shared" si="36"/>
        <v>1.7605506134348758E-2</v>
      </c>
      <c r="EH6">
        <f t="shared" si="37"/>
        <v>1.7412428253221895E-2</v>
      </c>
      <c r="EI6">
        <f t="shared" si="38"/>
        <v>1.6906001704736846E-2</v>
      </c>
      <c r="EJ6">
        <f t="shared" si="39"/>
        <v>1.6206108735140046E-2</v>
      </c>
      <c r="EK6">
        <f t="shared" si="40"/>
        <v>1.5540239505583576E-2</v>
      </c>
      <c r="EL6">
        <f t="shared" si="41"/>
        <v>1.4846280601210526E-2</v>
      </c>
      <c r="EM6">
        <f t="shared" si="42"/>
        <v>1.4285228863031867E-2</v>
      </c>
      <c r="EN6">
        <f t="shared" si="43"/>
        <v>1.3954802097247003E-2</v>
      </c>
      <c r="EO6">
        <f t="shared" si="44"/>
        <v>1.3766801727286292E-2</v>
      </c>
      <c r="EP6">
        <f t="shared" si="45"/>
        <v>1.353538201401432E-2</v>
      </c>
      <c r="EQ6">
        <f t="shared" si="46"/>
        <v>1.3297807474163549E-2</v>
      </c>
      <c r="ER6">
        <f t="shared" si="47"/>
        <v>1.3007850679986476E-2</v>
      </c>
      <c r="ES6">
        <f t="shared" si="48"/>
        <v>1.2623823057195435E-2</v>
      </c>
      <c r="ET6">
        <f t="shared" si="49"/>
        <v>1.2173664162885569E-2</v>
      </c>
      <c r="EU6">
        <f t="shared" si="50"/>
        <v>1.1729713077879714E-2</v>
      </c>
      <c r="EV6">
        <f t="shared" si="51"/>
        <v>1.1280861090791745E-2</v>
      </c>
      <c r="EW6">
        <f t="shared" si="52"/>
        <v>1.0799716132687041E-2</v>
      </c>
      <c r="EX6">
        <f t="shared" si="53"/>
        <v>1.0280944609227589E-2</v>
      </c>
      <c r="EY6">
        <f t="shared" si="54"/>
        <v>9.7327588428212531E-3</v>
      </c>
      <c r="EZ6">
        <f t="shared" si="55"/>
        <v>9.17767649168315E-3</v>
      </c>
      <c r="FA6">
        <f t="shared" si="56"/>
        <v>8.6219848392051126E-3</v>
      </c>
      <c r="FB6">
        <f t="shared" si="57"/>
        <v>8.0347596347717081E-3</v>
      </c>
      <c r="FC6">
        <f t="shared" si="58"/>
        <v>7.4063845137569556E-3</v>
      </c>
      <c r="FD6">
        <f t="shared" si="59"/>
        <v>6.7582380057839122E-3</v>
      </c>
      <c r="FE6">
        <f t="shared" si="60"/>
        <v>6.1176945188787957E-3</v>
      </c>
      <c r="FF6">
        <f t="shared" si="61"/>
        <v>5.4749080966063702E-3</v>
      </c>
      <c r="FG6">
        <f t="shared" si="62"/>
        <v>4.8958334014014187E-3</v>
      </c>
      <c r="FH6">
        <f t="shared" si="63"/>
        <v>4.4147237651135209E-3</v>
      </c>
      <c r="FI6">
        <f t="shared" si="64"/>
        <v>4.0026859415937159E-3</v>
      </c>
      <c r="FJ6">
        <f t="shared" si="65"/>
        <v>3.6017479990058322E-3</v>
      </c>
      <c r="FK6">
        <f t="shared" si="66"/>
        <v>3.2298269289257405E-3</v>
      </c>
      <c r="FL6">
        <f t="shared" si="67"/>
        <v>2.8515037795491943E-3</v>
      </c>
      <c r="FM6">
        <f t="shared" si="68"/>
        <v>2.4453823603447331E-3</v>
      </c>
      <c r="FN6">
        <f t="shared" si="69"/>
        <v>2.0344571740543806E-3</v>
      </c>
      <c r="FO6">
        <f t="shared" si="70"/>
        <v>1.6574056100829234E-3</v>
      </c>
      <c r="FP6">
        <f t="shared" si="71"/>
        <v>1.2996309276344454E-3</v>
      </c>
      <c r="FQ6">
        <f t="shared" si="72"/>
        <v>1.0122084738133498E-3</v>
      </c>
      <c r="FR6">
        <f t="shared" si="73"/>
        <v>8.2224774301979523E-4</v>
      </c>
      <c r="FS6">
        <f t="shared" si="74"/>
        <v>7.0216239632671482E-4</v>
      </c>
      <c r="FT6">
        <f t="shared" si="75"/>
        <v>5.9654133361652017E-4</v>
      </c>
      <c r="FU6">
        <f t="shared" si="76"/>
        <v>5.1999895659353152E-4</v>
      </c>
      <c r="FV6">
        <f t="shared" si="77"/>
        <v>4.4224680734486802E-4</v>
      </c>
      <c r="FW6">
        <f t="shared" si="78"/>
        <v>3.5375682578656521E-4</v>
      </c>
      <c r="FX6">
        <f t="shared" si="79"/>
        <v>2.565688468392864E-4</v>
      </c>
      <c r="FY6">
        <f t="shared" si="80"/>
        <v>1.8703785045269059E-4</v>
      </c>
      <c r="FZ6">
        <f t="shared" si="81"/>
        <v>1.5433867854266212E-4</v>
      </c>
      <c r="GA6">
        <f t="shared" si="82"/>
        <v>1.2659339143995905E-4</v>
      </c>
      <c r="GB6">
        <f t="shared" si="83"/>
        <v>9.4821417221141186E-5</v>
      </c>
      <c r="GC6">
        <f t="shared" si="84"/>
        <v>5.9040416794612587E-5</v>
      </c>
      <c r="GD6">
        <f t="shared" si="85"/>
        <v>3.2487241009180335E-5</v>
      </c>
      <c r="GE6">
        <f t="shared" si="86"/>
        <v>5.7194851866393325E-5</v>
      </c>
    </row>
    <row r="7" spans="1:187">
      <c r="A7" s="4">
        <v>1955</v>
      </c>
      <c r="B7" s="17">
        <v>3900.8910000000001</v>
      </c>
      <c r="C7" s="17">
        <v>3904.76</v>
      </c>
      <c r="D7" s="17">
        <v>3880.6779999999999</v>
      </c>
      <c r="E7" s="17">
        <v>3831.7289999999998</v>
      </c>
      <c r="F7" s="17">
        <v>3760.9960000000001</v>
      </c>
      <c r="G7" s="17">
        <v>3671.5610000000001</v>
      </c>
      <c r="H7" s="17">
        <v>3566.5059999999999</v>
      </c>
      <c r="I7" s="17">
        <v>3448.9140000000002</v>
      </c>
      <c r="J7" s="17">
        <v>3321.8679999999999</v>
      </c>
      <c r="K7" s="17">
        <v>3188.45</v>
      </c>
      <c r="L7" s="17">
        <v>3050.732</v>
      </c>
      <c r="M7" s="17">
        <v>2910.788</v>
      </c>
      <c r="N7" s="17">
        <v>2776.75</v>
      </c>
      <c r="O7" s="17">
        <v>2653.721</v>
      </c>
      <c r="P7" s="17">
        <v>2541.7539999999999</v>
      </c>
      <c r="Q7" s="17">
        <v>2435.3969999999999</v>
      </c>
      <c r="R7" s="17">
        <v>2335.2600000000002</v>
      </c>
      <c r="S7" s="17">
        <v>2256.79</v>
      </c>
      <c r="T7" s="17">
        <v>2207.0039999999999</v>
      </c>
      <c r="U7" s="17">
        <v>2180.558</v>
      </c>
      <c r="V7" s="17">
        <v>2161.1239999999998</v>
      </c>
      <c r="W7" s="17">
        <v>2147.2150000000001</v>
      </c>
      <c r="X7" s="17">
        <v>2158.7080000000001</v>
      </c>
      <c r="Y7" s="17">
        <v>2202.326</v>
      </c>
      <c r="Z7" s="17">
        <v>2266.9830000000002</v>
      </c>
      <c r="AA7" s="17">
        <v>2333.741</v>
      </c>
      <c r="AB7" s="17">
        <v>2405.0230000000001</v>
      </c>
      <c r="AC7" s="17">
        <v>2466.3009999999999</v>
      </c>
      <c r="AD7" s="17">
        <v>2507.962</v>
      </c>
      <c r="AE7" s="17">
        <v>2534.5219999999999</v>
      </c>
      <c r="AF7" s="17">
        <v>2562.4749999999999</v>
      </c>
      <c r="AG7" s="17">
        <v>2591.3629999999998</v>
      </c>
      <c r="AH7" s="17">
        <v>2599.712</v>
      </c>
      <c r="AI7" s="17">
        <v>2579.3809999999999</v>
      </c>
      <c r="AJ7" s="17">
        <v>2539.7420000000002</v>
      </c>
      <c r="AK7" s="17">
        <v>2497.1529999999998</v>
      </c>
      <c r="AL7" s="17">
        <v>2446.9569999999999</v>
      </c>
      <c r="AM7" s="17">
        <v>2405.6219999999998</v>
      </c>
      <c r="AN7" s="17">
        <v>2382.5520000000001</v>
      </c>
      <c r="AO7" s="17">
        <v>2369.556</v>
      </c>
      <c r="AP7" s="17">
        <v>2351.6669999999999</v>
      </c>
      <c r="AQ7" s="17">
        <v>2335.0450000000001</v>
      </c>
      <c r="AR7" s="17">
        <v>2303.0990000000002</v>
      </c>
      <c r="AS7" s="17">
        <v>2247.09</v>
      </c>
      <c r="AT7" s="17">
        <v>2177.241</v>
      </c>
      <c r="AU7" s="17">
        <v>2108.7109999999998</v>
      </c>
      <c r="AV7" s="17">
        <v>2033.9090000000001</v>
      </c>
      <c r="AW7" s="17">
        <v>1983.865</v>
      </c>
      <c r="AX7" s="17">
        <v>1974.088</v>
      </c>
      <c r="AY7" s="17">
        <v>1987.9069999999999</v>
      </c>
      <c r="AZ7" s="17">
        <v>1996.6510000000001</v>
      </c>
      <c r="BA7" s="17">
        <v>2010.2650000000001</v>
      </c>
      <c r="BB7" s="17">
        <v>1994.8440000000001</v>
      </c>
      <c r="BC7" s="17">
        <v>1931.971</v>
      </c>
      <c r="BD7" s="17">
        <v>1839.7750000000001</v>
      </c>
      <c r="BE7" s="17">
        <v>1752.7560000000001</v>
      </c>
      <c r="BF7" s="17">
        <v>1661.5619999999999</v>
      </c>
      <c r="BG7" s="17">
        <v>1590.1610000000001</v>
      </c>
      <c r="BH7" s="17">
        <v>1553.1669999999999</v>
      </c>
      <c r="BI7" s="17">
        <v>1537.432</v>
      </c>
      <c r="BJ7" s="17">
        <v>1515.3230000000001</v>
      </c>
      <c r="BK7" s="17">
        <v>1492.5260000000001</v>
      </c>
      <c r="BL7" s="17">
        <v>1461.675</v>
      </c>
      <c r="BM7" s="17">
        <v>1416.3779999999999</v>
      </c>
      <c r="BN7" s="17">
        <v>1361.117</v>
      </c>
      <c r="BO7" s="17">
        <v>1307.3599999999999</v>
      </c>
      <c r="BP7" s="17">
        <v>1253.5229999999999</v>
      </c>
      <c r="BQ7" s="17">
        <v>1195.2619999999999</v>
      </c>
      <c r="BR7" s="17">
        <v>1131.787</v>
      </c>
      <c r="BS7" s="17">
        <v>1064.6130000000001</v>
      </c>
      <c r="BT7" s="17">
        <v>996.76900000000001</v>
      </c>
      <c r="BU7" s="17">
        <v>928.52200000000005</v>
      </c>
      <c r="BV7" s="17">
        <v>859.33299999999997</v>
      </c>
      <c r="BW7" s="17">
        <v>789.52300000000002</v>
      </c>
      <c r="BX7" s="17">
        <v>720.09</v>
      </c>
      <c r="BY7" s="17">
        <v>651.37300000000005</v>
      </c>
      <c r="BZ7" s="17">
        <v>582.904</v>
      </c>
      <c r="CA7" s="17">
        <v>520.57899999999995</v>
      </c>
      <c r="CB7" s="17">
        <v>467.25</v>
      </c>
      <c r="CC7" s="17">
        <v>420.46</v>
      </c>
      <c r="CD7" s="17">
        <v>375.46300000000002</v>
      </c>
      <c r="CE7" s="17">
        <v>333.88400000000001</v>
      </c>
      <c r="CF7" s="17">
        <v>291.97399999999999</v>
      </c>
      <c r="CG7" s="17">
        <v>247.61</v>
      </c>
      <c r="CH7" s="17">
        <v>203.14400000000001</v>
      </c>
      <c r="CI7" s="17">
        <v>162.398</v>
      </c>
      <c r="CJ7" s="17">
        <v>123.83199999999999</v>
      </c>
      <c r="CK7" s="17">
        <v>93.16</v>
      </c>
      <c r="CL7" s="17">
        <v>73.361999999999995</v>
      </c>
      <c r="CM7" s="17">
        <v>61.371000000000002</v>
      </c>
      <c r="CN7" s="17">
        <v>51.046999999999997</v>
      </c>
      <c r="CO7" s="17">
        <v>44.134</v>
      </c>
      <c r="CP7" s="17">
        <v>36.901000000000003</v>
      </c>
      <c r="CQ7" s="17">
        <v>28.459</v>
      </c>
      <c r="CR7" s="17">
        <v>18.806999999999999</v>
      </c>
      <c r="CS7" s="17">
        <v>12.760999999999999</v>
      </c>
      <c r="CT7" s="17">
        <v>10.847</v>
      </c>
      <c r="CU7" s="17">
        <v>8.6890000000000001</v>
      </c>
      <c r="CV7" s="17">
        <v>6.2869999999999999</v>
      </c>
      <c r="CW7" s="17">
        <v>3.641</v>
      </c>
      <c r="CX7" s="17">
        <v>6.468</v>
      </c>
      <c r="CY7" s="3">
        <f t="shared" si="2"/>
        <v>171685.33699999991</v>
      </c>
      <c r="CZ7" s="21">
        <f t="shared" si="3"/>
        <v>114247.79200000003</v>
      </c>
      <c r="DA7">
        <f t="shared" si="4"/>
        <v>1.9317694997554081E-2</v>
      </c>
      <c r="DB7">
        <f t="shared" si="5"/>
        <v>1.9086215688089617E-2</v>
      </c>
      <c r="DC7">
        <f t="shared" si="6"/>
        <v>1.8916111744198952E-2</v>
      </c>
      <c r="DD7">
        <f t="shared" si="7"/>
        <v>1.879436759705605E-2</v>
      </c>
      <c r="DE7">
        <f t="shared" si="8"/>
        <v>1.8894964727195773E-2</v>
      </c>
      <c r="DF7">
        <f t="shared" si="9"/>
        <v>1.9276748910823583E-2</v>
      </c>
      <c r="DG7">
        <f t="shared" si="10"/>
        <v>1.9842685449885978E-2</v>
      </c>
      <c r="DH7">
        <f t="shared" si="11"/>
        <v>2.0427011841069098E-2</v>
      </c>
      <c r="DI7">
        <f t="shared" si="12"/>
        <v>2.1050936371706856E-2</v>
      </c>
      <c r="DJ7">
        <f t="shared" si="13"/>
        <v>2.1587296846839712E-2</v>
      </c>
      <c r="DK7">
        <f t="shared" si="14"/>
        <v>2.195195159657877E-2</v>
      </c>
      <c r="DL7">
        <f t="shared" si="15"/>
        <v>2.2184428737143554E-2</v>
      </c>
      <c r="DM7">
        <f t="shared" si="16"/>
        <v>2.242909867352184E-2</v>
      </c>
      <c r="DN7">
        <f t="shared" si="17"/>
        <v>2.2681952575503594E-2</v>
      </c>
      <c r="DO7">
        <f t="shared" si="18"/>
        <v>2.275503057424514E-2</v>
      </c>
      <c r="DP7">
        <f t="shared" si="19"/>
        <v>2.2577075275117781E-2</v>
      </c>
      <c r="DQ7">
        <f t="shared" si="20"/>
        <v>2.2230118898052747E-2</v>
      </c>
      <c r="DR7">
        <f t="shared" si="21"/>
        <v>2.185734145304094E-2</v>
      </c>
      <c r="DS7">
        <f t="shared" si="22"/>
        <v>2.1417980664344034E-2</v>
      </c>
      <c r="DT7">
        <f t="shared" si="23"/>
        <v>2.1056179361435706E-2</v>
      </c>
      <c r="DU7">
        <f t="shared" si="24"/>
        <v>2.0854249857187607E-2</v>
      </c>
      <c r="DV7">
        <f t="shared" si="25"/>
        <v>2.0740497111751615E-2</v>
      </c>
      <c r="DW7">
        <f t="shared" si="26"/>
        <v>2.0583916405141549E-2</v>
      </c>
      <c r="DX7">
        <f t="shared" si="27"/>
        <v>2.0438425628392008E-2</v>
      </c>
      <c r="DY7">
        <f t="shared" si="28"/>
        <v>2.0158805344789504E-2</v>
      </c>
      <c r="DZ7">
        <f t="shared" si="29"/>
        <v>1.9668563922880886E-2</v>
      </c>
      <c r="EA7">
        <f t="shared" si="30"/>
        <v>1.9057182304232183E-2</v>
      </c>
      <c r="EB7">
        <f t="shared" si="31"/>
        <v>1.8457345766472222E-2</v>
      </c>
      <c r="EC7">
        <f t="shared" si="32"/>
        <v>1.7802611012386126E-2</v>
      </c>
      <c r="ED7">
        <f t="shared" si="33"/>
        <v>1.7364580665156306E-2</v>
      </c>
      <c r="EE7">
        <f t="shared" si="34"/>
        <v>1.7279003518947653E-2</v>
      </c>
      <c r="EF7">
        <f t="shared" si="35"/>
        <v>1.7399959904695571E-2</v>
      </c>
      <c r="EG7">
        <f t="shared" si="36"/>
        <v>1.7476495300670664E-2</v>
      </c>
      <c r="EH7">
        <f t="shared" si="37"/>
        <v>1.7595657341018894E-2</v>
      </c>
      <c r="EI7">
        <f t="shared" si="38"/>
        <v>1.7460678802440222E-2</v>
      </c>
      <c r="EJ7">
        <f t="shared" si="39"/>
        <v>1.6910357444807331E-2</v>
      </c>
      <c r="EK7">
        <f t="shared" si="40"/>
        <v>1.6103374671783587E-2</v>
      </c>
      <c r="EL7">
        <f t="shared" si="41"/>
        <v>1.534170568478032E-2</v>
      </c>
      <c r="EM7">
        <f t="shared" si="42"/>
        <v>1.4543493321954086E-2</v>
      </c>
      <c r="EN7">
        <f t="shared" si="43"/>
        <v>1.3918527195694072E-2</v>
      </c>
      <c r="EO7">
        <f t="shared" si="44"/>
        <v>1.3594722250737235E-2</v>
      </c>
      <c r="EP7">
        <f t="shared" si="45"/>
        <v>1.3456995300180503E-2</v>
      </c>
      <c r="EQ7">
        <f t="shared" si="46"/>
        <v>1.3263477337049977E-2</v>
      </c>
      <c r="ER7">
        <f t="shared" si="47"/>
        <v>1.3063937375700002E-2</v>
      </c>
      <c r="ES7">
        <f t="shared" si="48"/>
        <v>1.2793901522403161E-2</v>
      </c>
      <c r="ET7">
        <f t="shared" si="49"/>
        <v>1.2397421212306664E-2</v>
      </c>
      <c r="EU7">
        <f t="shared" si="50"/>
        <v>1.191372696288082E-2</v>
      </c>
      <c r="EV7">
        <f t="shared" si="51"/>
        <v>1.1443197081655631E-2</v>
      </c>
      <c r="EW7">
        <f t="shared" si="52"/>
        <v>1.0971966968079344E-2</v>
      </c>
      <c r="EX7">
        <f t="shared" si="53"/>
        <v>1.0462014005487297E-2</v>
      </c>
      <c r="EY7">
        <f t="shared" si="54"/>
        <v>9.9064233994123913E-3</v>
      </c>
      <c r="EZ7">
        <f t="shared" si="55"/>
        <v>9.3184558000035545E-3</v>
      </c>
      <c r="FA7">
        <f t="shared" si="56"/>
        <v>8.724623754654267E-3</v>
      </c>
      <c r="FB7">
        <f t="shared" si="57"/>
        <v>8.1272642888363198E-3</v>
      </c>
      <c r="FC7">
        <f t="shared" si="58"/>
        <v>7.5216595870841842E-3</v>
      </c>
      <c r="FD7">
        <f t="shared" si="59"/>
        <v>6.9106193317066454E-3</v>
      </c>
      <c r="FE7">
        <f t="shared" si="60"/>
        <v>6.3028789212836592E-3</v>
      </c>
      <c r="FF7">
        <f t="shared" si="61"/>
        <v>5.7014055904030065E-3</v>
      </c>
      <c r="FG7">
        <f t="shared" si="62"/>
        <v>5.1021029798107593E-3</v>
      </c>
      <c r="FH7">
        <f t="shared" si="63"/>
        <v>4.5565782137828954E-3</v>
      </c>
      <c r="FI7">
        <f t="shared" si="64"/>
        <v>4.0897945756360864E-3</v>
      </c>
      <c r="FJ7">
        <f t="shared" si="65"/>
        <v>3.6802461792872099E-3</v>
      </c>
      <c r="FK7">
        <f t="shared" si="66"/>
        <v>3.2863917405073343E-3</v>
      </c>
      <c r="FL7">
        <f t="shared" si="67"/>
        <v>2.9224547289281523E-3</v>
      </c>
      <c r="FM7">
        <f t="shared" si="68"/>
        <v>2.5556205059962989E-3</v>
      </c>
      <c r="FN7">
        <f t="shared" si="69"/>
        <v>2.1673066556944921E-3</v>
      </c>
      <c r="FO7">
        <f t="shared" si="70"/>
        <v>1.778100009145034E-3</v>
      </c>
      <c r="FP7">
        <f t="shared" si="71"/>
        <v>1.4214541669216676E-3</v>
      </c>
      <c r="FQ7">
        <f t="shared" si="72"/>
        <v>1.0838896562657418E-3</v>
      </c>
      <c r="FR7">
        <f t="shared" si="73"/>
        <v>8.154205728544843E-4</v>
      </c>
      <c r="FS7">
        <f t="shared" si="74"/>
        <v>6.4213057176632329E-4</v>
      </c>
      <c r="FT7">
        <f t="shared" si="75"/>
        <v>5.3717449524101071E-4</v>
      </c>
      <c r="FU7">
        <f t="shared" si="76"/>
        <v>4.4680951033171813E-4</v>
      </c>
      <c r="FV7">
        <f t="shared" si="77"/>
        <v>3.8630068229239816E-4</v>
      </c>
      <c r="FW7">
        <f t="shared" si="78"/>
        <v>3.2299092484868326E-4</v>
      </c>
      <c r="FX7">
        <f t="shared" si="79"/>
        <v>2.4909890599898851E-4</v>
      </c>
      <c r="FY7">
        <f t="shared" si="80"/>
        <v>1.6461587283892536E-4</v>
      </c>
      <c r="FZ7">
        <f t="shared" si="81"/>
        <v>1.1169581290463798E-4</v>
      </c>
      <c r="GA7">
        <f t="shared" si="82"/>
        <v>9.4942753904600599E-5</v>
      </c>
      <c r="GB7">
        <f t="shared" si="83"/>
        <v>7.6053986233712046E-5</v>
      </c>
      <c r="GC7">
        <f t="shared" si="84"/>
        <v>5.5029509891972338E-5</v>
      </c>
      <c r="GD7">
        <f t="shared" si="85"/>
        <v>3.186932487938147E-5</v>
      </c>
      <c r="GE7">
        <f t="shared" si="86"/>
        <v>5.6613785586333244E-5</v>
      </c>
    </row>
    <row r="8" spans="1:187">
      <c r="A8" s="4">
        <v>1956</v>
      </c>
      <c r="B8" s="17">
        <v>4010.5279999999998</v>
      </c>
      <c r="C8" s="17">
        <v>3919.567</v>
      </c>
      <c r="D8" s="17">
        <v>3911.49</v>
      </c>
      <c r="E8" s="17">
        <v>3880.4580000000001</v>
      </c>
      <c r="F8" s="17">
        <v>3828.62</v>
      </c>
      <c r="G8" s="17">
        <v>3758.12</v>
      </c>
      <c r="H8" s="17">
        <v>3672.37</v>
      </c>
      <c r="I8" s="17">
        <v>3574.7730000000001</v>
      </c>
      <c r="J8" s="17">
        <v>3461.18</v>
      </c>
      <c r="K8" s="17">
        <v>3331.22</v>
      </c>
      <c r="L8" s="17">
        <v>3190.82</v>
      </c>
      <c r="M8" s="17">
        <v>3048.1570000000002</v>
      </c>
      <c r="N8" s="17">
        <v>2903.855</v>
      </c>
      <c r="O8" s="17">
        <v>2767.69</v>
      </c>
      <c r="P8" s="17">
        <v>2646.1219999999998</v>
      </c>
      <c r="Q8" s="17">
        <v>2537.9780000000001</v>
      </c>
      <c r="R8" s="17">
        <v>2435.0059999999999</v>
      </c>
      <c r="S8" s="17">
        <v>2338.1080000000002</v>
      </c>
      <c r="T8" s="17">
        <v>2263.221</v>
      </c>
      <c r="U8" s="17">
        <v>2217.241</v>
      </c>
      <c r="V8" s="17">
        <v>2194.5279999999998</v>
      </c>
      <c r="W8" s="17">
        <v>2178.8609999999999</v>
      </c>
      <c r="X8" s="17">
        <v>2169.056</v>
      </c>
      <c r="Y8" s="17">
        <v>2182.3229999999999</v>
      </c>
      <c r="Z8" s="17">
        <v>2224.1709999999998</v>
      </c>
      <c r="AA8" s="17">
        <v>2284.7739999999999</v>
      </c>
      <c r="AB8" s="17">
        <v>2347.6170000000002</v>
      </c>
      <c r="AC8" s="17">
        <v>2414.576</v>
      </c>
      <c r="AD8" s="17">
        <v>2472.5160000000001</v>
      </c>
      <c r="AE8" s="17">
        <v>2512.7449999999999</v>
      </c>
      <c r="AF8" s="17">
        <v>2539.0770000000002</v>
      </c>
      <c r="AG8" s="17">
        <v>2566.4160000000002</v>
      </c>
      <c r="AH8" s="17">
        <v>2594.6559999999999</v>
      </c>
      <c r="AI8" s="17">
        <v>2602.183</v>
      </c>
      <c r="AJ8" s="17">
        <v>2580.6370000000002</v>
      </c>
      <c r="AK8" s="17">
        <v>2539.5839999999998</v>
      </c>
      <c r="AL8" s="17">
        <v>2495.8919999999998</v>
      </c>
      <c r="AM8" s="17">
        <v>2444.9169999999999</v>
      </c>
      <c r="AN8" s="17">
        <v>2402.7399999999998</v>
      </c>
      <c r="AO8" s="17">
        <v>2378.6590000000001</v>
      </c>
      <c r="AP8" s="17">
        <v>2364.7150000000001</v>
      </c>
      <c r="AQ8" s="17">
        <v>2345.808</v>
      </c>
      <c r="AR8" s="17">
        <v>2327.5619999999999</v>
      </c>
      <c r="AS8" s="17">
        <v>2296.2350000000001</v>
      </c>
      <c r="AT8" s="17">
        <v>2244.3150000000001</v>
      </c>
      <c r="AU8" s="17">
        <v>2180.4259999999999</v>
      </c>
      <c r="AV8" s="17">
        <v>2117.4380000000001</v>
      </c>
      <c r="AW8" s="17">
        <v>2048.8519999999999</v>
      </c>
      <c r="AX8" s="17">
        <v>2000.8119999999999</v>
      </c>
      <c r="AY8" s="17">
        <v>1986.3689999999999</v>
      </c>
      <c r="AZ8" s="17">
        <v>1991.3720000000001</v>
      </c>
      <c r="BA8" s="17">
        <v>1991.846</v>
      </c>
      <c r="BB8" s="17">
        <v>1996.4559999999999</v>
      </c>
      <c r="BC8" s="17">
        <v>1974.8969999999999</v>
      </c>
      <c r="BD8" s="17">
        <v>1910.91</v>
      </c>
      <c r="BE8" s="17">
        <v>1820.711</v>
      </c>
      <c r="BF8" s="17">
        <v>1734.837</v>
      </c>
      <c r="BG8" s="17">
        <v>1644.86</v>
      </c>
      <c r="BH8" s="17">
        <v>1573.307</v>
      </c>
      <c r="BI8" s="17">
        <v>1533.722</v>
      </c>
      <c r="BJ8" s="17">
        <v>1513.8510000000001</v>
      </c>
      <c r="BK8" s="17">
        <v>1488.181</v>
      </c>
      <c r="BL8" s="17">
        <v>1462.1569999999999</v>
      </c>
      <c r="BM8" s="17">
        <v>1427.9069999999999</v>
      </c>
      <c r="BN8" s="17">
        <v>1379.057</v>
      </c>
      <c r="BO8" s="17">
        <v>1320.3309999999999</v>
      </c>
      <c r="BP8" s="17">
        <v>1263.2049999999999</v>
      </c>
      <c r="BQ8" s="17">
        <v>1205.837</v>
      </c>
      <c r="BR8" s="17">
        <v>1145.8230000000001</v>
      </c>
      <c r="BS8" s="17">
        <v>1083.2570000000001</v>
      </c>
      <c r="BT8" s="17">
        <v>1018.708</v>
      </c>
      <c r="BU8" s="17">
        <v>953.48</v>
      </c>
      <c r="BV8" s="17">
        <v>888.31200000000001</v>
      </c>
      <c r="BW8" s="17">
        <v>821.21600000000001</v>
      </c>
      <c r="BX8" s="17">
        <v>751.66499999999996</v>
      </c>
      <c r="BY8" s="17">
        <v>681.4</v>
      </c>
      <c r="BZ8" s="17">
        <v>612.35500000000002</v>
      </c>
      <c r="CA8" s="17">
        <v>543.74300000000005</v>
      </c>
      <c r="CB8" s="17">
        <v>481.78100000000001</v>
      </c>
      <c r="CC8" s="17">
        <v>429.64</v>
      </c>
      <c r="CD8" s="17">
        <v>384.64800000000002</v>
      </c>
      <c r="CE8" s="17">
        <v>341.40300000000002</v>
      </c>
      <c r="CF8" s="17">
        <v>301.51299999999998</v>
      </c>
      <c r="CG8" s="17">
        <v>261.94200000000001</v>
      </c>
      <c r="CH8" s="17">
        <v>220.80500000000001</v>
      </c>
      <c r="CI8" s="17">
        <v>180.09</v>
      </c>
      <c r="CJ8" s="17">
        <v>142.291</v>
      </c>
      <c r="CK8" s="17">
        <v>107.524</v>
      </c>
      <c r="CL8" s="17">
        <v>81.341999999999999</v>
      </c>
      <c r="CM8" s="17">
        <v>63.816000000000003</v>
      </c>
      <c r="CN8" s="17">
        <v>52.49</v>
      </c>
      <c r="CO8" s="17">
        <v>43.343000000000004</v>
      </c>
      <c r="CP8" s="17">
        <v>37.43</v>
      </c>
      <c r="CQ8" s="17">
        <v>31.216999999999999</v>
      </c>
      <c r="CR8" s="17">
        <v>23.99</v>
      </c>
      <c r="CS8" s="17">
        <v>15.749000000000001</v>
      </c>
      <c r="CT8" s="17">
        <v>10.734999999999999</v>
      </c>
      <c r="CU8" s="17">
        <v>8.6029999999999998</v>
      </c>
      <c r="CV8" s="17">
        <v>6.2279999999999998</v>
      </c>
      <c r="CW8" s="17">
        <v>3.6110000000000002</v>
      </c>
      <c r="CX8" s="17">
        <v>6.4279999999999999</v>
      </c>
      <c r="CY8" s="3">
        <f t="shared" si="2"/>
        <v>174705.00600000008</v>
      </c>
      <c r="CZ8" s="21">
        <f t="shared" si="3"/>
        <v>115488.94400000005</v>
      </c>
      <c r="DA8">
        <f t="shared" si="4"/>
        <v>1.9596862882389841E-2</v>
      </c>
      <c r="DB8">
        <f t="shared" si="5"/>
        <v>1.9198729533798482E-2</v>
      </c>
      <c r="DC8">
        <f t="shared" si="6"/>
        <v>1.9002061357492359E-2</v>
      </c>
      <c r="DD8">
        <f t="shared" si="7"/>
        <v>1.8866403350263544E-2</v>
      </c>
      <c r="DE8">
        <f t="shared" si="8"/>
        <v>1.8781503448503253E-2</v>
      </c>
      <c r="DF8">
        <f t="shared" si="9"/>
        <v>1.8896380245714248E-2</v>
      </c>
      <c r="DG8">
        <f t="shared" si="10"/>
        <v>1.9258735277724929E-2</v>
      </c>
      <c r="DH8">
        <f t="shared" si="11"/>
        <v>1.9783486807187351E-2</v>
      </c>
      <c r="DI8">
        <f t="shared" si="12"/>
        <v>2.0327634132666406E-2</v>
      </c>
      <c r="DJ8">
        <f t="shared" si="13"/>
        <v>2.0907421233326014E-2</v>
      </c>
      <c r="DK8">
        <f t="shared" si="14"/>
        <v>2.1409114278506166E-2</v>
      </c>
      <c r="DL8">
        <f t="shared" si="15"/>
        <v>2.1757450652592328E-2</v>
      </c>
      <c r="DM8">
        <f t="shared" si="16"/>
        <v>2.1985455161837822E-2</v>
      </c>
      <c r="DN8">
        <f t="shared" si="17"/>
        <v>2.2222179120453288E-2</v>
      </c>
      <c r="DO8">
        <f t="shared" si="18"/>
        <v>2.2466704691662943E-2</v>
      </c>
      <c r="DP8">
        <f t="shared" si="19"/>
        <v>2.2531879761581323E-2</v>
      </c>
      <c r="DQ8">
        <f t="shared" si="20"/>
        <v>2.2345316448646367E-2</v>
      </c>
      <c r="DR8">
        <f t="shared" si="21"/>
        <v>2.1989845192454081E-2</v>
      </c>
      <c r="DS8">
        <f t="shared" si="22"/>
        <v>2.161152326407971E-2</v>
      </c>
      <c r="DT8">
        <f t="shared" si="23"/>
        <v>2.1170139022138768E-2</v>
      </c>
      <c r="DU8">
        <f t="shared" si="24"/>
        <v>2.080493523258814E-2</v>
      </c>
      <c r="DV8">
        <f t="shared" si="25"/>
        <v>2.0596421766571865E-2</v>
      </c>
      <c r="DW8">
        <f t="shared" si="26"/>
        <v>2.0475682936368342E-2</v>
      </c>
      <c r="DX8">
        <f t="shared" si="27"/>
        <v>2.0311970295615475E-2</v>
      </c>
      <c r="DY8">
        <f t="shared" si="28"/>
        <v>2.0153981146455013E-2</v>
      </c>
      <c r="DZ8">
        <f t="shared" si="29"/>
        <v>1.9882725743859943E-2</v>
      </c>
      <c r="EA8">
        <f t="shared" si="30"/>
        <v>1.9433158900474482E-2</v>
      </c>
      <c r="EB8">
        <f t="shared" si="31"/>
        <v>1.8879954430962666E-2</v>
      </c>
      <c r="EC8">
        <f t="shared" si="32"/>
        <v>1.8334551574045038E-2</v>
      </c>
      <c r="ED8">
        <f t="shared" si="33"/>
        <v>1.7740676544760848E-2</v>
      </c>
      <c r="EE8">
        <f t="shared" si="34"/>
        <v>1.7324705990904195E-2</v>
      </c>
      <c r="EF8">
        <f t="shared" si="35"/>
        <v>1.7199646400784471E-2</v>
      </c>
      <c r="EG8">
        <f t="shared" si="36"/>
        <v>1.7242966564834112E-2</v>
      </c>
      <c r="EH8">
        <f t="shared" si="37"/>
        <v>1.7247070853812631E-2</v>
      </c>
      <c r="EI8">
        <f t="shared" si="38"/>
        <v>1.7286988094721855E-2</v>
      </c>
      <c r="EJ8">
        <f t="shared" si="39"/>
        <v>1.71003122168993E-2</v>
      </c>
      <c r="EK8">
        <f t="shared" si="40"/>
        <v>1.6546259181311758E-2</v>
      </c>
      <c r="EL8">
        <f t="shared" si="41"/>
        <v>1.5765240696979613E-2</v>
      </c>
      <c r="EM8">
        <f t="shared" si="42"/>
        <v>1.5021671684867075E-2</v>
      </c>
      <c r="EN8">
        <f t="shared" si="43"/>
        <v>1.4242575462461578E-2</v>
      </c>
      <c r="EO8">
        <f t="shared" si="44"/>
        <v>1.3623009662292863E-2</v>
      </c>
      <c r="EP8">
        <f t="shared" si="45"/>
        <v>1.328024957956148E-2</v>
      </c>
      <c r="EQ8">
        <f t="shared" si="46"/>
        <v>1.3108189819451457E-2</v>
      </c>
      <c r="ER8">
        <f t="shared" si="47"/>
        <v>1.288591746063588E-2</v>
      </c>
      <c r="ES8">
        <f t="shared" si="48"/>
        <v>1.2660579873342676E-2</v>
      </c>
      <c r="ET8">
        <f t="shared" si="49"/>
        <v>1.23640146887134E-2</v>
      </c>
      <c r="EU8">
        <f t="shared" si="50"/>
        <v>1.1941030476475736E-2</v>
      </c>
      <c r="EV8">
        <f t="shared" si="51"/>
        <v>1.1432531585014748E-2</v>
      </c>
      <c r="EW8">
        <f t="shared" si="52"/>
        <v>1.0937886833565639E-2</v>
      </c>
      <c r="EX8">
        <f t="shared" si="53"/>
        <v>1.0441146643439736E-2</v>
      </c>
      <c r="EY8">
        <f t="shared" si="54"/>
        <v>9.9214951692691861E-3</v>
      </c>
      <c r="EZ8">
        <f t="shared" si="55"/>
        <v>9.3797463417796909E-3</v>
      </c>
      <c r="FA8">
        <f t="shared" si="56"/>
        <v>8.8208270395129726E-3</v>
      </c>
      <c r="FB8">
        <f t="shared" si="57"/>
        <v>8.2560283865787155E-3</v>
      </c>
      <c r="FC8">
        <f t="shared" si="58"/>
        <v>7.6917492638949028E-3</v>
      </c>
      <c r="FD8">
        <f t="shared" si="59"/>
        <v>7.1107759024967767E-3</v>
      </c>
      <c r="FE8">
        <f t="shared" si="60"/>
        <v>6.5085450950179233E-3</v>
      </c>
      <c r="FF8">
        <f t="shared" si="61"/>
        <v>5.9001318775587707E-3</v>
      </c>
      <c r="FG8">
        <f t="shared" si="62"/>
        <v>5.3022824418586748E-3</v>
      </c>
      <c r="FH8">
        <f t="shared" si="63"/>
        <v>4.7081822827992944E-3</v>
      </c>
      <c r="FI8">
        <f t="shared" si="64"/>
        <v>4.1716633931642823E-3</v>
      </c>
      <c r="FJ8">
        <f t="shared" si="65"/>
        <v>3.7201829466896831E-3</v>
      </c>
      <c r="FK8">
        <f t="shared" si="66"/>
        <v>3.3306045295556593E-3</v>
      </c>
      <c r="FL8">
        <f t="shared" si="67"/>
        <v>2.9561531015471045E-3</v>
      </c>
      <c r="FM8">
        <f t="shared" si="68"/>
        <v>2.6107520733759577E-3</v>
      </c>
      <c r="FN8">
        <f t="shared" si="69"/>
        <v>2.2681132143696795E-3</v>
      </c>
      <c r="FO8">
        <f t="shared" si="70"/>
        <v>1.9119146158267748E-3</v>
      </c>
      <c r="FP8">
        <f t="shared" si="71"/>
        <v>1.5593700467120032E-3</v>
      </c>
      <c r="FQ8">
        <f t="shared" si="72"/>
        <v>1.2320746477688803E-3</v>
      </c>
      <c r="FR8">
        <f t="shared" si="73"/>
        <v>9.3103284414826717E-4</v>
      </c>
      <c r="FS8">
        <f t="shared" si="74"/>
        <v>7.043271605288898E-4</v>
      </c>
      <c r="FT8">
        <f t="shared" si="75"/>
        <v>5.5257237437377534E-4</v>
      </c>
      <c r="FU8">
        <f t="shared" si="76"/>
        <v>4.545023807646902E-4</v>
      </c>
      <c r="FV8">
        <f t="shared" si="77"/>
        <v>3.7529999408428207E-4</v>
      </c>
      <c r="FW8">
        <f t="shared" si="78"/>
        <v>3.2410028790288346E-4</v>
      </c>
      <c r="FX8">
        <f t="shared" si="79"/>
        <v>2.7030293046925762E-4</v>
      </c>
      <c r="FY8">
        <f t="shared" si="80"/>
        <v>2.0772551180310374E-4</v>
      </c>
      <c r="FZ8">
        <f t="shared" si="81"/>
        <v>1.3636803190442189E-4</v>
      </c>
      <c r="GA8">
        <f t="shared" si="82"/>
        <v>9.2952620642197534E-5</v>
      </c>
      <c r="GB8">
        <f t="shared" si="83"/>
        <v>7.4491979076369392E-5</v>
      </c>
      <c r="GC8">
        <f t="shared" si="84"/>
        <v>5.3927239996237192E-5</v>
      </c>
      <c r="GD8">
        <f t="shared" si="85"/>
        <v>3.126706223930837E-5</v>
      </c>
      <c r="GE8">
        <f t="shared" si="86"/>
        <v>5.5659007497722011E-5</v>
      </c>
    </row>
    <row r="9" spans="1:187">
      <c r="A9" s="4">
        <v>1957</v>
      </c>
      <c r="B9" s="17">
        <v>4117.7950000000001</v>
      </c>
      <c r="C9" s="17">
        <v>4080.94</v>
      </c>
      <c r="D9" s="17">
        <v>3934.7629999999999</v>
      </c>
      <c r="E9" s="17">
        <v>3914.739</v>
      </c>
      <c r="F9" s="17">
        <v>3876.777</v>
      </c>
      <c r="G9" s="17">
        <v>3822.0920000000001</v>
      </c>
      <c r="H9" s="17">
        <v>3751.8910000000001</v>
      </c>
      <c r="I9" s="17">
        <v>3669.9029999999998</v>
      </c>
      <c r="J9" s="17">
        <v>3579.8589999999999</v>
      </c>
      <c r="K9" s="17">
        <v>3470.3710000000001</v>
      </c>
      <c r="L9" s="17">
        <v>3337.6109999999999</v>
      </c>
      <c r="M9" s="17">
        <v>3190.346</v>
      </c>
      <c r="N9" s="17">
        <v>3042.8620000000001</v>
      </c>
      <c r="O9" s="17">
        <v>2894.3270000000002</v>
      </c>
      <c r="P9" s="17">
        <v>2756.154</v>
      </c>
      <c r="Q9" s="17">
        <v>2636.1550000000002</v>
      </c>
      <c r="R9" s="17">
        <v>2531.9349999999999</v>
      </c>
      <c r="S9" s="17">
        <v>2432.444</v>
      </c>
      <c r="T9" s="17">
        <v>2338.8739999999998</v>
      </c>
      <c r="U9" s="17">
        <v>2267.6410000000001</v>
      </c>
      <c r="V9" s="17">
        <v>2225.5079999999998</v>
      </c>
      <c r="W9" s="17">
        <v>2206.5529999999999</v>
      </c>
      <c r="X9" s="17">
        <v>2194.67</v>
      </c>
      <c r="Y9" s="17">
        <v>2188.9810000000002</v>
      </c>
      <c r="Z9" s="17">
        <v>2204.0129999999999</v>
      </c>
      <c r="AA9" s="17">
        <v>2244.0500000000002</v>
      </c>
      <c r="AB9" s="17">
        <v>2300.5430000000001</v>
      </c>
      <c r="AC9" s="17">
        <v>2359.4110000000001</v>
      </c>
      <c r="AD9" s="17">
        <v>2421.9830000000002</v>
      </c>
      <c r="AE9" s="17">
        <v>2476.5320000000002</v>
      </c>
      <c r="AF9" s="17">
        <v>2515.2910000000002</v>
      </c>
      <c r="AG9" s="17">
        <v>2541.3710000000001</v>
      </c>
      <c r="AH9" s="17">
        <v>2568.0709999999999</v>
      </c>
      <c r="AI9" s="17">
        <v>2595.6390000000001</v>
      </c>
      <c r="AJ9" s="17">
        <v>2602.3359999999998</v>
      </c>
      <c r="AK9" s="17">
        <v>2579.5929999999998</v>
      </c>
      <c r="AL9" s="17">
        <v>2537.1619999999998</v>
      </c>
      <c r="AM9" s="17">
        <v>2492.404</v>
      </c>
      <c r="AN9" s="17">
        <v>2440.6959999999999</v>
      </c>
      <c r="AO9" s="17">
        <v>2397.7109999999998</v>
      </c>
      <c r="AP9" s="17">
        <v>2372.6419999999998</v>
      </c>
      <c r="AQ9" s="17">
        <v>2357.761</v>
      </c>
      <c r="AR9" s="17">
        <v>2337.8519999999999</v>
      </c>
      <c r="AS9" s="17">
        <v>2317.9969999999998</v>
      </c>
      <c r="AT9" s="17">
        <v>2287.319</v>
      </c>
      <c r="AU9" s="17">
        <v>2239.5369999999998</v>
      </c>
      <c r="AV9" s="17">
        <v>2181.67</v>
      </c>
      <c r="AW9" s="17">
        <v>2124.2849999999999</v>
      </c>
      <c r="AX9" s="17">
        <v>2061.982</v>
      </c>
      <c r="AY9" s="17">
        <v>2015.992</v>
      </c>
      <c r="AZ9" s="17">
        <v>1996.8910000000001</v>
      </c>
      <c r="BA9" s="17">
        <v>1993.067</v>
      </c>
      <c r="BB9" s="17">
        <v>1985.2629999999999</v>
      </c>
      <c r="BC9" s="17">
        <v>1980.855</v>
      </c>
      <c r="BD9" s="17">
        <v>1953.172</v>
      </c>
      <c r="BE9" s="17">
        <v>1888.127</v>
      </c>
      <c r="BF9" s="17">
        <v>1800.0070000000001</v>
      </c>
      <c r="BG9" s="17">
        <v>1715.356</v>
      </c>
      <c r="BH9" s="17">
        <v>1626.6769999999999</v>
      </c>
      <c r="BI9" s="17">
        <v>1555.0360000000001</v>
      </c>
      <c r="BJ9" s="17">
        <v>1512.893</v>
      </c>
      <c r="BK9" s="17">
        <v>1488.9</v>
      </c>
      <c r="BL9" s="17">
        <v>1459.6880000000001</v>
      </c>
      <c r="BM9" s="17">
        <v>1430.4580000000001</v>
      </c>
      <c r="BN9" s="17">
        <v>1392.835</v>
      </c>
      <c r="BO9" s="17">
        <v>1340.473</v>
      </c>
      <c r="BP9" s="17">
        <v>1278.3330000000001</v>
      </c>
      <c r="BQ9" s="17">
        <v>1217.885</v>
      </c>
      <c r="BR9" s="17">
        <v>1157.0340000000001</v>
      </c>
      <c r="BS9" s="17">
        <v>1095.319</v>
      </c>
      <c r="BT9" s="17">
        <v>1033.7180000000001</v>
      </c>
      <c r="BU9" s="17">
        <v>971.85500000000002</v>
      </c>
      <c r="BV9" s="17">
        <v>909.303</v>
      </c>
      <c r="BW9" s="17">
        <v>847.27300000000002</v>
      </c>
      <c r="BX9" s="17">
        <v>782.33399999999995</v>
      </c>
      <c r="BY9" s="17">
        <v>713.10299999999995</v>
      </c>
      <c r="BZ9" s="17">
        <v>642.06700000000001</v>
      </c>
      <c r="CA9" s="17">
        <v>572.75599999999997</v>
      </c>
      <c r="CB9" s="17">
        <v>504.06200000000001</v>
      </c>
      <c r="CC9" s="17">
        <v>442.51900000000001</v>
      </c>
      <c r="CD9" s="17">
        <v>391.613</v>
      </c>
      <c r="CE9" s="17">
        <v>348.46</v>
      </c>
      <c r="CF9" s="17">
        <v>307.00700000000001</v>
      </c>
      <c r="CG9" s="17">
        <v>268.84500000000003</v>
      </c>
      <c r="CH9" s="17">
        <v>231.649</v>
      </c>
      <c r="CI9" s="17">
        <v>193.77799999999999</v>
      </c>
      <c r="CJ9" s="17">
        <v>156.85499999999999</v>
      </c>
      <c r="CK9" s="17">
        <v>122.038</v>
      </c>
      <c r="CL9" s="17">
        <v>91.106999999999999</v>
      </c>
      <c r="CM9" s="17">
        <v>69.441000000000003</v>
      </c>
      <c r="CN9" s="17">
        <v>54.204000000000001</v>
      </c>
      <c r="CO9" s="17">
        <v>43.555999999999997</v>
      </c>
      <c r="CP9" s="17">
        <v>35.594000000000001</v>
      </c>
      <c r="CQ9" s="17">
        <v>30.687000000000001</v>
      </c>
      <c r="CR9" s="17">
        <v>25.498999999999999</v>
      </c>
      <c r="CS9" s="17">
        <v>19.495000000000001</v>
      </c>
      <c r="CT9" s="17">
        <v>12.675000000000001</v>
      </c>
      <c r="CU9" s="17">
        <v>8.5519999999999996</v>
      </c>
      <c r="CV9" s="17">
        <v>6.1929999999999996</v>
      </c>
      <c r="CW9" s="17">
        <v>3.585</v>
      </c>
      <c r="CX9" s="17">
        <v>6.351</v>
      </c>
      <c r="CY9" s="3">
        <f t="shared" si="2"/>
        <v>177751.47700000007</v>
      </c>
      <c r="CZ9" s="21">
        <f t="shared" si="3"/>
        <v>116710.51299999999</v>
      </c>
      <c r="DA9">
        <f t="shared" si="4"/>
        <v>2.0039959896329132E-2</v>
      </c>
      <c r="DB9">
        <f t="shared" si="5"/>
        <v>1.9429620706062703E-2</v>
      </c>
      <c r="DC9">
        <f t="shared" si="6"/>
        <v>1.9068616380771113E-2</v>
      </c>
      <c r="DD9">
        <f t="shared" si="7"/>
        <v>1.8906205990200729E-2</v>
      </c>
      <c r="DE9">
        <f t="shared" si="8"/>
        <v>1.8804389969565127E-2</v>
      </c>
      <c r="DF9">
        <f t="shared" si="9"/>
        <v>1.8755645431872966E-2</v>
      </c>
      <c r="DG9">
        <f t="shared" si="10"/>
        <v>1.8884442740818044E-2</v>
      </c>
      <c r="DH9">
        <f t="shared" si="11"/>
        <v>1.9227488101264709E-2</v>
      </c>
      <c r="DI9">
        <f t="shared" si="12"/>
        <v>1.9711531899444228E-2</v>
      </c>
      <c r="DJ9">
        <f t="shared" si="13"/>
        <v>2.0215925192617397E-2</v>
      </c>
      <c r="DK9">
        <f t="shared" si="14"/>
        <v>2.0752055129772247E-2</v>
      </c>
      <c r="DL9">
        <f t="shared" si="15"/>
        <v>2.1219442330786435E-2</v>
      </c>
      <c r="DM9">
        <f t="shared" si="16"/>
        <v>2.1551537520874409E-2</v>
      </c>
      <c r="DN9">
        <f t="shared" si="17"/>
        <v>2.1774996396425748E-2</v>
      </c>
      <c r="DO9">
        <f t="shared" si="18"/>
        <v>2.2003767561196479E-2</v>
      </c>
      <c r="DP9">
        <f t="shared" si="19"/>
        <v>2.2239975930874369E-2</v>
      </c>
      <c r="DQ9">
        <f t="shared" si="20"/>
        <v>2.2297357222652255E-2</v>
      </c>
      <c r="DR9">
        <f t="shared" si="21"/>
        <v>2.2102490458593048E-2</v>
      </c>
      <c r="DS9">
        <f t="shared" si="22"/>
        <v>2.1738932807192784E-2</v>
      </c>
      <c r="DT9">
        <f t="shared" si="23"/>
        <v>2.1355436934802952E-2</v>
      </c>
      <c r="DU9">
        <f t="shared" si="24"/>
        <v>2.0912392013905379E-2</v>
      </c>
      <c r="DV9">
        <f t="shared" si="25"/>
        <v>2.0544087575041333E-2</v>
      </c>
      <c r="DW9">
        <f t="shared" si="26"/>
        <v>2.0329291158200976E-2</v>
      </c>
      <c r="DX9">
        <f t="shared" si="27"/>
        <v>2.0201787648727071E-2</v>
      </c>
      <c r="DY9">
        <f t="shared" si="28"/>
        <v>2.0031203187325548E-2</v>
      </c>
      <c r="DZ9">
        <f t="shared" si="29"/>
        <v>1.9861081409178624E-2</v>
      </c>
      <c r="EA9">
        <f t="shared" si="30"/>
        <v>1.9598225911319576E-2</v>
      </c>
      <c r="EB9">
        <f t="shared" si="31"/>
        <v>1.9188819776672559E-2</v>
      </c>
      <c r="EC9">
        <f t="shared" si="32"/>
        <v>1.8693003260126191E-2</v>
      </c>
      <c r="ED9">
        <f t="shared" si="33"/>
        <v>1.8201316620037478E-2</v>
      </c>
      <c r="EE9">
        <f t="shared" si="34"/>
        <v>1.7667491530947176E-2</v>
      </c>
      <c r="EF9">
        <f t="shared" si="35"/>
        <v>1.7273439625785897E-2</v>
      </c>
      <c r="EG9">
        <f t="shared" si="36"/>
        <v>1.710977827678643E-2</v>
      </c>
      <c r="EH9">
        <f t="shared" si="37"/>
        <v>1.7077013447794546E-2</v>
      </c>
      <c r="EI9">
        <f t="shared" si="38"/>
        <v>1.7010147149297512E-2</v>
      </c>
      <c r="EJ9">
        <f t="shared" si="39"/>
        <v>1.6972378486589293E-2</v>
      </c>
      <c r="EK9">
        <f t="shared" si="40"/>
        <v>1.6735184772943293E-2</v>
      </c>
      <c r="EL9">
        <f t="shared" si="41"/>
        <v>1.6177865656369791E-2</v>
      </c>
      <c r="EM9">
        <f t="shared" si="42"/>
        <v>1.5422835130542184E-2</v>
      </c>
      <c r="EN9">
        <f t="shared" si="43"/>
        <v>1.4697527719717933E-2</v>
      </c>
      <c r="EO9">
        <f t="shared" si="44"/>
        <v>1.3937707565384448E-2</v>
      </c>
      <c r="EP9">
        <f t="shared" si="45"/>
        <v>1.3323872546083318E-2</v>
      </c>
      <c r="EQ9">
        <f t="shared" si="46"/>
        <v>1.2962782538707546E-2</v>
      </c>
      <c r="ER9">
        <f t="shared" si="47"/>
        <v>1.2757205514125366E-2</v>
      </c>
      <c r="ES9">
        <f t="shared" si="48"/>
        <v>1.2506911009807661E-2</v>
      </c>
      <c r="ET9">
        <f t="shared" si="49"/>
        <v>1.2256462277738425E-2</v>
      </c>
      <c r="EU9">
        <f t="shared" si="50"/>
        <v>1.1934100572413731E-2</v>
      </c>
      <c r="EV9">
        <f t="shared" si="51"/>
        <v>1.1485452043210538E-2</v>
      </c>
      <c r="EW9">
        <f t="shared" si="52"/>
        <v>1.0953023572092432E-2</v>
      </c>
      <c r="EX9">
        <f t="shared" si="53"/>
        <v>1.0435092509618221E-2</v>
      </c>
      <c r="EY9">
        <f t="shared" si="54"/>
        <v>9.9137084591514064E-3</v>
      </c>
      <c r="EZ9">
        <f t="shared" si="55"/>
        <v>9.3849214766111091E-3</v>
      </c>
      <c r="FA9">
        <f t="shared" si="56"/>
        <v>8.8571112698305095E-3</v>
      </c>
      <c r="FB9">
        <f t="shared" si="57"/>
        <v>8.3270561924442925E-3</v>
      </c>
      <c r="FC9">
        <f t="shared" si="58"/>
        <v>7.7910976194578126E-3</v>
      </c>
      <c r="FD9">
        <f t="shared" si="59"/>
        <v>7.2596116512657271E-3</v>
      </c>
      <c r="FE9">
        <f t="shared" si="60"/>
        <v>6.7032007647845745E-3</v>
      </c>
      <c r="FF9">
        <f t="shared" si="61"/>
        <v>6.1100151277717375E-3</v>
      </c>
      <c r="FG9">
        <f t="shared" si="62"/>
        <v>5.5013638745637257E-3</v>
      </c>
      <c r="FH9">
        <f t="shared" si="63"/>
        <v>4.9074927808774177E-3</v>
      </c>
      <c r="FI9">
        <f t="shared" si="64"/>
        <v>4.3189082717852512E-3</v>
      </c>
      <c r="FJ9">
        <f t="shared" si="65"/>
        <v>3.7915950210929161E-3</v>
      </c>
      <c r="FK9">
        <f t="shared" si="66"/>
        <v>3.3554218033468846E-3</v>
      </c>
      <c r="FL9">
        <f t="shared" si="67"/>
        <v>2.9856779054685503E-3</v>
      </c>
      <c r="FM9">
        <f t="shared" si="68"/>
        <v>2.6304999619014614E-3</v>
      </c>
      <c r="FN9">
        <f t="shared" si="69"/>
        <v>2.3035199922392599E-3</v>
      </c>
      <c r="FO9">
        <f t="shared" si="70"/>
        <v>1.9848169119092126E-3</v>
      </c>
      <c r="FP9">
        <f t="shared" si="71"/>
        <v>1.6603302908967594E-3</v>
      </c>
      <c r="FQ9">
        <f t="shared" si="72"/>
        <v>1.3439663314649298E-3</v>
      </c>
      <c r="FR9">
        <f t="shared" si="73"/>
        <v>1.0456470189622079E-3</v>
      </c>
      <c r="FS9">
        <f t="shared" si="74"/>
        <v>7.8062376437330893E-4</v>
      </c>
      <c r="FT9">
        <f t="shared" si="75"/>
        <v>5.9498496078069687E-4</v>
      </c>
      <c r="FU9">
        <f t="shared" si="76"/>
        <v>4.6443116910984707E-4</v>
      </c>
      <c r="FV9">
        <f t="shared" si="77"/>
        <v>3.7319688587094123E-4</v>
      </c>
      <c r="FW9">
        <f t="shared" si="78"/>
        <v>3.0497681044380298E-4</v>
      </c>
      <c r="FX9">
        <f t="shared" si="79"/>
        <v>2.6293261173481434E-4</v>
      </c>
      <c r="FY9">
        <f t="shared" si="80"/>
        <v>2.1848074646026104E-4</v>
      </c>
      <c r="FZ9">
        <f t="shared" si="81"/>
        <v>1.6703722311631002E-4</v>
      </c>
      <c r="GA9">
        <f t="shared" si="82"/>
        <v>1.0860204170296125E-4</v>
      </c>
      <c r="GB9">
        <f t="shared" si="83"/>
        <v>7.3275318393982219E-5</v>
      </c>
      <c r="GC9">
        <f t="shared" si="84"/>
        <v>5.3062914735024768E-5</v>
      </c>
      <c r="GD9">
        <f t="shared" si="85"/>
        <v>3.0717027179890816E-5</v>
      </c>
      <c r="GE9">
        <f t="shared" si="86"/>
        <v>5.4416691665128752E-5</v>
      </c>
    </row>
    <row r="10" spans="1:187">
      <c r="A10" s="4">
        <v>1958</v>
      </c>
      <c r="B10" s="17">
        <v>4207.4120000000003</v>
      </c>
      <c r="C10" s="17">
        <v>4147.66</v>
      </c>
      <c r="D10" s="17">
        <v>4084.902</v>
      </c>
      <c r="E10" s="17">
        <v>3948.444</v>
      </c>
      <c r="F10" s="17">
        <v>3916.4810000000002</v>
      </c>
      <c r="G10" s="17">
        <v>3871.6089999999999</v>
      </c>
      <c r="H10" s="17">
        <v>3814.098</v>
      </c>
      <c r="I10" s="17">
        <v>3744.2220000000002</v>
      </c>
      <c r="J10" s="17">
        <v>3666.0279999999998</v>
      </c>
      <c r="K10" s="17">
        <v>3583.5680000000002</v>
      </c>
      <c r="L10" s="17">
        <v>3478.2249999999999</v>
      </c>
      <c r="M10" s="17">
        <v>3342.7170000000001</v>
      </c>
      <c r="N10" s="17">
        <v>3188.6469999999999</v>
      </c>
      <c r="O10" s="17">
        <v>3036.3980000000001</v>
      </c>
      <c r="P10" s="17">
        <v>2883.69</v>
      </c>
      <c r="Q10" s="17">
        <v>2743.5639999999999</v>
      </c>
      <c r="R10" s="17">
        <v>2625.18</v>
      </c>
      <c r="S10" s="17">
        <v>2524.9229999999998</v>
      </c>
      <c r="T10" s="17">
        <v>2428.9490000000001</v>
      </c>
      <c r="U10" s="17">
        <v>2338.741</v>
      </c>
      <c r="V10" s="17">
        <v>2271.1869999999999</v>
      </c>
      <c r="W10" s="17">
        <v>2232.9169999999999</v>
      </c>
      <c r="X10" s="17">
        <v>2217.7240000000002</v>
      </c>
      <c r="Y10" s="17">
        <v>2209.6280000000002</v>
      </c>
      <c r="Z10" s="17">
        <v>2208.0549999999998</v>
      </c>
      <c r="AA10" s="17">
        <v>2224.8440000000001</v>
      </c>
      <c r="AB10" s="17">
        <v>2263.058</v>
      </c>
      <c r="AC10" s="17">
        <v>2315.4189999999999</v>
      </c>
      <c r="AD10" s="17">
        <v>2370.2930000000001</v>
      </c>
      <c r="AE10" s="17">
        <v>2428.4549999999999</v>
      </c>
      <c r="AF10" s="17">
        <v>2479.5929999999998</v>
      </c>
      <c r="AG10" s="17">
        <v>2516.87</v>
      </c>
      <c r="AH10" s="17">
        <v>2542.6880000000001</v>
      </c>
      <c r="AI10" s="17">
        <v>2568.7379999999998</v>
      </c>
      <c r="AJ10" s="17">
        <v>2595.6219999999998</v>
      </c>
      <c r="AK10" s="17">
        <v>2601.4879999999998</v>
      </c>
      <c r="AL10" s="17">
        <v>2577.5569999999998</v>
      </c>
      <c r="AM10" s="17">
        <v>2533.7649999999999</v>
      </c>
      <c r="AN10" s="17">
        <v>2487.9580000000001</v>
      </c>
      <c r="AO10" s="17">
        <v>2435.5360000000001</v>
      </c>
      <c r="AP10" s="17">
        <v>2391.7640000000001</v>
      </c>
      <c r="AQ10" s="17">
        <v>2365.7150000000001</v>
      </c>
      <c r="AR10" s="17">
        <v>2349.9029999999998</v>
      </c>
      <c r="AS10" s="17">
        <v>2328.9989999999998</v>
      </c>
      <c r="AT10" s="17">
        <v>2307.5439999999999</v>
      </c>
      <c r="AU10" s="17">
        <v>2277.5250000000001</v>
      </c>
      <c r="AV10" s="17">
        <v>2233.8980000000001</v>
      </c>
      <c r="AW10" s="17">
        <v>2182.0749999999998</v>
      </c>
      <c r="AX10" s="17">
        <v>2130.3119999999999</v>
      </c>
      <c r="AY10" s="17">
        <v>2074.3139999999999</v>
      </c>
      <c r="AZ10" s="17">
        <v>2030.39</v>
      </c>
      <c r="BA10" s="17">
        <v>2006.6410000000001</v>
      </c>
      <c r="BB10" s="17">
        <v>1993.9929999999999</v>
      </c>
      <c r="BC10" s="17">
        <v>1977.9179999999999</v>
      </c>
      <c r="BD10" s="17">
        <v>1964.498</v>
      </c>
      <c r="BE10" s="17">
        <v>1930.704</v>
      </c>
      <c r="BF10" s="17">
        <v>1864.627</v>
      </c>
      <c r="BG10" s="17">
        <v>1778.6179999999999</v>
      </c>
      <c r="BH10" s="17">
        <v>1695.222</v>
      </c>
      <c r="BI10" s="17">
        <v>1607.874</v>
      </c>
      <c r="BJ10" s="17">
        <v>1536.173</v>
      </c>
      <c r="BK10" s="17">
        <v>1491.4880000000001</v>
      </c>
      <c r="BL10" s="17">
        <v>1463.384</v>
      </c>
      <c r="BM10" s="17">
        <v>1430.644</v>
      </c>
      <c r="BN10" s="17">
        <v>1398.2190000000001</v>
      </c>
      <c r="BO10" s="17">
        <v>1357.24</v>
      </c>
      <c r="BP10" s="17">
        <v>1301.3879999999999</v>
      </c>
      <c r="BQ10" s="17">
        <v>1235.857</v>
      </c>
      <c r="BR10" s="17">
        <v>1172.1130000000001</v>
      </c>
      <c r="BS10" s="17">
        <v>1107.8040000000001</v>
      </c>
      <c r="BT10" s="17">
        <v>1044.4100000000001</v>
      </c>
      <c r="BU10" s="17">
        <v>983.79899999999998</v>
      </c>
      <c r="BV10" s="17">
        <v>924.64400000000001</v>
      </c>
      <c r="BW10" s="17">
        <v>864.79100000000005</v>
      </c>
      <c r="BX10" s="17">
        <v>805.92200000000003</v>
      </c>
      <c r="BY10" s="17">
        <v>743.16300000000001</v>
      </c>
      <c r="BZ10" s="17">
        <v>674.28099999999995</v>
      </c>
      <c r="CA10" s="17">
        <v>602.5</v>
      </c>
      <c r="CB10" s="17">
        <v>532.95000000000005</v>
      </c>
      <c r="CC10" s="17">
        <v>464.202</v>
      </c>
      <c r="CD10" s="17">
        <v>403.101</v>
      </c>
      <c r="CE10" s="17">
        <v>353.44900000000001</v>
      </c>
      <c r="CF10" s="17">
        <v>312.15199999999999</v>
      </c>
      <c r="CG10" s="17">
        <v>272.50599999999997</v>
      </c>
      <c r="CH10" s="17">
        <v>236.08500000000001</v>
      </c>
      <c r="CI10" s="17">
        <v>201.27699999999999</v>
      </c>
      <c r="CJ10" s="17">
        <v>166.68700000000001</v>
      </c>
      <c r="CK10" s="17">
        <v>133.56800000000001</v>
      </c>
      <c r="CL10" s="17">
        <v>101.745</v>
      </c>
      <c r="CM10" s="17">
        <v>74.659000000000006</v>
      </c>
      <c r="CN10" s="17">
        <v>57.515999999999998</v>
      </c>
      <c r="CO10" s="17">
        <v>44.576000000000001</v>
      </c>
      <c r="CP10" s="17">
        <v>34.606999999999999</v>
      </c>
      <c r="CQ10" s="17">
        <v>27.832999999999998</v>
      </c>
      <c r="CR10" s="17">
        <v>23.934000000000001</v>
      </c>
      <c r="CS10" s="17">
        <v>19.774000000000001</v>
      </c>
      <c r="CT10" s="17">
        <v>14.994</v>
      </c>
      <c r="CU10" s="17">
        <v>9.5969999999999995</v>
      </c>
      <c r="CV10" s="17">
        <v>6.1630000000000003</v>
      </c>
      <c r="CW10" s="17">
        <v>3.556</v>
      </c>
      <c r="CX10" s="17">
        <v>6.2489999999999997</v>
      </c>
      <c r="CY10" s="3">
        <f t="shared" si="2"/>
        <v>180788.38700000005</v>
      </c>
      <c r="CZ10" s="21">
        <f t="shared" si="3"/>
        <v>117980.61900000002</v>
      </c>
      <c r="DA10">
        <f t="shared" si="4"/>
        <v>2.0587695000989947E-2</v>
      </c>
      <c r="DB10">
        <f t="shared" si="5"/>
        <v>1.9823094842382542E-2</v>
      </c>
      <c r="DC10">
        <f t="shared" si="6"/>
        <v>1.9250509272205119E-2</v>
      </c>
      <c r="DD10">
        <f t="shared" si="7"/>
        <v>1.8926133961036425E-2</v>
      </c>
      <c r="DE10">
        <f t="shared" si="8"/>
        <v>1.8797358572936455E-2</v>
      </c>
      <c r="DF10">
        <f t="shared" si="9"/>
        <v>1.8728737132664135E-2</v>
      </c>
      <c r="DG10">
        <f t="shared" si="10"/>
        <v>1.8715404434350352E-2</v>
      </c>
      <c r="DH10">
        <f t="shared" si="11"/>
        <v>1.8857707468037607E-2</v>
      </c>
      <c r="DI10">
        <f t="shared" si="12"/>
        <v>1.9181608124975168E-2</v>
      </c>
      <c r="DJ10">
        <f t="shared" si="13"/>
        <v>1.9625418307052615E-2</v>
      </c>
      <c r="DK10">
        <f t="shared" si="14"/>
        <v>2.0090528597752143E-2</v>
      </c>
      <c r="DL10">
        <f t="shared" si="15"/>
        <v>2.0583507872593883E-2</v>
      </c>
      <c r="DM10">
        <f t="shared" si="16"/>
        <v>2.1016951945302131E-2</v>
      </c>
      <c r="DN10">
        <f t="shared" si="17"/>
        <v>2.133291061983663E-2</v>
      </c>
      <c r="DO10">
        <f t="shared" si="18"/>
        <v>2.1551743172325614E-2</v>
      </c>
      <c r="DP10">
        <f t="shared" si="19"/>
        <v>2.1772542149486429E-2</v>
      </c>
      <c r="DQ10">
        <f t="shared" si="20"/>
        <v>2.2000410084303756E-2</v>
      </c>
      <c r="DR10">
        <f t="shared" si="21"/>
        <v>2.2050130115014901E-2</v>
      </c>
      <c r="DS10">
        <f t="shared" si="22"/>
        <v>2.1847291714921408E-2</v>
      </c>
      <c r="DT10">
        <f t="shared" si="23"/>
        <v>2.1476112106175671E-2</v>
      </c>
      <c r="DU10">
        <f t="shared" si="24"/>
        <v>2.1087853421077572E-2</v>
      </c>
      <c r="DV10">
        <f t="shared" si="25"/>
        <v>2.0643526204926925E-2</v>
      </c>
      <c r="DW10">
        <f t="shared" si="26"/>
        <v>2.0272516115549449E-2</v>
      </c>
      <c r="DX10">
        <f t="shared" si="27"/>
        <v>2.0051725614357047E-2</v>
      </c>
      <c r="DY10">
        <f t="shared" si="28"/>
        <v>1.9917703601809372E-2</v>
      </c>
      <c r="DZ10">
        <f t="shared" si="29"/>
        <v>1.9740521958102282E-2</v>
      </c>
      <c r="EA10">
        <f t="shared" si="30"/>
        <v>1.9558670055799584E-2</v>
      </c>
      <c r="EB10">
        <f t="shared" si="31"/>
        <v>1.9304229960007243E-2</v>
      </c>
      <c r="EC10">
        <f t="shared" si="32"/>
        <v>1.8934448886049664E-2</v>
      </c>
      <c r="ED10">
        <f t="shared" si="33"/>
        <v>1.849519877497845E-2</v>
      </c>
      <c r="EE10">
        <f t="shared" si="34"/>
        <v>1.8056457222012028E-2</v>
      </c>
      <c r="EF10">
        <f t="shared" si="35"/>
        <v>1.7581819942816195E-2</v>
      </c>
      <c r="EG10">
        <f t="shared" si="36"/>
        <v>1.7209521506239934E-2</v>
      </c>
      <c r="EH10">
        <f t="shared" si="37"/>
        <v>1.700822573239762E-2</v>
      </c>
      <c r="EI10">
        <f t="shared" si="38"/>
        <v>1.6901021683908946E-2</v>
      </c>
      <c r="EJ10">
        <f t="shared" si="39"/>
        <v>1.6764770491668631E-2</v>
      </c>
      <c r="EK10">
        <f t="shared" si="40"/>
        <v>1.6651022995565059E-2</v>
      </c>
      <c r="EL10">
        <f t="shared" si="41"/>
        <v>1.6364586119013324E-2</v>
      </c>
      <c r="EM10">
        <f t="shared" si="42"/>
        <v>1.5804519554182026E-2</v>
      </c>
      <c r="EN10">
        <f t="shared" si="43"/>
        <v>1.5075509986941156E-2</v>
      </c>
      <c r="EO10">
        <f t="shared" si="44"/>
        <v>1.4368648125163674E-2</v>
      </c>
      <c r="EP10">
        <f t="shared" si="45"/>
        <v>1.3628289236217686E-2</v>
      </c>
      <c r="EQ10">
        <f t="shared" si="46"/>
        <v>1.3020553825031209E-2</v>
      </c>
      <c r="ER10">
        <f t="shared" si="47"/>
        <v>1.2641805176492589E-2</v>
      </c>
      <c r="ES10">
        <f t="shared" si="48"/>
        <v>1.2403596560211299E-2</v>
      </c>
      <c r="ET10">
        <f t="shared" si="49"/>
        <v>1.2126093354366955E-2</v>
      </c>
      <c r="EU10">
        <f t="shared" si="50"/>
        <v>1.1851260078572734E-2</v>
      </c>
      <c r="EV10">
        <f t="shared" si="51"/>
        <v>1.1503923368972999E-2</v>
      </c>
      <c r="EW10">
        <f t="shared" si="52"/>
        <v>1.1030523581165477E-2</v>
      </c>
      <c r="EX10">
        <f t="shared" si="53"/>
        <v>1.0475084895087724E-2</v>
      </c>
      <c r="EY10">
        <f t="shared" si="54"/>
        <v>9.9347927645641512E-3</v>
      </c>
      <c r="EZ10">
        <f t="shared" si="55"/>
        <v>9.3897117118871866E-3</v>
      </c>
      <c r="FA10">
        <f t="shared" si="56"/>
        <v>8.8523861703081914E-3</v>
      </c>
      <c r="FB10">
        <f t="shared" si="57"/>
        <v>8.3386492488228079E-3</v>
      </c>
      <c r="FC10">
        <f t="shared" si="58"/>
        <v>7.8372533373468733E-3</v>
      </c>
      <c r="FD10">
        <f t="shared" si="59"/>
        <v>7.3299411999186064E-3</v>
      </c>
      <c r="FE10">
        <f t="shared" si="60"/>
        <v>6.8309694154088125E-3</v>
      </c>
      <c r="FF10">
        <f t="shared" si="61"/>
        <v>6.2990261137721264E-3</v>
      </c>
      <c r="FG10">
        <f t="shared" si="62"/>
        <v>5.7151844575421308E-3</v>
      </c>
      <c r="FH10">
        <f t="shared" si="63"/>
        <v>5.1067709688826088E-3</v>
      </c>
      <c r="FI10">
        <f t="shared" si="64"/>
        <v>4.5172673657526748E-3</v>
      </c>
      <c r="FJ10">
        <f t="shared" si="65"/>
        <v>3.9345614892900326E-3</v>
      </c>
      <c r="FK10">
        <f t="shared" si="66"/>
        <v>3.4166713432822382E-3</v>
      </c>
      <c r="FL10">
        <f t="shared" si="67"/>
        <v>2.9958225596358324E-3</v>
      </c>
      <c r="FM10">
        <f t="shared" si="68"/>
        <v>2.6457904920807367E-3</v>
      </c>
      <c r="FN10">
        <f t="shared" si="69"/>
        <v>2.3097522483756417E-3</v>
      </c>
      <c r="FO10">
        <f t="shared" si="70"/>
        <v>2.0010490028027398E-3</v>
      </c>
      <c r="FP10">
        <f t="shared" si="71"/>
        <v>1.7060174942801407E-3</v>
      </c>
      <c r="FQ10">
        <f t="shared" si="72"/>
        <v>1.4128337468715941E-3</v>
      </c>
      <c r="FR10">
        <f t="shared" si="73"/>
        <v>1.1321181489986926E-3</v>
      </c>
      <c r="FS10">
        <f t="shared" si="74"/>
        <v>8.6238740618914693E-4</v>
      </c>
      <c r="FT10">
        <f t="shared" si="75"/>
        <v>6.3280732575237623E-4</v>
      </c>
      <c r="FU10">
        <f t="shared" si="76"/>
        <v>4.8750379924689146E-4</v>
      </c>
      <c r="FV10">
        <f t="shared" si="77"/>
        <v>3.7782476798159528E-4</v>
      </c>
      <c r="FW10">
        <f t="shared" si="78"/>
        <v>2.9332783887156918E-4</v>
      </c>
      <c r="FX10">
        <f t="shared" si="79"/>
        <v>2.359116288413438E-4</v>
      </c>
      <c r="FY10">
        <f t="shared" si="80"/>
        <v>2.0286382799873255E-4</v>
      </c>
      <c r="FZ10">
        <f t="shared" si="81"/>
        <v>1.6760379940030656E-4</v>
      </c>
      <c r="GA10">
        <f t="shared" si="82"/>
        <v>1.2708867038576901E-4</v>
      </c>
      <c r="GB10">
        <f t="shared" si="83"/>
        <v>8.1343868860359159E-5</v>
      </c>
      <c r="GC10">
        <f t="shared" si="84"/>
        <v>5.2237393329831563E-5</v>
      </c>
      <c r="GD10">
        <f t="shared" si="85"/>
        <v>3.0140543676923745E-5</v>
      </c>
      <c r="GE10">
        <f t="shared" si="86"/>
        <v>5.2966326613356709E-5</v>
      </c>
    </row>
    <row r="11" spans="1:187">
      <c r="A11" s="4">
        <v>1959</v>
      </c>
      <c r="B11" s="17">
        <v>4262.7160000000003</v>
      </c>
      <c r="C11" s="17">
        <v>4190.723</v>
      </c>
      <c r="D11" s="17">
        <v>4122.1980000000003</v>
      </c>
      <c r="E11" s="17">
        <v>4055.86</v>
      </c>
      <c r="F11" s="17">
        <v>3962.2959999999998</v>
      </c>
      <c r="G11" s="17">
        <v>3918.4029999999998</v>
      </c>
      <c r="H11" s="17">
        <v>3866.6210000000001</v>
      </c>
      <c r="I11" s="17">
        <v>3806.2860000000001</v>
      </c>
      <c r="J11" s="17">
        <v>3736.73</v>
      </c>
      <c r="K11" s="17">
        <v>3662.3240000000001</v>
      </c>
      <c r="L11" s="17">
        <v>3587.44</v>
      </c>
      <c r="M11" s="17">
        <v>3486.2339999999999</v>
      </c>
      <c r="N11" s="17">
        <v>3347.973</v>
      </c>
      <c r="O11" s="17">
        <v>3187.096</v>
      </c>
      <c r="P11" s="17">
        <v>3030.08</v>
      </c>
      <c r="Q11" s="17">
        <v>2873.194</v>
      </c>
      <c r="R11" s="17">
        <v>2731.1089999999999</v>
      </c>
      <c r="S11" s="17">
        <v>2614.3319999999999</v>
      </c>
      <c r="T11" s="17">
        <v>2518.029</v>
      </c>
      <c r="U11" s="17">
        <v>2425.5659999999998</v>
      </c>
      <c r="V11" s="17">
        <v>2338.7130000000002</v>
      </c>
      <c r="W11" s="17">
        <v>2274.8319999999999</v>
      </c>
      <c r="X11" s="17">
        <v>2240.42</v>
      </c>
      <c r="Y11" s="17">
        <v>2228.9870000000001</v>
      </c>
      <c r="Z11" s="17">
        <v>2224.674</v>
      </c>
      <c r="AA11" s="17">
        <v>2227.2150000000001</v>
      </c>
      <c r="AB11" s="17">
        <v>2245.7600000000002</v>
      </c>
      <c r="AC11" s="17">
        <v>2282.1529999999998</v>
      </c>
      <c r="AD11" s="17">
        <v>2330.3879999999999</v>
      </c>
      <c r="AE11" s="17">
        <v>2381.2730000000001</v>
      </c>
      <c r="AF11" s="17">
        <v>2435.0320000000002</v>
      </c>
      <c r="AG11" s="17">
        <v>2482.7640000000001</v>
      </c>
      <c r="AH11" s="17">
        <v>2518.5590000000002</v>
      </c>
      <c r="AI11" s="17">
        <v>2544.1170000000002</v>
      </c>
      <c r="AJ11" s="17">
        <v>2569.5189999999998</v>
      </c>
      <c r="AK11" s="17">
        <v>2595.7220000000002</v>
      </c>
      <c r="AL11" s="17">
        <v>2600.7550000000001</v>
      </c>
      <c r="AM11" s="17">
        <v>2575.6370000000002</v>
      </c>
      <c r="AN11" s="17">
        <v>2530.4810000000002</v>
      </c>
      <c r="AO11" s="17">
        <v>2483.627</v>
      </c>
      <c r="AP11" s="17">
        <v>2430.4879999999998</v>
      </c>
      <c r="AQ11" s="17">
        <v>2385.9259999999999</v>
      </c>
      <c r="AR11" s="17">
        <v>2358.8969999999999</v>
      </c>
      <c r="AS11" s="17">
        <v>2342.1559999999999</v>
      </c>
      <c r="AT11" s="17">
        <v>2320.2559999999999</v>
      </c>
      <c r="AU11" s="17">
        <v>2297.1999999999998</v>
      </c>
      <c r="AV11" s="17">
        <v>2267.84</v>
      </c>
      <c r="AW11" s="17">
        <v>2228.3609999999999</v>
      </c>
      <c r="AX11" s="17">
        <v>2182.5740000000001</v>
      </c>
      <c r="AY11" s="17">
        <v>2136.4279999999999</v>
      </c>
      <c r="AZ11" s="17">
        <v>2086.7260000000001</v>
      </c>
      <c r="BA11" s="17">
        <v>2044.867</v>
      </c>
      <c r="BB11" s="17">
        <v>2016.472</v>
      </c>
      <c r="BC11" s="17">
        <v>1995.0050000000001</v>
      </c>
      <c r="BD11" s="17">
        <v>1970.664</v>
      </c>
      <c r="BE11" s="17">
        <v>1948.2380000000001</v>
      </c>
      <c r="BF11" s="17">
        <v>1908.336</v>
      </c>
      <c r="BG11" s="17">
        <v>1841.223</v>
      </c>
      <c r="BH11" s="17">
        <v>1757.3209999999999</v>
      </c>
      <c r="BI11" s="17">
        <v>1675.175</v>
      </c>
      <c r="BJ11" s="17">
        <v>1589.153</v>
      </c>
      <c r="BK11" s="17">
        <v>1517.3879999999999</v>
      </c>
      <c r="BL11" s="17">
        <v>1470.162</v>
      </c>
      <c r="BM11" s="17">
        <v>1437.9480000000001</v>
      </c>
      <c r="BN11" s="17">
        <v>1401.68</v>
      </c>
      <c r="BO11" s="17">
        <v>1366.0630000000001</v>
      </c>
      <c r="BP11" s="17">
        <v>1321.7280000000001</v>
      </c>
      <c r="BQ11" s="17">
        <v>1262.384</v>
      </c>
      <c r="BR11" s="17">
        <v>1193.462</v>
      </c>
      <c r="BS11" s="17">
        <v>1126.422</v>
      </c>
      <c r="BT11" s="17">
        <v>1058.653</v>
      </c>
      <c r="BU11" s="17">
        <v>993.58</v>
      </c>
      <c r="BV11" s="17">
        <v>933.95500000000004</v>
      </c>
      <c r="BW11" s="17">
        <v>877.50199999999995</v>
      </c>
      <c r="BX11" s="17">
        <v>820.34299999999996</v>
      </c>
      <c r="BY11" s="17">
        <v>764.63099999999997</v>
      </c>
      <c r="BZ11" s="17">
        <v>704.048</v>
      </c>
      <c r="CA11" s="17">
        <v>635.50900000000001</v>
      </c>
      <c r="CB11" s="17">
        <v>562.98400000000004</v>
      </c>
      <c r="CC11" s="17">
        <v>493.19299999999998</v>
      </c>
      <c r="CD11" s="17">
        <v>424.38600000000002</v>
      </c>
      <c r="CE11" s="17">
        <v>363.72500000000002</v>
      </c>
      <c r="CF11" s="17">
        <v>315.32600000000002</v>
      </c>
      <c r="CG11" s="17">
        <v>275.88</v>
      </c>
      <c r="CH11" s="17">
        <v>238.03800000000001</v>
      </c>
      <c r="CI11" s="17">
        <v>203.35499999999999</v>
      </c>
      <c r="CJ11" s="17">
        <v>170.934</v>
      </c>
      <c r="CK11" s="17">
        <v>139.619</v>
      </c>
      <c r="CL11" s="17">
        <v>110.301</v>
      </c>
      <c r="CM11" s="17">
        <v>81.471000000000004</v>
      </c>
      <c r="CN11" s="17">
        <v>58.225999999999999</v>
      </c>
      <c r="CO11" s="17">
        <v>45.603000000000002</v>
      </c>
      <c r="CP11" s="17">
        <v>34.954999999999998</v>
      </c>
      <c r="CQ11" s="17">
        <v>25.666</v>
      </c>
      <c r="CR11" s="17">
        <v>20.079000000000001</v>
      </c>
      <c r="CS11" s="17">
        <v>17.187999999999999</v>
      </c>
      <c r="CT11" s="17">
        <v>14.053000000000001</v>
      </c>
      <c r="CU11" s="17">
        <v>10.497999999999999</v>
      </c>
      <c r="CV11" s="17">
        <v>6.52</v>
      </c>
      <c r="CW11" s="17">
        <v>3.512</v>
      </c>
      <c r="CX11" s="17">
        <v>6.1349999999999998</v>
      </c>
      <c r="CY11" s="3">
        <f t="shared" si="2"/>
        <v>183786.24899999992</v>
      </c>
      <c r="CZ11" s="21">
        <f t="shared" si="3"/>
        <v>119344.63399999999</v>
      </c>
      <c r="DA11">
        <f t="shared" si="4"/>
        <v>2.1098803654632684E-2</v>
      </c>
      <c r="DB11">
        <f t="shared" si="5"/>
        <v>2.0324047413811667E-2</v>
      </c>
      <c r="DC11">
        <f t="shared" si="6"/>
        <v>1.9596297894717247E-2</v>
      </c>
      <c r="DD11">
        <f t="shared" si="7"/>
        <v>1.9061032940953172E-2</v>
      </c>
      <c r="DE11">
        <f t="shared" si="8"/>
        <v>1.8772691531317616E-2</v>
      </c>
      <c r="DF11">
        <f t="shared" si="9"/>
        <v>1.867689334067588E-2</v>
      </c>
      <c r="DG11">
        <f t="shared" si="10"/>
        <v>1.8640754304881442E-2</v>
      </c>
      <c r="DH11">
        <f t="shared" si="11"/>
        <v>1.8662045584722311E-2</v>
      </c>
      <c r="DI11">
        <f t="shared" si="12"/>
        <v>1.8817435897453088E-2</v>
      </c>
      <c r="DJ11">
        <f t="shared" si="13"/>
        <v>1.9122376293851637E-2</v>
      </c>
      <c r="DK11">
        <f t="shared" si="14"/>
        <v>1.9526541930657729E-2</v>
      </c>
      <c r="DL11">
        <f t="shared" si="15"/>
        <v>1.9952912168635921E-2</v>
      </c>
      <c r="DM11">
        <f t="shared" si="16"/>
        <v>2.0403363925017362E-2</v>
      </c>
      <c r="DN11">
        <f t="shared" si="17"/>
        <v>2.0803314877148146E-2</v>
      </c>
      <c r="DO11">
        <f t="shared" si="18"/>
        <v>2.1103244574867105E-2</v>
      </c>
      <c r="DP11">
        <f t="shared" si="19"/>
        <v>2.1317397479303512E-2</v>
      </c>
      <c r="DQ11">
        <f t="shared" si="20"/>
        <v>2.1530243244953937E-2</v>
      </c>
      <c r="DR11">
        <f t="shared" si="21"/>
        <v>2.1749800665524687E-2</v>
      </c>
      <c r="DS11">
        <f t="shared" si="22"/>
        <v>2.1791972649562109E-2</v>
      </c>
      <c r="DT11">
        <f t="shared" si="23"/>
        <v>2.1581506546829748E-2</v>
      </c>
      <c r="DU11">
        <f t="shared" si="24"/>
        <v>2.1203140142857201E-2</v>
      </c>
      <c r="DV11">
        <f t="shared" si="25"/>
        <v>2.0810546035944944E-2</v>
      </c>
      <c r="DW11">
        <f t="shared" si="26"/>
        <v>2.0365289318328296E-2</v>
      </c>
      <c r="DX11">
        <f t="shared" si="27"/>
        <v>1.9991900096656211E-2</v>
      </c>
      <c r="DY11">
        <f t="shared" si="28"/>
        <v>1.9765421543795594E-2</v>
      </c>
      <c r="DZ11">
        <f t="shared" si="29"/>
        <v>1.9625147118051408E-2</v>
      </c>
      <c r="EA11">
        <f t="shared" si="30"/>
        <v>1.9441644942327276E-2</v>
      </c>
      <c r="EB11">
        <f t="shared" si="31"/>
        <v>1.9248456533035242E-2</v>
      </c>
      <c r="EC11">
        <f t="shared" si="32"/>
        <v>1.9002446310237963E-2</v>
      </c>
      <c r="ED11">
        <f t="shared" si="33"/>
        <v>1.8671648027342395E-2</v>
      </c>
      <c r="EE11">
        <f t="shared" si="34"/>
        <v>1.8287994414562452E-2</v>
      </c>
      <c r="EF11">
        <f t="shared" si="35"/>
        <v>1.7901332706755799E-2</v>
      </c>
      <c r="EG11">
        <f t="shared" si="36"/>
        <v>1.7484874937904626E-2</v>
      </c>
      <c r="EH11">
        <f t="shared" si="37"/>
        <v>1.7134134409428077E-2</v>
      </c>
      <c r="EI11">
        <f t="shared" si="38"/>
        <v>1.6896210013095353E-2</v>
      </c>
      <c r="EJ11">
        <f t="shared" si="39"/>
        <v>1.6716335985411796E-2</v>
      </c>
      <c r="EK11">
        <f t="shared" si="40"/>
        <v>1.651238043932499E-2</v>
      </c>
      <c r="EL11">
        <f t="shared" si="41"/>
        <v>1.6324470859745567E-2</v>
      </c>
      <c r="EM11">
        <f t="shared" si="42"/>
        <v>1.5990128219757246E-2</v>
      </c>
      <c r="EN11">
        <f t="shared" si="43"/>
        <v>1.5427782031657997E-2</v>
      </c>
      <c r="EO11">
        <f t="shared" si="44"/>
        <v>1.4724759221265031E-2</v>
      </c>
      <c r="EP11">
        <f t="shared" si="45"/>
        <v>1.4036450101309121E-2</v>
      </c>
      <c r="EQ11">
        <f t="shared" si="46"/>
        <v>1.3315663609978478E-2</v>
      </c>
      <c r="ER11">
        <f t="shared" si="47"/>
        <v>1.2714337872953719E-2</v>
      </c>
      <c r="ES11">
        <f t="shared" si="48"/>
        <v>1.2318626742782588E-2</v>
      </c>
      <c r="ET11">
        <f t="shared" si="49"/>
        <v>1.2048702583477696E-2</v>
      </c>
      <c r="EU11">
        <f t="shared" si="50"/>
        <v>1.1744809573926885E-2</v>
      </c>
      <c r="EV11">
        <f t="shared" si="51"/>
        <v>1.1446371355079109E-2</v>
      </c>
      <c r="EW11">
        <f t="shared" si="52"/>
        <v>1.1074884187922518E-2</v>
      </c>
      <c r="EX11">
        <f t="shared" si="53"/>
        <v>1.0577635187184034E-2</v>
      </c>
      <c r="EY11">
        <f t="shared" si="54"/>
        <v>1.0000131216624285E-2</v>
      </c>
      <c r="EZ11">
        <f t="shared" si="55"/>
        <v>9.4383967024441167E-3</v>
      </c>
      <c r="FA11">
        <f t="shared" si="56"/>
        <v>8.8705538281679264E-3</v>
      </c>
      <c r="FB11">
        <f t="shared" si="57"/>
        <v>8.3253009934238023E-3</v>
      </c>
      <c r="FC11">
        <f t="shared" si="58"/>
        <v>7.8256974670515983E-3</v>
      </c>
      <c r="FD11">
        <f t="shared" si="59"/>
        <v>7.3526724293276561E-3</v>
      </c>
      <c r="FE11">
        <f t="shared" si="60"/>
        <v>6.8737317506876771E-3</v>
      </c>
      <c r="FF11">
        <f t="shared" si="61"/>
        <v>6.406915622197141E-3</v>
      </c>
      <c r="FG11">
        <f t="shared" si="62"/>
        <v>5.8992849230238538E-3</v>
      </c>
      <c r="FH11">
        <f t="shared" si="63"/>
        <v>5.3249901457655818E-3</v>
      </c>
      <c r="FI11">
        <f t="shared" si="64"/>
        <v>4.7172962967065623E-3</v>
      </c>
      <c r="FJ11">
        <f t="shared" si="65"/>
        <v>4.1325108927813209E-3</v>
      </c>
      <c r="FK11">
        <f t="shared" si="66"/>
        <v>3.5559705181214939E-3</v>
      </c>
      <c r="FL11">
        <f t="shared" si="67"/>
        <v>3.0476862495552172E-3</v>
      </c>
      <c r="FM11">
        <f t="shared" si="68"/>
        <v>2.6421464412048896E-3</v>
      </c>
      <c r="FN11">
        <f t="shared" si="69"/>
        <v>2.3116246684371246E-3</v>
      </c>
      <c r="FO11">
        <f t="shared" si="70"/>
        <v>1.9945429636995665E-3</v>
      </c>
      <c r="FP11">
        <f t="shared" si="71"/>
        <v>1.7039308193781046E-3</v>
      </c>
      <c r="FQ11">
        <f t="shared" si="72"/>
        <v>1.4322721874533548E-3</v>
      </c>
      <c r="FR11">
        <f t="shared" si="73"/>
        <v>1.1698808343574125E-3</v>
      </c>
      <c r="FS11">
        <f t="shared" si="74"/>
        <v>9.2422253354097186E-4</v>
      </c>
      <c r="FT11">
        <f t="shared" si="75"/>
        <v>6.8265323097811009E-4</v>
      </c>
      <c r="FU11">
        <f t="shared" si="76"/>
        <v>4.8788117277229242E-4</v>
      </c>
      <c r="FV11">
        <f t="shared" si="77"/>
        <v>3.8211185934006891E-4</v>
      </c>
      <c r="FW11">
        <f t="shared" si="78"/>
        <v>2.9289125810214478E-4</v>
      </c>
      <c r="FX11">
        <f t="shared" si="79"/>
        <v>2.1505784667285503E-4</v>
      </c>
      <c r="FY11">
        <f t="shared" si="80"/>
        <v>1.6824384412624703E-4</v>
      </c>
      <c r="FZ11">
        <f t="shared" si="81"/>
        <v>1.4401988111170544E-4</v>
      </c>
      <c r="GA11">
        <f t="shared" si="82"/>
        <v>1.177514189703745E-4</v>
      </c>
      <c r="GB11">
        <f t="shared" si="83"/>
        <v>8.7963737020635546E-5</v>
      </c>
      <c r="GC11">
        <f t="shared" si="84"/>
        <v>5.4631697978142866E-5</v>
      </c>
      <c r="GD11">
        <f t="shared" si="85"/>
        <v>2.942738087411622E-5</v>
      </c>
      <c r="GE11">
        <f t="shared" si="86"/>
        <v>5.1405746487102221E-5</v>
      </c>
    </row>
    <row r="12" spans="1:187">
      <c r="A12" s="4">
        <v>1960</v>
      </c>
      <c r="B12" s="17">
        <v>4268.8159999999998</v>
      </c>
      <c r="C12" s="17">
        <v>4203.3220000000001</v>
      </c>
      <c r="D12" s="17">
        <v>4142.9669999999996</v>
      </c>
      <c r="E12" s="17">
        <v>4086.1480000000001</v>
      </c>
      <c r="F12" s="17">
        <v>4031.2640000000001</v>
      </c>
      <c r="G12" s="17">
        <v>3976.7109999999998</v>
      </c>
      <c r="H12" s="17">
        <v>3920.8890000000001</v>
      </c>
      <c r="I12" s="17">
        <v>3862.1950000000002</v>
      </c>
      <c r="J12" s="17">
        <v>3799.027</v>
      </c>
      <c r="K12" s="17">
        <v>3729.7820000000002</v>
      </c>
      <c r="L12" s="17">
        <v>3659.1529999999998</v>
      </c>
      <c r="M12" s="17">
        <v>3591.828</v>
      </c>
      <c r="N12" s="17">
        <v>3494.7429999999999</v>
      </c>
      <c r="O12" s="17">
        <v>3353.7109999999998</v>
      </c>
      <c r="P12" s="17">
        <v>3186.0059999999999</v>
      </c>
      <c r="Q12" s="17">
        <v>3024.2020000000002</v>
      </c>
      <c r="R12" s="17">
        <v>2863.1170000000002</v>
      </c>
      <c r="S12" s="17">
        <v>2719.0529999999999</v>
      </c>
      <c r="T12" s="17">
        <v>2603.8649999999998</v>
      </c>
      <c r="U12" s="17">
        <v>2511.5</v>
      </c>
      <c r="V12" s="17">
        <v>2422.529</v>
      </c>
      <c r="W12" s="17">
        <v>2339.0160000000001</v>
      </c>
      <c r="X12" s="17">
        <v>2278.797</v>
      </c>
      <c r="Y12" s="17">
        <v>2248.2379999999998</v>
      </c>
      <c r="Z12" s="17">
        <v>2240.56</v>
      </c>
      <c r="AA12" s="17">
        <v>2240.0300000000002</v>
      </c>
      <c r="AB12" s="17">
        <v>2246.6840000000002</v>
      </c>
      <c r="AC12" s="17">
        <v>2266.989</v>
      </c>
      <c r="AD12" s="17">
        <v>2301.5659999999998</v>
      </c>
      <c r="AE12" s="17">
        <v>2345.683</v>
      </c>
      <c r="AF12" s="17">
        <v>2392.587</v>
      </c>
      <c r="AG12" s="17">
        <v>2441.9520000000002</v>
      </c>
      <c r="AH12" s="17">
        <v>2486.2860000000001</v>
      </c>
      <c r="AI12" s="17">
        <v>2520.6060000000002</v>
      </c>
      <c r="AJ12" s="17">
        <v>2545.9070000000002</v>
      </c>
      <c r="AK12" s="17">
        <v>2570.6660000000002</v>
      </c>
      <c r="AL12" s="17">
        <v>2596.19</v>
      </c>
      <c r="AM12" s="17">
        <v>2600.3939999999998</v>
      </c>
      <c r="AN12" s="17">
        <v>2574.0839999999998</v>
      </c>
      <c r="AO12" s="17">
        <v>2527.5610000000001</v>
      </c>
      <c r="AP12" s="17">
        <v>2479.65</v>
      </c>
      <c r="AQ12" s="17">
        <v>2425.7890000000002</v>
      </c>
      <c r="AR12" s="17">
        <v>2380.4299999999998</v>
      </c>
      <c r="AS12" s="17">
        <v>2352.4169999999999</v>
      </c>
      <c r="AT12" s="17">
        <v>2334.7440000000001</v>
      </c>
      <c r="AU12" s="17">
        <v>2311.8470000000002</v>
      </c>
      <c r="AV12" s="17">
        <v>2287.1880000000001</v>
      </c>
      <c r="AW12" s="17">
        <v>2258.4810000000002</v>
      </c>
      <c r="AX12" s="17">
        <v>2223.1439999999998</v>
      </c>
      <c r="AY12" s="17">
        <v>2183.3809999999999</v>
      </c>
      <c r="AZ12" s="17">
        <v>2142.8420000000001</v>
      </c>
      <c r="BA12" s="17">
        <v>2099.4259999999999</v>
      </c>
      <c r="BB12" s="17">
        <v>2059.6219999999998</v>
      </c>
      <c r="BC12" s="17">
        <v>2026.579</v>
      </c>
      <c r="BD12" s="17">
        <v>1996.296</v>
      </c>
      <c r="BE12" s="17">
        <v>1963.6890000000001</v>
      </c>
      <c r="BF12" s="17">
        <v>1932.259</v>
      </c>
      <c r="BG12" s="17">
        <v>1886.2460000000001</v>
      </c>
      <c r="BH12" s="17">
        <v>1818.09</v>
      </c>
      <c r="BI12" s="17">
        <v>1736.278</v>
      </c>
      <c r="BJ12" s="17">
        <v>1655.37</v>
      </c>
      <c r="BK12" s="17">
        <v>1570.6590000000001</v>
      </c>
      <c r="BL12" s="17">
        <v>1498.8209999999999</v>
      </c>
      <c r="BM12" s="17">
        <v>1449.048</v>
      </c>
      <c r="BN12" s="17">
        <v>1412.722</v>
      </c>
      <c r="BO12" s="17">
        <v>1372.924</v>
      </c>
      <c r="BP12" s="17">
        <v>1334.1089999999999</v>
      </c>
      <c r="BQ12" s="17">
        <v>1286.4159999999999</v>
      </c>
      <c r="BR12" s="17">
        <v>1223.5740000000001</v>
      </c>
      <c r="BS12" s="17">
        <v>1151.2529999999999</v>
      </c>
      <c r="BT12" s="17">
        <v>1080.9079999999999</v>
      </c>
      <c r="BU12" s="17">
        <v>1009.671</v>
      </c>
      <c r="BV12" s="17">
        <v>942.91099999999994</v>
      </c>
      <c r="BW12" s="17">
        <v>884.26199999999994</v>
      </c>
      <c r="BX12" s="17">
        <v>830.50300000000004</v>
      </c>
      <c r="BY12" s="17">
        <v>776.02800000000002</v>
      </c>
      <c r="BZ12" s="17">
        <v>723.46100000000001</v>
      </c>
      <c r="CA12" s="17">
        <v>665.04600000000005</v>
      </c>
      <c r="CB12" s="17">
        <v>596.84100000000001</v>
      </c>
      <c r="CC12" s="17">
        <v>523.56200000000001</v>
      </c>
      <c r="CD12" s="17">
        <v>453.51900000000001</v>
      </c>
      <c r="CE12" s="17">
        <v>384.64699999999999</v>
      </c>
      <c r="CF12" s="17">
        <v>324.41699999999997</v>
      </c>
      <c r="CG12" s="17">
        <v>277.262</v>
      </c>
      <c r="CH12" s="17">
        <v>239.66300000000001</v>
      </c>
      <c r="CI12" s="17">
        <v>203.619</v>
      </c>
      <c r="CJ12" s="17">
        <v>170.66900000000001</v>
      </c>
      <c r="CK12" s="17">
        <v>140.62899999999999</v>
      </c>
      <c r="CL12" s="17">
        <v>112.584</v>
      </c>
      <c r="CM12" s="17">
        <v>87.061000000000007</v>
      </c>
      <c r="CN12" s="17">
        <v>61.216000000000001</v>
      </c>
      <c r="CO12" s="17">
        <v>41.808999999999997</v>
      </c>
      <c r="CP12" s="17">
        <v>33.701999999999998</v>
      </c>
      <c r="CQ12" s="17">
        <v>25.343</v>
      </c>
      <c r="CR12" s="17">
        <v>16.731999999999999</v>
      </c>
      <c r="CS12" s="17">
        <v>12.331</v>
      </c>
      <c r="CT12" s="17">
        <v>10.446</v>
      </c>
      <c r="CU12" s="17">
        <v>8.3379999999999992</v>
      </c>
      <c r="CV12" s="17">
        <v>6.0039999999999996</v>
      </c>
      <c r="CW12" s="17">
        <v>3.4470000000000001</v>
      </c>
      <c r="CX12" s="17">
        <v>6.0209999999999999</v>
      </c>
      <c r="CY12" s="3">
        <f t="shared" si="2"/>
        <v>186720.56999999989</v>
      </c>
      <c r="CZ12" s="21">
        <f t="shared" si="3"/>
        <v>120807.63599999997</v>
      </c>
      <c r="DA12">
        <f t="shared" si="4"/>
        <v>2.1553811383247336E-2</v>
      </c>
      <c r="DB12">
        <f t="shared" si="5"/>
        <v>2.0789248785565182E-2</v>
      </c>
      <c r="DC12">
        <f t="shared" si="6"/>
        <v>2.0052780438481559E-2</v>
      </c>
      <c r="DD12">
        <f t="shared" si="7"/>
        <v>1.9361491354735232E-2</v>
      </c>
      <c r="DE12">
        <f t="shared" si="8"/>
        <v>1.886302120836137E-2</v>
      </c>
      <c r="DF12">
        <f t="shared" si="9"/>
        <v>1.8610065343882737E-2</v>
      </c>
      <c r="DG12">
        <f t="shared" si="10"/>
        <v>1.8546509758704331E-2</v>
      </c>
      <c r="DH12">
        <f t="shared" si="11"/>
        <v>1.8542122618805328E-2</v>
      </c>
      <c r="DI12">
        <f t="shared" si="12"/>
        <v>1.8597201918593959E-2</v>
      </c>
      <c r="DJ12">
        <f t="shared" si="13"/>
        <v>1.8765279042460534E-2</v>
      </c>
      <c r="DK12">
        <f t="shared" si="14"/>
        <v>1.9051494393947089E-2</v>
      </c>
      <c r="DL12">
        <f t="shared" si="15"/>
        <v>1.9416678263615726E-2</v>
      </c>
      <c r="DM12">
        <f t="shared" si="16"/>
        <v>1.9804931867055165E-2</v>
      </c>
      <c r="DN12">
        <f t="shared" si="17"/>
        <v>2.0213556699346397E-2</v>
      </c>
      <c r="DO12">
        <f t="shared" si="18"/>
        <v>2.0580536813086886E-2</v>
      </c>
      <c r="DP12">
        <f t="shared" si="19"/>
        <v>2.0864624815603552E-2</v>
      </c>
      <c r="DQ12">
        <f t="shared" si="20"/>
        <v>2.107405694123508E-2</v>
      </c>
      <c r="DR12">
        <f t="shared" si="21"/>
        <v>2.1279002595498191E-2</v>
      </c>
      <c r="DS12">
        <f t="shared" si="22"/>
        <v>2.1490280630936283E-2</v>
      </c>
      <c r="DT12">
        <f t="shared" si="23"/>
        <v>2.1525079755720079E-2</v>
      </c>
      <c r="DU12">
        <f t="shared" si="24"/>
        <v>2.1307295509035543E-2</v>
      </c>
      <c r="DV12">
        <f t="shared" si="25"/>
        <v>2.0922195679749921E-2</v>
      </c>
      <c r="DW12">
        <f t="shared" si="26"/>
        <v>2.0525606510502371E-2</v>
      </c>
      <c r="DX12">
        <f t="shared" si="27"/>
        <v>2.0079765487671663E-2</v>
      </c>
      <c r="DY12">
        <f t="shared" si="28"/>
        <v>1.9704300810918944E-2</v>
      </c>
      <c r="DZ12">
        <f t="shared" si="29"/>
        <v>1.9472419773200432E-2</v>
      </c>
      <c r="EA12">
        <f t="shared" si="30"/>
        <v>1.9326129351624765E-2</v>
      </c>
      <c r="EB12">
        <f t="shared" si="31"/>
        <v>1.9136596630365325E-2</v>
      </c>
      <c r="EC12">
        <f t="shared" si="32"/>
        <v>1.8932478738347306E-2</v>
      </c>
      <c r="ED12">
        <f t="shared" si="33"/>
        <v>1.8694853030647836E-2</v>
      </c>
      <c r="EE12">
        <f t="shared" si="34"/>
        <v>1.8402346686098553E-2</v>
      </c>
      <c r="EF12">
        <f t="shared" si="35"/>
        <v>1.8073203584581362E-2</v>
      </c>
      <c r="EG12">
        <f t="shared" si="36"/>
        <v>1.7737637048042234E-2</v>
      </c>
      <c r="EH12">
        <f t="shared" si="37"/>
        <v>1.7378255791711712E-2</v>
      </c>
      <c r="EI12">
        <f t="shared" si="38"/>
        <v>1.7048773307674032E-2</v>
      </c>
      <c r="EJ12">
        <f t="shared" si="39"/>
        <v>1.6775255829027235E-2</v>
      </c>
      <c r="EK12">
        <f t="shared" si="40"/>
        <v>1.6524584588345066E-2</v>
      </c>
      <c r="EL12">
        <f t="shared" si="41"/>
        <v>1.6254676153086883E-2</v>
      </c>
      <c r="EM12">
        <f t="shared" si="42"/>
        <v>1.5994510479453473E-2</v>
      </c>
      <c r="EN12">
        <f t="shared" si="43"/>
        <v>1.5613632237617832E-2</v>
      </c>
      <c r="EO12">
        <f t="shared" si="44"/>
        <v>1.5049462601850767E-2</v>
      </c>
      <c r="EP12">
        <f t="shared" si="45"/>
        <v>1.4372253753893508E-2</v>
      </c>
      <c r="EQ12">
        <f t="shared" si="46"/>
        <v>1.3702527876631907E-2</v>
      </c>
      <c r="ER12">
        <f t="shared" si="47"/>
        <v>1.300132220118934E-2</v>
      </c>
      <c r="ES12">
        <f t="shared" si="48"/>
        <v>1.2406674359557871E-2</v>
      </c>
      <c r="ET12">
        <f t="shared" si="49"/>
        <v>1.1994672257306651E-2</v>
      </c>
      <c r="EU12">
        <f t="shared" si="50"/>
        <v>1.1693979344153381E-2</v>
      </c>
      <c r="EV12">
        <f t="shared" si="51"/>
        <v>1.1364546525850405E-2</v>
      </c>
      <c r="EW12">
        <f t="shared" si="52"/>
        <v>1.1043250610416715E-2</v>
      </c>
      <c r="EX12">
        <f t="shared" si="53"/>
        <v>1.0648465962863476E-2</v>
      </c>
      <c r="EY12">
        <f t="shared" si="54"/>
        <v>1.012828361280077E-2</v>
      </c>
      <c r="EZ12">
        <f t="shared" si="55"/>
        <v>9.529637679525492E-3</v>
      </c>
      <c r="FA12">
        <f t="shared" si="56"/>
        <v>8.9473483282132941E-3</v>
      </c>
      <c r="FB12">
        <f t="shared" si="57"/>
        <v>8.3576753376748501E-3</v>
      </c>
      <c r="FC12">
        <f t="shared" si="58"/>
        <v>7.8050612628493138E-3</v>
      </c>
      <c r="FD12">
        <f t="shared" si="59"/>
        <v>7.3195869837234476E-3</v>
      </c>
      <c r="FE12">
        <f t="shared" si="60"/>
        <v>6.874590278382736E-3</v>
      </c>
      <c r="FF12">
        <f t="shared" si="61"/>
        <v>6.4236667953671426E-3</v>
      </c>
      <c r="FG12">
        <f t="shared" si="62"/>
        <v>5.9885370159879648E-3</v>
      </c>
      <c r="FH12">
        <f t="shared" si="63"/>
        <v>5.5049997005156212E-3</v>
      </c>
      <c r="FI12">
        <f t="shared" si="64"/>
        <v>4.940424461248461E-3</v>
      </c>
      <c r="FJ12">
        <f t="shared" si="65"/>
        <v>4.3338485656651713E-3</v>
      </c>
      <c r="FK12">
        <f t="shared" si="66"/>
        <v>3.7540590563331618E-3</v>
      </c>
      <c r="FL12">
        <f t="shared" si="67"/>
        <v>3.1839626428912166E-3</v>
      </c>
      <c r="FM12">
        <f t="shared" si="68"/>
        <v>2.685401442670396E-3</v>
      </c>
      <c r="FN12">
        <f t="shared" si="69"/>
        <v>2.295070155995769E-3</v>
      </c>
      <c r="FO12">
        <f t="shared" si="70"/>
        <v>1.9838398294624361E-3</v>
      </c>
      <c r="FP12">
        <f t="shared" si="71"/>
        <v>1.6854812058403332E-3</v>
      </c>
      <c r="FQ12">
        <f t="shared" si="72"/>
        <v>1.412733546081475E-3</v>
      </c>
      <c r="FR12">
        <f t="shared" si="73"/>
        <v>1.1640737676548859E-3</v>
      </c>
      <c r="FS12">
        <f t="shared" si="74"/>
        <v>9.3192784601794573E-4</v>
      </c>
      <c r="FT12">
        <f t="shared" si="75"/>
        <v>7.2065808820230559E-4</v>
      </c>
      <c r="FU12">
        <f t="shared" si="76"/>
        <v>5.0672293595745903E-4</v>
      </c>
      <c r="FV12">
        <f t="shared" si="77"/>
        <v>3.4607911705183942E-4</v>
      </c>
      <c r="FW12">
        <f t="shared" si="78"/>
        <v>2.7897243184197402E-4</v>
      </c>
      <c r="FX12">
        <f t="shared" si="79"/>
        <v>2.0977978577446882E-4</v>
      </c>
      <c r="FY12">
        <f t="shared" si="80"/>
        <v>1.3850117884932375E-4</v>
      </c>
      <c r="FZ12">
        <f t="shared" si="81"/>
        <v>1.0207136244268535E-4</v>
      </c>
      <c r="GA12">
        <f t="shared" si="82"/>
        <v>8.6468044122641412E-5</v>
      </c>
      <c r="GB12">
        <f t="shared" si="83"/>
        <v>6.9018815996035223E-5</v>
      </c>
      <c r="GC12">
        <f t="shared" si="84"/>
        <v>4.9698845195513977E-5</v>
      </c>
      <c r="GD12">
        <f t="shared" si="85"/>
        <v>2.8532964588430493E-5</v>
      </c>
      <c r="GE12">
        <f t="shared" si="86"/>
        <v>4.9839564777180157E-5</v>
      </c>
    </row>
    <row r="13" spans="1:187">
      <c r="A13" s="4">
        <v>1961</v>
      </c>
      <c r="B13" s="17">
        <v>4217.9269999999997</v>
      </c>
      <c r="C13" s="17">
        <v>4252.7169999999996</v>
      </c>
      <c r="D13" s="17">
        <v>4202.7240000000002</v>
      </c>
      <c r="E13" s="17">
        <v>4152.2520000000004</v>
      </c>
      <c r="F13" s="17">
        <v>4100.5969999999998</v>
      </c>
      <c r="G13" s="17">
        <v>4047.0549999999998</v>
      </c>
      <c r="H13" s="17">
        <v>3990.1509999999998</v>
      </c>
      <c r="I13" s="17">
        <v>3928.4079999999999</v>
      </c>
      <c r="J13" s="17">
        <v>3864.9810000000002</v>
      </c>
      <c r="K13" s="17">
        <v>3800.7080000000001</v>
      </c>
      <c r="L13" s="17">
        <v>3732.5720000000001</v>
      </c>
      <c r="M13" s="17">
        <v>3661.317</v>
      </c>
      <c r="N13" s="17">
        <v>3592.326</v>
      </c>
      <c r="O13" s="17">
        <v>3494.4789999999998</v>
      </c>
      <c r="P13" s="17">
        <v>3354.1370000000002</v>
      </c>
      <c r="Q13" s="17">
        <v>3188.0709999999999</v>
      </c>
      <c r="R13" s="17">
        <v>3027.7280000000001</v>
      </c>
      <c r="S13" s="17">
        <v>2868.0590000000002</v>
      </c>
      <c r="T13" s="17">
        <v>2725.4479999999999</v>
      </c>
      <c r="U13" s="17">
        <v>2611.6469999999999</v>
      </c>
      <c r="V13" s="17">
        <v>2520.5459999999998</v>
      </c>
      <c r="W13" s="17">
        <v>2432.8270000000002</v>
      </c>
      <c r="X13" s="17">
        <v>2350.6080000000002</v>
      </c>
      <c r="Y13" s="17">
        <v>2290.9459999999999</v>
      </c>
      <c r="Z13" s="17">
        <v>2259.8589999999999</v>
      </c>
      <c r="AA13" s="17">
        <v>2250.9110000000001</v>
      </c>
      <c r="AB13" s="17">
        <v>2249.0949999999998</v>
      </c>
      <c r="AC13" s="17">
        <v>2254.3560000000002</v>
      </c>
      <c r="AD13" s="17">
        <v>2273.1880000000001</v>
      </c>
      <c r="AE13" s="17">
        <v>2306.317</v>
      </c>
      <c r="AF13" s="17">
        <v>2349.011</v>
      </c>
      <c r="AG13" s="17">
        <v>2394.3829999999998</v>
      </c>
      <c r="AH13" s="17">
        <v>2442.0940000000001</v>
      </c>
      <c r="AI13" s="17">
        <v>2485.0909999999999</v>
      </c>
      <c r="AJ13" s="17">
        <v>2518.5859999999998</v>
      </c>
      <c r="AK13" s="17">
        <v>2543.3890000000001</v>
      </c>
      <c r="AL13" s="17">
        <v>2567.5839999999998</v>
      </c>
      <c r="AM13" s="17">
        <v>2592.5340000000001</v>
      </c>
      <c r="AN13" s="17">
        <v>2596.125</v>
      </c>
      <c r="AO13" s="17">
        <v>2569.0990000000002</v>
      </c>
      <c r="AP13" s="17">
        <v>2521.768</v>
      </c>
      <c r="AQ13" s="17">
        <v>2473.134</v>
      </c>
      <c r="AR13" s="17">
        <v>2418.7150000000001</v>
      </c>
      <c r="AS13" s="17">
        <v>2372.3429999999998</v>
      </c>
      <c r="AT13" s="17">
        <v>2342.61</v>
      </c>
      <c r="AU13" s="17">
        <v>2322.8409999999999</v>
      </c>
      <c r="AV13" s="17">
        <v>2297.8009999999999</v>
      </c>
      <c r="AW13" s="17">
        <v>2270.5639999999999</v>
      </c>
      <c r="AX13" s="17">
        <v>2240.6579999999999</v>
      </c>
      <c r="AY13" s="17">
        <v>2206.3290000000002</v>
      </c>
      <c r="AZ13" s="17">
        <v>2168.7860000000001</v>
      </c>
      <c r="BA13" s="17">
        <v>2130.212</v>
      </c>
      <c r="BB13" s="17">
        <v>2089.241</v>
      </c>
      <c r="BC13" s="17">
        <v>2049.3049999999998</v>
      </c>
      <c r="BD13" s="17">
        <v>2012.0309999999999</v>
      </c>
      <c r="BE13" s="17">
        <v>1975.0409999999999</v>
      </c>
      <c r="BF13" s="17">
        <v>1936.1679999999999</v>
      </c>
      <c r="BG13" s="17">
        <v>1898.0509999999999</v>
      </c>
      <c r="BH13" s="17">
        <v>1847.65</v>
      </c>
      <c r="BI13" s="17">
        <v>1778.9649999999999</v>
      </c>
      <c r="BJ13" s="17">
        <v>1699.056</v>
      </c>
      <c r="BK13" s="17">
        <v>1619.6020000000001</v>
      </c>
      <c r="BL13" s="17">
        <v>1536.604</v>
      </c>
      <c r="BM13" s="17">
        <v>1465.393</v>
      </c>
      <c r="BN13" s="17">
        <v>1414.248</v>
      </c>
      <c r="BO13" s="17">
        <v>1375.3420000000001</v>
      </c>
      <c r="BP13" s="17">
        <v>1333.373</v>
      </c>
      <c r="BQ13" s="17">
        <v>1292.366</v>
      </c>
      <c r="BR13" s="17">
        <v>1243.2070000000001</v>
      </c>
      <c r="BS13" s="17">
        <v>1180.1289999999999</v>
      </c>
      <c r="BT13" s="17">
        <v>1108.319</v>
      </c>
      <c r="BU13" s="17">
        <v>1038.4559999999999</v>
      </c>
      <c r="BV13" s="17">
        <v>968.07799999999997</v>
      </c>
      <c r="BW13" s="17">
        <v>901.18499999999995</v>
      </c>
      <c r="BX13" s="17">
        <v>840.73800000000006</v>
      </c>
      <c r="BY13" s="17">
        <v>784.30899999999997</v>
      </c>
      <c r="BZ13" s="17">
        <v>727.59799999999996</v>
      </c>
      <c r="CA13" s="17">
        <v>672.77</v>
      </c>
      <c r="CB13" s="17">
        <v>613.83699999999999</v>
      </c>
      <c r="CC13" s="17">
        <v>547.81600000000003</v>
      </c>
      <c r="CD13" s="17">
        <v>478.505</v>
      </c>
      <c r="CE13" s="17">
        <v>412.33800000000002</v>
      </c>
      <c r="CF13" s="17">
        <v>347.601</v>
      </c>
      <c r="CG13" s="17">
        <v>291.23200000000003</v>
      </c>
      <c r="CH13" s="17">
        <v>247.19900000000001</v>
      </c>
      <c r="CI13" s="17">
        <v>212.262</v>
      </c>
      <c r="CJ13" s="17">
        <v>178.589</v>
      </c>
      <c r="CK13" s="17">
        <v>148.89500000000001</v>
      </c>
      <c r="CL13" s="17">
        <v>122.631</v>
      </c>
      <c r="CM13" s="17">
        <v>97.528999999999996</v>
      </c>
      <c r="CN13" s="17">
        <v>74.009</v>
      </c>
      <c r="CO13" s="17">
        <v>51.5</v>
      </c>
      <c r="CP13" s="17">
        <v>35.520000000000003</v>
      </c>
      <c r="CQ13" s="17">
        <v>28.568000000000001</v>
      </c>
      <c r="CR13" s="17">
        <v>21.402999999999999</v>
      </c>
      <c r="CS13" s="17">
        <v>14.023999999999999</v>
      </c>
      <c r="CT13" s="17">
        <v>10.281000000000001</v>
      </c>
      <c r="CU13" s="17">
        <v>8.1519999999999992</v>
      </c>
      <c r="CV13" s="17">
        <v>5.8449999999999998</v>
      </c>
      <c r="CW13" s="17">
        <v>3.359</v>
      </c>
      <c r="CX13" s="17">
        <v>5.9160000000000004</v>
      </c>
      <c r="CY13" s="3">
        <f t="shared" si="2"/>
        <v>189569.84999999986</v>
      </c>
      <c r="CZ13" s="21">
        <f t="shared" si="3"/>
        <v>122093.64100000002</v>
      </c>
      <c r="DA13">
        <f t="shared" si="4"/>
        <v>2.2322604008508513E-2</v>
      </c>
      <c r="DB13">
        <f t="shared" si="5"/>
        <v>2.1390524343524162E-2</v>
      </c>
      <c r="DC13">
        <f t="shared" si="6"/>
        <v>2.0644367547364727E-2</v>
      </c>
      <c r="DD13">
        <f t="shared" si="7"/>
        <v>1.9925910801529785E-2</v>
      </c>
      <c r="DE13">
        <f t="shared" si="8"/>
        <v>1.9252501446819822E-2</v>
      </c>
      <c r="DF13">
        <f t="shared" si="9"/>
        <v>1.8763843728765526E-2</v>
      </c>
      <c r="DG13">
        <f t="shared" si="10"/>
        <v>1.8509227683692384E-2</v>
      </c>
      <c r="DH13">
        <f t="shared" si="11"/>
        <v>1.8435939673549416E-2</v>
      </c>
      <c r="DI13">
        <f t="shared" si="12"/>
        <v>1.8421065844043422E-2</v>
      </c>
      <c r="DJ13">
        <f t="shared" si="13"/>
        <v>1.8464155721263156E-2</v>
      </c>
      <c r="DK13">
        <f t="shared" si="14"/>
        <v>1.8618397988475088E-2</v>
      </c>
      <c r="DL13">
        <f t="shared" si="15"/>
        <v>1.8889738901307723E-2</v>
      </c>
      <c r="DM13">
        <f t="shared" si="16"/>
        <v>1.9239421322524076E-2</v>
      </c>
      <c r="DN13">
        <f t="shared" si="17"/>
        <v>1.9611037728000914E-2</v>
      </c>
      <c r="DO13">
        <f t="shared" si="18"/>
        <v>2.0001811560358001E-2</v>
      </c>
      <c r="DP13">
        <f t="shared" si="19"/>
        <v>2.0353975683303601E-2</v>
      </c>
      <c r="DQ13">
        <f t="shared" si="20"/>
        <v>2.0628314295254732E-2</v>
      </c>
      <c r="DR13">
        <f t="shared" si="21"/>
        <v>2.08314616483589E-2</v>
      </c>
      <c r="DS13">
        <f t="shared" si="22"/>
        <v>2.1029629217135064E-2</v>
      </c>
      <c r="DT13">
        <f t="shared" si="23"/>
        <v>2.1233980564147478E-2</v>
      </c>
      <c r="DU13">
        <f t="shared" si="24"/>
        <v>2.1263392415334714E-2</v>
      </c>
      <c r="DV13">
        <f t="shared" si="25"/>
        <v>2.104203772578131E-2</v>
      </c>
      <c r="DW13">
        <f t="shared" si="26"/>
        <v>2.0654376258629224E-2</v>
      </c>
      <c r="DX13">
        <f t="shared" si="27"/>
        <v>2.0256042654997895E-2</v>
      </c>
      <c r="DY13">
        <f t="shared" si="28"/>
        <v>1.9810327386337832E-2</v>
      </c>
      <c r="DZ13">
        <f t="shared" si="29"/>
        <v>1.9430520546110993E-2</v>
      </c>
      <c r="EA13">
        <f t="shared" si="30"/>
        <v>1.9186994349689349E-2</v>
      </c>
      <c r="EB13">
        <f t="shared" si="31"/>
        <v>1.9025077645116666E-2</v>
      </c>
      <c r="EC13">
        <f t="shared" si="32"/>
        <v>1.8819989158976754E-2</v>
      </c>
      <c r="ED13">
        <f t="shared" si="33"/>
        <v>1.8596906287691096E-2</v>
      </c>
      <c r="EE13">
        <f t="shared" si="34"/>
        <v>1.8351963146057703E-2</v>
      </c>
      <c r="EF13">
        <f t="shared" si="35"/>
        <v>1.8070793711525073E-2</v>
      </c>
      <c r="EG13">
        <f t="shared" si="36"/>
        <v>1.7763300219705954E-2</v>
      </c>
      <c r="EH13">
        <f t="shared" si="37"/>
        <v>1.7447362389659587E-2</v>
      </c>
      <c r="EI13">
        <f t="shared" si="38"/>
        <v>1.711179208751748E-2</v>
      </c>
      <c r="EJ13">
        <f t="shared" si="39"/>
        <v>1.6784698885341617E-2</v>
      </c>
      <c r="EK13">
        <f t="shared" si="40"/>
        <v>1.6479408620470249E-2</v>
      </c>
      <c r="EL13">
        <f t="shared" si="41"/>
        <v>1.6176444439067877E-2</v>
      </c>
      <c r="EM13">
        <f t="shared" si="42"/>
        <v>1.5858057669031263E-2</v>
      </c>
      <c r="EN13">
        <f t="shared" si="43"/>
        <v>1.5545862867665645E-2</v>
      </c>
      <c r="EO13">
        <f t="shared" si="44"/>
        <v>1.5133056765831071E-2</v>
      </c>
      <c r="EP13">
        <f t="shared" si="45"/>
        <v>1.4570496755027558E-2</v>
      </c>
      <c r="EQ13">
        <f t="shared" si="46"/>
        <v>1.3916007304590087E-2</v>
      </c>
      <c r="ER13">
        <f t="shared" si="47"/>
        <v>1.3265244501963864E-2</v>
      </c>
      <c r="ES13">
        <f t="shared" si="48"/>
        <v>1.2585454798583653E-2</v>
      </c>
      <c r="ET13">
        <f t="shared" si="49"/>
        <v>1.200220574960165E-2</v>
      </c>
      <c r="EU13">
        <f t="shared" si="50"/>
        <v>1.1583305964313079E-2</v>
      </c>
      <c r="EV13">
        <f t="shared" si="51"/>
        <v>1.1264648909929715E-2</v>
      </c>
      <c r="EW13">
        <f t="shared" si="52"/>
        <v>1.092090455390711E-2</v>
      </c>
      <c r="EX13">
        <f t="shared" si="53"/>
        <v>1.0585039396114002E-2</v>
      </c>
      <c r="EY13">
        <f t="shared" si="54"/>
        <v>1.0182405814238925E-2</v>
      </c>
      <c r="EZ13">
        <f t="shared" si="55"/>
        <v>9.6657695710786421E-3</v>
      </c>
      <c r="FA13">
        <f t="shared" si="56"/>
        <v>9.0776144516813932E-3</v>
      </c>
      <c r="FB13">
        <f t="shared" si="57"/>
        <v>8.505406108742385E-3</v>
      </c>
      <c r="FC13">
        <f t="shared" si="58"/>
        <v>7.9289796919071315E-3</v>
      </c>
      <c r="FD13">
        <f t="shared" si="59"/>
        <v>7.3810969401756138E-3</v>
      </c>
      <c r="FE13">
        <f t="shared" si="60"/>
        <v>6.8860097308425751E-3</v>
      </c>
      <c r="FF13">
        <f t="shared" si="61"/>
        <v>6.4238316883350206E-3</v>
      </c>
      <c r="FG13">
        <f t="shared" si="62"/>
        <v>5.9593439432279677E-3</v>
      </c>
      <c r="FH13">
        <f t="shared" si="63"/>
        <v>5.5102787867551588E-3</v>
      </c>
      <c r="FI13">
        <f t="shared" si="64"/>
        <v>5.0275918956336138E-3</v>
      </c>
      <c r="FJ13">
        <f t="shared" si="65"/>
        <v>4.4868512030040936E-3</v>
      </c>
      <c r="FK13">
        <f t="shared" si="66"/>
        <v>3.919163980047085E-3</v>
      </c>
      <c r="FL13">
        <f t="shared" si="67"/>
        <v>3.3772274839440654E-3</v>
      </c>
      <c r="FM13">
        <f t="shared" si="68"/>
        <v>2.8470033095335402E-3</v>
      </c>
      <c r="FN13">
        <f t="shared" si="69"/>
        <v>2.3853166931109867E-3</v>
      </c>
      <c r="FO13">
        <f t="shared" si="70"/>
        <v>2.02466727976439E-3</v>
      </c>
      <c r="FP13">
        <f t="shared" si="71"/>
        <v>1.7385180609037613E-3</v>
      </c>
      <c r="FQ13">
        <f t="shared" si="72"/>
        <v>1.4627215515671285E-3</v>
      </c>
      <c r="FR13">
        <f t="shared" si="73"/>
        <v>1.2195147821007319E-3</v>
      </c>
      <c r="FS13">
        <f t="shared" si="74"/>
        <v>1.0044012038268233E-3</v>
      </c>
      <c r="FT13">
        <f t="shared" si="75"/>
        <v>7.9880491073241057E-4</v>
      </c>
      <c r="FU13">
        <f t="shared" si="76"/>
        <v>6.0616588541249244E-4</v>
      </c>
      <c r="FV13">
        <f t="shared" si="77"/>
        <v>4.2180738962482075E-4</v>
      </c>
      <c r="FW13">
        <f t="shared" si="78"/>
        <v>2.9092424231987643E-4</v>
      </c>
      <c r="FX13">
        <f t="shared" si="79"/>
        <v>2.339843399379006E-4</v>
      </c>
      <c r="FY13">
        <f t="shared" si="80"/>
        <v>1.7529987495417551E-4</v>
      </c>
      <c r="FZ13">
        <f t="shared" si="81"/>
        <v>1.1486265693395119E-4</v>
      </c>
      <c r="GA13">
        <f t="shared" si="82"/>
        <v>8.4205859664714222E-5</v>
      </c>
      <c r="GB13">
        <f t="shared" si="83"/>
        <v>6.6768424081971629E-5</v>
      </c>
      <c r="GC13">
        <f t="shared" si="84"/>
        <v>4.787309111372966E-5</v>
      </c>
      <c r="GD13">
        <f t="shared" si="85"/>
        <v>2.7511670325238311E-5</v>
      </c>
      <c r="GE13">
        <f t="shared" si="86"/>
        <v>4.8454611980979416E-5</v>
      </c>
    </row>
    <row r="14" spans="1:187">
      <c r="A14" s="4">
        <v>1962</v>
      </c>
      <c r="B14" s="17">
        <v>4115.5020000000004</v>
      </c>
      <c r="C14" s="17">
        <v>4128.8050000000003</v>
      </c>
      <c r="D14" s="17">
        <v>4238.567</v>
      </c>
      <c r="E14" s="17">
        <v>4204.0540000000001</v>
      </c>
      <c r="F14" s="17">
        <v>4163.4449999999997</v>
      </c>
      <c r="G14" s="17">
        <v>4116.9319999999998</v>
      </c>
      <c r="H14" s="17">
        <v>4064.7089999999998</v>
      </c>
      <c r="I14" s="17">
        <v>4005.4259999999999</v>
      </c>
      <c r="J14" s="17">
        <v>3937.7330000000002</v>
      </c>
      <c r="K14" s="17">
        <v>3869.5410000000002</v>
      </c>
      <c r="L14" s="17">
        <v>3804.1350000000002</v>
      </c>
      <c r="M14" s="17">
        <v>3737.0749999999998</v>
      </c>
      <c r="N14" s="17">
        <v>3665.165</v>
      </c>
      <c r="O14" s="17">
        <v>3594.473</v>
      </c>
      <c r="P14" s="17">
        <v>3495.819</v>
      </c>
      <c r="Q14" s="17">
        <v>3356.1030000000001</v>
      </c>
      <c r="R14" s="17">
        <v>3191.6</v>
      </c>
      <c r="S14" s="17">
        <v>3032.6419999999998</v>
      </c>
      <c r="T14" s="17">
        <v>2874.3150000000001</v>
      </c>
      <c r="U14" s="17">
        <v>2733.0920000000001</v>
      </c>
      <c r="V14" s="17">
        <v>2620.6260000000002</v>
      </c>
      <c r="W14" s="17">
        <v>2530.748</v>
      </c>
      <c r="X14" s="17">
        <v>2444.241</v>
      </c>
      <c r="Y14" s="17">
        <v>2363.2739999999999</v>
      </c>
      <c r="Z14" s="17">
        <v>2304.145</v>
      </c>
      <c r="AA14" s="17">
        <v>2272.5169999999998</v>
      </c>
      <c r="AB14" s="17">
        <v>2262.2919999999999</v>
      </c>
      <c r="AC14" s="17">
        <v>2259.192</v>
      </c>
      <c r="AD14" s="17">
        <v>2263.0630000000001</v>
      </c>
      <c r="AE14" s="17">
        <v>2280.4299999999998</v>
      </c>
      <c r="AF14" s="17">
        <v>2312.125</v>
      </c>
      <c r="AG14" s="17">
        <v>2353.415</v>
      </c>
      <c r="AH14" s="17">
        <v>2397.2730000000001</v>
      </c>
      <c r="AI14" s="17">
        <v>2443.3510000000001</v>
      </c>
      <c r="AJ14" s="17">
        <v>2485.0300000000002</v>
      </c>
      <c r="AK14" s="17">
        <v>2517.7150000000001</v>
      </c>
      <c r="AL14" s="17">
        <v>2542.0320000000002</v>
      </c>
      <c r="AM14" s="17">
        <v>2565.6729999999998</v>
      </c>
      <c r="AN14" s="17">
        <v>2590.06</v>
      </c>
      <c r="AO14" s="17">
        <v>2593.038</v>
      </c>
      <c r="AP14" s="17">
        <v>2565.2840000000001</v>
      </c>
      <c r="AQ14" s="17">
        <v>2517.1239999999998</v>
      </c>
      <c r="AR14" s="17">
        <v>2467.7420000000002</v>
      </c>
      <c r="AS14" s="17">
        <v>2412.7399999999998</v>
      </c>
      <c r="AT14" s="17">
        <v>2365.335</v>
      </c>
      <c r="AU14" s="17">
        <v>2333.866</v>
      </c>
      <c r="AV14" s="17">
        <v>2311.9940000000001</v>
      </c>
      <c r="AW14" s="17">
        <v>2284.797</v>
      </c>
      <c r="AX14" s="17">
        <v>2254.9699999999998</v>
      </c>
      <c r="AY14" s="17">
        <v>2223.8490000000002</v>
      </c>
      <c r="AZ14" s="17">
        <v>2190.5129999999999</v>
      </c>
      <c r="BA14" s="17">
        <v>2155.172</v>
      </c>
      <c r="BB14" s="17">
        <v>2118.5479999999998</v>
      </c>
      <c r="BC14" s="17">
        <v>2080</v>
      </c>
      <c r="BD14" s="17">
        <v>2039.915</v>
      </c>
      <c r="BE14" s="17">
        <v>1998.39</v>
      </c>
      <c r="BF14" s="17">
        <v>1954.673</v>
      </c>
      <c r="BG14" s="17">
        <v>1909.5160000000001</v>
      </c>
      <c r="BH14" s="17">
        <v>1864.692</v>
      </c>
      <c r="BI14" s="17">
        <v>1809.8789999999999</v>
      </c>
      <c r="BJ14" s="17">
        <v>1740.633</v>
      </c>
      <c r="BK14" s="17">
        <v>1662.5889999999999</v>
      </c>
      <c r="BL14" s="17">
        <v>1584.5530000000001</v>
      </c>
      <c r="BM14" s="17">
        <v>1503.2280000000001</v>
      </c>
      <c r="BN14" s="17">
        <v>1432.6120000000001</v>
      </c>
      <c r="BO14" s="17">
        <v>1380.0719999999999</v>
      </c>
      <c r="BP14" s="17">
        <v>1338.567</v>
      </c>
      <c r="BQ14" s="17">
        <v>1294.4069999999999</v>
      </c>
      <c r="BR14" s="17">
        <v>1251.1880000000001</v>
      </c>
      <c r="BS14" s="17">
        <v>1200.5409999999999</v>
      </c>
      <c r="BT14" s="17">
        <v>1137.1990000000001</v>
      </c>
      <c r="BU14" s="17">
        <v>1065.867</v>
      </c>
      <c r="BV14" s="17">
        <v>996.45500000000004</v>
      </c>
      <c r="BW14" s="17">
        <v>926.90200000000004</v>
      </c>
      <c r="BX14" s="17">
        <v>859.84699999999998</v>
      </c>
      <c r="BY14" s="17">
        <v>797.57299999999998</v>
      </c>
      <c r="BZ14" s="17">
        <v>738.44799999999998</v>
      </c>
      <c r="CA14" s="17">
        <v>679.476</v>
      </c>
      <c r="CB14" s="17">
        <v>622.35799999999995</v>
      </c>
      <c r="CC14" s="17">
        <v>562.88300000000004</v>
      </c>
      <c r="CD14" s="17">
        <v>499.01499999999999</v>
      </c>
      <c r="CE14" s="17">
        <v>433.64400000000001</v>
      </c>
      <c r="CF14" s="17">
        <v>371.32400000000001</v>
      </c>
      <c r="CG14" s="17">
        <v>310.69600000000003</v>
      </c>
      <c r="CH14" s="17">
        <v>258.16300000000001</v>
      </c>
      <c r="CI14" s="17">
        <v>217.233</v>
      </c>
      <c r="CJ14" s="17">
        <v>184.94499999999999</v>
      </c>
      <c r="CK14" s="17">
        <v>153.62899999999999</v>
      </c>
      <c r="CL14" s="17">
        <v>127.179</v>
      </c>
      <c r="CM14" s="17">
        <v>104.68</v>
      </c>
      <c r="CN14" s="17">
        <v>82.51</v>
      </c>
      <c r="CO14" s="17">
        <v>60.984000000000002</v>
      </c>
      <c r="CP14" s="17">
        <v>41.802</v>
      </c>
      <c r="CQ14" s="17">
        <v>29.244</v>
      </c>
      <c r="CR14" s="17">
        <v>23.443999999999999</v>
      </c>
      <c r="CS14" s="17">
        <v>17.47</v>
      </c>
      <c r="CT14" s="17">
        <v>11.321999999999999</v>
      </c>
      <c r="CU14" s="17">
        <v>7.9409999999999998</v>
      </c>
      <c r="CV14" s="17">
        <v>5.6639999999999997</v>
      </c>
      <c r="CW14" s="17">
        <v>3.2639999999999998</v>
      </c>
      <c r="CX14" s="17">
        <v>5.8239999999999998</v>
      </c>
      <c r="CY14" s="3">
        <f>SUM(B14:CX14)</f>
        <v>192313.74699999997</v>
      </c>
      <c r="CZ14" s="21">
        <f t="shared" si="3"/>
        <v>123592.02099999995</v>
      </c>
      <c r="DA14">
        <f t="shared" si="4"/>
        <v>2.3256477050407658E-2</v>
      </c>
      <c r="DB14">
        <f t="shared" si="5"/>
        <v>2.2113822380168062E-2</v>
      </c>
      <c r="DC14">
        <f t="shared" si="6"/>
        <v>2.1203844542682908E-2</v>
      </c>
      <c r="DD14">
        <f t="shared" si="7"/>
        <v>2.0476629312502308E-2</v>
      </c>
      <c r="DE14">
        <f t="shared" si="8"/>
        <v>1.9776689305857381E-2</v>
      </c>
      <c r="DF14">
        <f t="shared" si="9"/>
        <v>1.9121574199357099E-2</v>
      </c>
      <c r="DG14">
        <f t="shared" si="10"/>
        <v>1.8643153347253711E-2</v>
      </c>
      <c r="DH14">
        <f t="shared" si="11"/>
        <v>1.8387246859568714E-2</v>
      </c>
      <c r="DI14">
        <f t="shared" si="12"/>
        <v>1.8304514981594168E-2</v>
      </c>
      <c r="DJ14">
        <f t="shared" si="13"/>
        <v>1.8279432456242469E-2</v>
      </c>
      <c r="DK14">
        <f t="shared" si="14"/>
        <v>1.8310753248383251E-2</v>
      </c>
      <c r="DL14">
        <f t="shared" si="15"/>
        <v>1.8451272028313224E-2</v>
      </c>
      <c r="DM14">
        <f t="shared" si="16"/>
        <v>1.8707720622191306E-2</v>
      </c>
      <c r="DN14">
        <f t="shared" si="17"/>
        <v>1.9041803677601492E-2</v>
      </c>
      <c r="DO14">
        <f t="shared" si="18"/>
        <v>1.9396664773367538E-2</v>
      </c>
      <c r="DP14">
        <f t="shared" si="19"/>
        <v>1.9769488193740282E-2</v>
      </c>
      <c r="DQ14">
        <f t="shared" si="20"/>
        <v>2.0106718701525247E-2</v>
      </c>
      <c r="DR14">
        <f t="shared" si="21"/>
        <v>2.037117752124145E-2</v>
      </c>
      <c r="DS14">
        <f t="shared" si="22"/>
        <v>2.0567929704782488E-2</v>
      </c>
      <c r="DT14">
        <f t="shared" si="23"/>
        <v>2.0759212279569412E-2</v>
      </c>
      <c r="DU14">
        <f t="shared" si="24"/>
        <v>2.0956530842715169E-2</v>
      </c>
      <c r="DV14">
        <f t="shared" si="25"/>
        <v>2.0980626249327221E-2</v>
      </c>
      <c r="DW14">
        <f t="shared" si="26"/>
        <v>2.075606482719464E-2</v>
      </c>
      <c r="DX14">
        <f t="shared" si="27"/>
        <v>2.0366395659150202E-2</v>
      </c>
      <c r="DY14">
        <f t="shared" si="28"/>
        <v>1.996683912143488E-2</v>
      </c>
      <c r="DZ14">
        <f t="shared" si="29"/>
        <v>1.9521810392598087E-2</v>
      </c>
      <c r="EA14">
        <f t="shared" si="30"/>
        <v>1.9138250033147373E-2</v>
      </c>
      <c r="EB14">
        <f t="shared" si="31"/>
        <v>1.8883630036278805E-2</v>
      </c>
      <c r="EC14">
        <f t="shared" si="32"/>
        <v>1.8706660683216768E-2</v>
      </c>
      <c r="ED14">
        <f t="shared" si="33"/>
        <v>1.8486606024510278E-2</v>
      </c>
      <c r="EE14">
        <f t="shared" si="34"/>
        <v>1.8245271674940899E-2</v>
      </c>
      <c r="EF14">
        <f t="shared" si="35"/>
        <v>1.7993467393821492E-2</v>
      </c>
      <c r="EG14">
        <f t="shared" si="36"/>
        <v>1.772374124378143E-2</v>
      </c>
      <c r="EH14">
        <f t="shared" si="37"/>
        <v>1.7437792363634873E-2</v>
      </c>
      <c r="EI14">
        <f t="shared" si="38"/>
        <v>1.7141462554447595E-2</v>
      </c>
      <c r="EJ14">
        <f t="shared" si="39"/>
        <v>1.6829565397267845E-2</v>
      </c>
      <c r="EK14">
        <f t="shared" si="40"/>
        <v>1.6505232162195977E-2</v>
      </c>
      <c r="EL14">
        <f t="shared" si="41"/>
        <v>1.616924768954139E-2</v>
      </c>
      <c r="EM14">
        <f t="shared" si="42"/>
        <v>1.5815527444121985E-2</v>
      </c>
      <c r="EN14">
        <f t="shared" si="43"/>
        <v>1.5450155961119859E-2</v>
      </c>
      <c r="EO14">
        <f t="shared" si="44"/>
        <v>1.5087478826808737E-2</v>
      </c>
      <c r="EP14">
        <f t="shared" si="45"/>
        <v>1.4643979322904677E-2</v>
      </c>
      <c r="EQ14">
        <f t="shared" si="46"/>
        <v>1.4083700435645443E-2</v>
      </c>
      <c r="ER14">
        <f t="shared" si="47"/>
        <v>1.3452235723210648E-2</v>
      </c>
      <c r="ES14">
        <f t="shared" si="48"/>
        <v>1.2820835739873537E-2</v>
      </c>
      <c r="ET14">
        <f t="shared" si="49"/>
        <v>1.2162824006251995E-2</v>
      </c>
      <c r="EU14">
        <f t="shared" si="50"/>
        <v>1.1591460261014751E-2</v>
      </c>
      <c r="EV14">
        <f t="shared" si="51"/>
        <v>1.1166351911989532E-2</v>
      </c>
      <c r="EW14">
        <f t="shared" si="52"/>
        <v>1.0830529262079149E-2</v>
      </c>
      <c r="EX14">
        <f t="shared" si="53"/>
        <v>1.0473224642875615E-2</v>
      </c>
      <c r="EY14">
        <f t="shared" si="54"/>
        <v>1.0123533783786906E-2</v>
      </c>
      <c r="EZ14">
        <f t="shared" si="55"/>
        <v>9.713741957500641E-3</v>
      </c>
      <c r="FA14">
        <f t="shared" si="56"/>
        <v>9.2012331443305749E-3</v>
      </c>
      <c r="FB14">
        <f t="shared" si="57"/>
        <v>8.6240761448508098E-3</v>
      </c>
      <c r="FC14">
        <f t="shared" si="58"/>
        <v>8.0624541288146778E-3</v>
      </c>
      <c r="FD14">
        <f t="shared" si="59"/>
        <v>7.4996912624319045E-3</v>
      </c>
      <c r="FE14">
        <f t="shared" si="60"/>
        <v>6.9571400568002716E-3</v>
      </c>
      <c r="FF14">
        <f t="shared" si="61"/>
        <v>6.4532725781707243E-3</v>
      </c>
      <c r="FG14">
        <f t="shared" si="62"/>
        <v>5.9748840906161758E-3</v>
      </c>
      <c r="FH14">
        <f t="shared" si="63"/>
        <v>5.4977335470547915E-3</v>
      </c>
      <c r="FI14">
        <f t="shared" si="64"/>
        <v>5.0355839718811638E-3</v>
      </c>
      <c r="FJ14">
        <f t="shared" si="65"/>
        <v>4.554363586303037E-3</v>
      </c>
      <c r="FK14">
        <f t="shared" si="66"/>
        <v>4.0375988349603915E-3</v>
      </c>
      <c r="FL14">
        <f t="shared" si="67"/>
        <v>3.5086731043907776E-3</v>
      </c>
      <c r="FM14">
        <f t="shared" si="68"/>
        <v>3.0044334334495605E-3</v>
      </c>
      <c r="FN14">
        <f t="shared" si="69"/>
        <v>2.5138839666680435E-3</v>
      </c>
      <c r="FO14">
        <f t="shared" si="70"/>
        <v>2.0888322556032977E-3</v>
      </c>
      <c r="FP14">
        <f t="shared" si="71"/>
        <v>1.7576620095887912E-3</v>
      </c>
      <c r="FQ14">
        <f t="shared" si="72"/>
        <v>1.4964153713450487E-3</v>
      </c>
      <c r="FR14">
        <f t="shared" si="73"/>
        <v>1.2430333184696449E-3</v>
      </c>
      <c r="FS14">
        <f t="shared" si="74"/>
        <v>1.0290227392591958E-3</v>
      </c>
      <c r="FT14">
        <f t="shared" si="75"/>
        <v>8.4698024316634524E-4</v>
      </c>
      <c r="FU14">
        <f t="shared" si="76"/>
        <v>6.6759973121565861E-4</v>
      </c>
      <c r="FV14">
        <f t="shared" si="77"/>
        <v>4.9342991162835688E-4</v>
      </c>
      <c r="FW14">
        <f t="shared" si="78"/>
        <v>3.3822571766182233E-4</v>
      </c>
      <c r="FX14">
        <f t="shared" si="79"/>
        <v>2.3661721657581772E-4</v>
      </c>
      <c r="FY14">
        <f t="shared" si="80"/>
        <v>1.8968862075651314E-4</v>
      </c>
      <c r="FZ14">
        <f t="shared" si="81"/>
        <v>1.4135216706262943E-4</v>
      </c>
      <c r="GA14">
        <f t="shared" si="82"/>
        <v>9.1607855494166602E-5</v>
      </c>
      <c r="GB14">
        <f t="shared" si="83"/>
        <v>6.4251720586396127E-5</v>
      </c>
      <c r="GC14">
        <f t="shared" si="84"/>
        <v>4.5828201158713976E-5</v>
      </c>
      <c r="GD14">
        <f t="shared" si="85"/>
        <v>2.6409471854174156E-5</v>
      </c>
      <c r="GE14">
        <f t="shared" si="86"/>
        <v>4.7122783112349965E-5</v>
      </c>
    </row>
    <row r="15" spans="1:187">
      <c r="A15" s="4">
        <v>1963</v>
      </c>
      <c r="B15" s="17">
        <v>3977.308</v>
      </c>
      <c r="C15" s="17">
        <v>4050.605</v>
      </c>
      <c r="D15" s="17">
        <v>4103.2960000000003</v>
      </c>
      <c r="E15" s="17">
        <v>4224.7</v>
      </c>
      <c r="F15" s="17">
        <v>4205.68</v>
      </c>
      <c r="G15" s="17">
        <v>4174.9380000000001</v>
      </c>
      <c r="H15" s="17">
        <v>4133.5680000000002</v>
      </c>
      <c r="I15" s="17">
        <v>4082.6619999999998</v>
      </c>
      <c r="J15" s="17">
        <v>4020.9940000000001</v>
      </c>
      <c r="K15" s="17">
        <v>3947.3409999999999</v>
      </c>
      <c r="L15" s="17">
        <v>3874.377</v>
      </c>
      <c r="M15" s="17">
        <v>3807.8310000000001</v>
      </c>
      <c r="N15" s="17">
        <v>3741.8429999999998</v>
      </c>
      <c r="O15" s="17">
        <v>3669.27</v>
      </c>
      <c r="P15" s="17">
        <v>3596.873</v>
      </c>
      <c r="Q15" s="17">
        <v>3497.404</v>
      </c>
      <c r="R15" s="17">
        <v>3358.3049999999998</v>
      </c>
      <c r="S15" s="17">
        <v>3195.3519999999999</v>
      </c>
      <c r="T15" s="17">
        <v>3037.7689999999998</v>
      </c>
      <c r="U15" s="17">
        <v>2880.7750000000001</v>
      </c>
      <c r="V15" s="17">
        <v>2740.93</v>
      </c>
      <c r="W15" s="17">
        <v>2629.7930000000001</v>
      </c>
      <c r="X15" s="17">
        <v>2541.1320000000001</v>
      </c>
      <c r="Y15" s="17">
        <v>2455.8319999999999</v>
      </c>
      <c r="Z15" s="17">
        <v>2376.1170000000002</v>
      </c>
      <c r="AA15" s="17">
        <v>2317.5149999999999</v>
      </c>
      <c r="AB15" s="17">
        <v>2285.3449999999998</v>
      </c>
      <c r="AC15" s="17">
        <v>2273.8420000000001</v>
      </c>
      <c r="AD15" s="17">
        <v>2269.4549999999999</v>
      </c>
      <c r="AE15" s="17">
        <v>2271.9360000000001</v>
      </c>
      <c r="AF15" s="17">
        <v>2287.8389999999999</v>
      </c>
      <c r="AG15" s="17">
        <v>2318.1010000000001</v>
      </c>
      <c r="AH15" s="17">
        <v>2357.9870000000001</v>
      </c>
      <c r="AI15" s="17">
        <v>2400.3339999999998</v>
      </c>
      <c r="AJ15" s="17">
        <v>2444.779</v>
      </c>
      <c r="AK15" s="17">
        <v>2485.1410000000001</v>
      </c>
      <c r="AL15" s="17">
        <v>2517.0169999999998</v>
      </c>
      <c r="AM15" s="17">
        <v>2540.8490000000002</v>
      </c>
      <c r="AN15" s="17">
        <v>2563.9369999999999</v>
      </c>
      <c r="AO15" s="17">
        <v>2587.7629999999999</v>
      </c>
      <c r="AP15" s="17">
        <v>2590.1280000000002</v>
      </c>
      <c r="AQ15" s="17">
        <v>2561.6419999999998</v>
      </c>
      <c r="AR15" s="17">
        <v>2512.65</v>
      </c>
      <c r="AS15" s="17">
        <v>2462.5160000000001</v>
      </c>
      <c r="AT15" s="17">
        <v>2406.9279999999999</v>
      </c>
      <c r="AU15" s="17">
        <v>2358.4850000000001</v>
      </c>
      <c r="AV15" s="17">
        <v>2325.277</v>
      </c>
      <c r="AW15" s="17">
        <v>2301.297</v>
      </c>
      <c r="AX15" s="17">
        <v>2271.94</v>
      </c>
      <c r="AY15" s="17">
        <v>2239.518</v>
      </c>
      <c r="AZ15" s="17">
        <v>2207.1790000000001</v>
      </c>
      <c r="BA15" s="17">
        <v>2174.8339999999998</v>
      </c>
      <c r="BB15" s="17">
        <v>2141.694</v>
      </c>
      <c r="BC15" s="17">
        <v>2107.0169999999998</v>
      </c>
      <c r="BD15" s="17">
        <v>2070.893</v>
      </c>
      <c r="BE15" s="17">
        <v>2030.654</v>
      </c>
      <c r="BF15" s="17">
        <v>1984.873</v>
      </c>
      <c r="BG15" s="17">
        <v>1934.421</v>
      </c>
      <c r="BH15" s="17">
        <v>1882.9690000000001</v>
      </c>
      <c r="BI15" s="17">
        <v>1831.43</v>
      </c>
      <c r="BJ15" s="17">
        <v>1772.1990000000001</v>
      </c>
      <c r="BK15" s="17">
        <v>1702.3869999999999</v>
      </c>
      <c r="BL15" s="17">
        <v>1626.204</v>
      </c>
      <c r="BM15" s="17">
        <v>1549.58</v>
      </c>
      <c r="BN15" s="17">
        <v>1469.924</v>
      </c>
      <c r="BO15" s="17">
        <v>1399.8989999999999</v>
      </c>
      <c r="BP15" s="17">
        <v>1345.9590000000001</v>
      </c>
      <c r="BQ15" s="17">
        <v>1301.8510000000001</v>
      </c>
      <c r="BR15" s="17">
        <v>1255.4939999999999</v>
      </c>
      <c r="BS15" s="17">
        <v>1210.058</v>
      </c>
      <c r="BT15" s="17">
        <v>1157.9190000000001</v>
      </c>
      <c r="BU15" s="17">
        <v>1094.307</v>
      </c>
      <c r="BV15" s="17">
        <v>1023.448</v>
      </c>
      <c r="BW15" s="17">
        <v>954.48400000000004</v>
      </c>
      <c r="BX15" s="17">
        <v>885.75300000000004</v>
      </c>
      <c r="BY15" s="17">
        <v>818.53</v>
      </c>
      <c r="BZ15" s="17">
        <v>754.42499999999995</v>
      </c>
      <c r="CA15" s="17">
        <v>692.59699999999998</v>
      </c>
      <c r="CB15" s="17">
        <v>631.35699999999997</v>
      </c>
      <c r="CC15" s="17">
        <v>571.94399999999996</v>
      </c>
      <c r="CD15" s="17">
        <v>511.923</v>
      </c>
      <c r="CE15" s="17">
        <v>450.20600000000002</v>
      </c>
      <c r="CF15" s="17">
        <v>388.77300000000002</v>
      </c>
      <c r="CG15" s="17">
        <v>330.3</v>
      </c>
      <c r="CH15" s="17">
        <v>273.77999999999997</v>
      </c>
      <c r="CI15" s="17">
        <v>225.084</v>
      </c>
      <c r="CJ15" s="17">
        <v>187.25800000000001</v>
      </c>
      <c r="CK15" s="17">
        <v>157.61699999999999</v>
      </c>
      <c r="CL15" s="17">
        <v>128.65799999999999</v>
      </c>
      <c r="CM15" s="17">
        <v>105.45399999999999</v>
      </c>
      <c r="CN15" s="17">
        <v>86.721000000000004</v>
      </c>
      <c r="CO15" s="17">
        <v>67.483999999999995</v>
      </c>
      <c r="CP15" s="17">
        <v>47.954000000000001</v>
      </c>
      <c r="CQ15" s="17">
        <v>32.098999999999997</v>
      </c>
      <c r="CR15" s="17">
        <v>22.965</v>
      </c>
      <c r="CS15" s="17">
        <v>18.318000000000001</v>
      </c>
      <c r="CT15" s="17">
        <v>13.536</v>
      </c>
      <c r="CU15" s="17">
        <v>8.6170000000000009</v>
      </c>
      <c r="CV15" s="17">
        <v>5.5259999999999998</v>
      </c>
      <c r="CW15" s="17">
        <v>3.1880000000000002</v>
      </c>
      <c r="CX15" s="17">
        <v>5.74</v>
      </c>
      <c r="CY15" s="3">
        <f>SUM(B15:CX15)</f>
        <v>194932.39999999985</v>
      </c>
      <c r="CZ15" s="21">
        <f t="shared" si="3"/>
        <v>125270.05300000001</v>
      </c>
      <c r="DA15">
        <f t="shared" si="4"/>
        <v>2.4249762231680381E-2</v>
      </c>
      <c r="DB15">
        <f t="shared" si="5"/>
        <v>2.2996517771090907E-2</v>
      </c>
      <c r="DC15">
        <f t="shared" si="6"/>
        <v>2.1880169556565923E-2</v>
      </c>
      <c r="DD15">
        <f t="shared" si="7"/>
        <v>2.0992990240053622E-2</v>
      </c>
      <c r="DE15">
        <f t="shared" si="8"/>
        <v>2.0285231299455104E-2</v>
      </c>
      <c r="DF15">
        <f t="shared" si="9"/>
        <v>1.9604302394603437E-2</v>
      </c>
      <c r="DG15">
        <f t="shared" si="10"/>
        <v>1.8967957170098745E-2</v>
      </c>
      <c r="DH15">
        <f t="shared" si="11"/>
        <v>1.8500151827987168E-2</v>
      </c>
      <c r="DI15">
        <f t="shared" si="12"/>
        <v>1.8243346636087076E-2</v>
      </c>
      <c r="DJ15">
        <f t="shared" si="13"/>
        <v>1.8151521018355439E-2</v>
      </c>
      <c r="DK15">
        <f t="shared" si="14"/>
        <v>1.8116500677141087E-2</v>
      </c>
      <c r="DL15">
        <f t="shared" si="15"/>
        <v>1.8136305889485015E-2</v>
      </c>
      <c r="DM15">
        <f t="shared" si="16"/>
        <v>1.8263255624231273E-2</v>
      </c>
      <c r="DN15">
        <f t="shared" si="17"/>
        <v>1.850482972175321E-2</v>
      </c>
      <c r="DO15">
        <f t="shared" si="18"/>
        <v>1.8823229842490765E-2</v>
      </c>
      <c r="DP15">
        <f t="shared" si="19"/>
        <v>1.9161275520494906E-2</v>
      </c>
      <c r="DQ15">
        <f t="shared" si="20"/>
        <v>1.9516069016111932E-2</v>
      </c>
      <c r="DR15">
        <f t="shared" si="21"/>
        <v>1.9838268927690163E-2</v>
      </c>
      <c r="DS15">
        <f t="shared" si="22"/>
        <v>2.0092727189953367E-2</v>
      </c>
      <c r="DT15">
        <f t="shared" si="23"/>
        <v>2.0282972180110756E-2</v>
      </c>
      <c r="DU15">
        <f t="shared" si="24"/>
        <v>2.0467278001391118E-2</v>
      </c>
      <c r="DV15">
        <f t="shared" si="25"/>
        <v>2.0657475095025302E-2</v>
      </c>
      <c r="DW15">
        <f t="shared" si="26"/>
        <v>2.0676354307920662E-2</v>
      </c>
      <c r="DX15">
        <f t="shared" si="27"/>
        <v>2.0448957581266445E-2</v>
      </c>
      <c r="DY15">
        <f t="shared" si="28"/>
        <v>2.0057866503816357E-2</v>
      </c>
      <c r="DZ15">
        <f t="shared" si="29"/>
        <v>1.9657659121450198E-2</v>
      </c>
      <c r="EA15">
        <f t="shared" si="30"/>
        <v>1.9213913799493641E-2</v>
      </c>
      <c r="EB15">
        <f t="shared" si="31"/>
        <v>1.8827205253916512E-2</v>
      </c>
      <c r="EC15">
        <f t="shared" si="32"/>
        <v>1.8562113963502512E-2</v>
      </c>
      <c r="ED15">
        <f t="shared" si="33"/>
        <v>1.8370687525772818E-2</v>
      </c>
      <c r="EE15">
        <f t="shared" si="34"/>
        <v>1.8136337820500482E-2</v>
      </c>
      <c r="EF15">
        <f t="shared" si="35"/>
        <v>1.7877520974625912E-2</v>
      </c>
      <c r="EG15">
        <f t="shared" si="36"/>
        <v>1.7619366697322301E-2</v>
      </c>
      <c r="EH15">
        <f t="shared" si="37"/>
        <v>1.7361164523495488E-2</v>
      </c>
      <c r="EI15">
        <f t="shared" si="38"/>
        <v>1.7096616060344443E-2</v>
      </c>
      <c r="EJ15">
        <f t="shared" si="39"/>
        <v>1.6819798104499881E-2</v>
      </c>
      <c r="EK15">
        <f t="shared" si="40"/>
        <v>1.6531429103809829E-2</v>
      </c>
      <c r="EL15">
        <f t="shared" si="41"/>
        <v>1.6210211070957235E-2</v>
      </c>
      <c r="EM15">
        <f t="shared" si="42"/>
        <v>1.5844752616173952E-2</v>
      </c>
      <c r="EN15">
        <f t="shared" si="43"/>
        <v>1.5442006718078102E-2</v>
      </c>
      <c r="EO15">
        <f t="shared" si="44"/>
        <v>1.5031278066115289E-2</v>
      </c>
      <c r="EP15">
        <f t="shared" si="45"/>
        <v>1.4619854914566053E-2</v>
      </c>
      <c r="EQ15">
        <f t="shared" si="46"/>
        <v>1.4147028420272162E-2</v>
      </c>
      <c r="ER15">
        <f t="shared" si="47"/>
        <v>1.3589736407311967E-2</v>
      </c>
      <c r="ES15">
        <f t="shared" si="48"/>
        <v>1.2981586269465375E-2</v>
      </c>
      <c r="ET15">
        <f t="shared" si="49"/>
        <v>1.2369915737163452E-2</v>
      </c>
      <c r="EU15">
        <f t="shared" si="50"/>
        <v>1.173404149513691E-2</v>
      </c>
      <c r="EV15">
        <f t="shared" si="51"/>
        <v>1.1175049155603052E-2</v>
      </c>
      <c r="EW15">
        <f t="shared" si="52"/>
        <v>1.0744459412019246E-2</v>
      </c>
      <c r="EX15">
        <f t="shared" si="53"/>
        <v>1.0392356104455387E-2</v>
      </c>
      <c r="EY15">
        <f t="shared" si="54"/>
        <v>1.0022299583444734E-2</v>
      </c>
      <c r="EZ15">
        <f t="shared" si="55"/>
        <v>9.6595951787455531E-3</v>
      </c>
      <c r="FA15">
        <f t="shared" si="56"/>
        <v>9.2433823748761402E-3</v>
      </c>
      <c r="FB15">
        <f t="shared" si="57"/>
        <v>8.7355834358910974E-3</v>
      </c>
      <c r="FC15">
        <f t="shared" si="58"/>
        <v>8.1699334796321976E-3</v>
      </c>
      <c r="FD15">
        <f t="shared" si="59"/>
        <v>7.6194108419511877E-3</v>
      </c>
      <c r="FE15">
        <f t="shared" si="60"/>
        <v>7.0707481859211786E-3</v>
      </c>
      <c r="FF15">
        <f t="shared" si="61"/>
        <v>6.5341235227225451E-3</v>
      </c>
      <c r="FG15">
        <f t="shared" si="62"/>
        <v>6.0223890860810914E-3</v>
      </c>
      <c r="FH15">
        <f t="shared" si="63"/>
        <v>5.5288313799947055E-3</v>
      </c>
      <c r="FI15">
        <f t="shared" si="64"/>
        <v>5.0399675331820916E-3</v>
      </c>
      <c r="FJ15">
        <f t="shared" si="65"/>
        <v>4.5656881776844132E-3</v>
      </c>
      <c r="FK15">
        <f t="shared" si="66"/>
        <v>4.0865553078356237E-3</v>
      </c>
      <c r="FL15">
        <f t="shared" si="67"/>
        <v>3.5938836874284709E-3</v>
      </c>
      <c r="FM15">
        <f t="shared" si="68"/>
        <v>3.103479169119534E-3</v>
      </c>
      <c r="FN15">
        <f t="shared" si="69"/>
        <v>2.6367036022567976E-3</v>
      </c>
      <c r="FO15">
        <f t="shared" si="70"/>
        <v>2.1855183536962338E-3</v>
      </c>
      <c r="FP15">
        <f t="shared" si="71"/>
        <v>1.7967901713907631E-3</v>
      </c>
      <c r="FQ15">
        <f t="shared" si="72"/>
        <v>1.4948345236191446E-3</v>
      </c>
      <c r="FR15">
        <f t="shared" si="73"/>
        <v>1.2582177162485911E-3</v>
      </c>
      <c r="FS15">
        <f t="shared" si="74"/>
        <v>1.0270451470153043E-3</v>
      </c>
      <c r="FT15">
        <f t="shared" si="75"/>
        <v>8.4181332628637093E-4</v>
      </c>
      <c r="FU15">
        <f t="shared" si="76"/>
        <v>6.9227239809661445E-4</v>
      </c>
      <c r="FV15">
        <f t="shared" si="77"/>
        <v>5.3870816195791013E-4</v>
      </c>
      <c r="FW15">
        <f t="shared" si="78"/>
        <v>3.8280497893618671E-4</v>
      </c>
      <c r="FX15">
        <f t="shared" si="79"/>
        <v>2.5623841637554022E-4</v>
      </c>
      <c r="FY15">
        <f t="shared" si="80"/>
        <v>1.8332394255473011E-4</v>
      </c>
      <c r="FZ15">
        <f t="shared" si="81"/>
        <v>1.4622808533496827E-4</v>
      </c>
      <c r="GA15">
        <f t="shared" si="82"/>
        <v>1.0805455634316685E-4</v>
      </c>
      <c r="GB15">
        <f t="shared" si="83"/>
        <v>6.8787390071591974E-5</v>
      </c>
      <c r="GC15">
        <f t="shared" si="84"/>
        <v>4.4112697868819448E-5</v>
      </c>
      <c r="GD15">
        <f t="shared" si="85"/>
        <v>2.5449019327867611E-5</v>
      </c>
      <c r="GE15">
        <f t="shared" si="86"/>
        <v>4.582100719634883E-5</v>
      </c>
    </row>
    <row r="16" spans="1:187">
      <c r="A16" s="4">
        <v>1964</v>
      </c>
      <c r="B16" s="17">
        <v>3827.2170000000001</v>
      </c>
      <c r="C16" s="17">
        <v>3956.37</v>
      </c>
      <c r="D16" s="17">
        <v>4054.3490000000002</v>
      </c>
      <c r="E16" s="17">
        <v>4123.4309999999996</v>
      </c>
      <c r="F16" s="17">
        <v>4208.7839999999997</v>
      </c>
      <c r="G16" s="17">
        <v>4205.2719999999999</v>
      </c>
      <c r="H16" s="17">
        <v>4184.4179999999997</v>
      </c>
      <c r="I16" s="17">
        <v>4148.2139999999999</v>
      </c>
      <c r="J16" s="17">
        <v>4098.6480000000001</v>
      </c>
      <c r="K16" s="17">
        <v>4034.625</v>
      </c>
      <c r="L16" s="17">
        <v>3955.0430000000001</v>
      </c>
      <c r="M16" s="17">
        <v>3877.3409999999999</v>
      </c>
      <c r="N16" s="17">
        <v>3809.6860000000001</v>
      </c>
      <c r="O16" s="17">
        <v>3744.8029999999999</v>
      </c>
      <c r="P16" s="17">
        <v>3671.6030000000001</v>
      </c>
      <c r="Q16" s="17">
        <v>3597.5329999999999</v>
      </c>
      <c r="R16" s="17">
        <v>3497.2979999999998</v>
      </c>
      <c r="S16" s="17">
        <v>3358.884</v>
      </c>
      <c r="T16" s="17">
        <v>3197.5610000000001</v>
      </c>
      <c r="U16" s="17">
        <v>3041.4319999999998</v>
      </c>
      <c r="V16" s="17">
        <v>2885.8470000000002</v>
      </c>
      <c r="W16" s="17">
        <v>2747.4490000000001</v>
      </c>
      <c r="X16" s="17">
        <v>2637.6950000000002</v>
      </c>
      <c r="Y16" s="17">
        <v>2550.297</v>
      </c>
      <c r="Z16" s="17">
        <v>2466.2460000000001</v>
      </c>
      <c r="AA16" s="17">
        <v>2387.8200000000002</v>
      </c>
      <c r="AB16" s="17">
        <v>2329.7750000000001</v>
      </c>
      <c r="AC16" s="17">
        <v>2297.0770000000002</v>
      </c>
      <c r="AD16" s="17">
        <v>2284.3000000000002</v>
      </c>
      <c r="AE16" s="17">
        <v>2278.6280000000002</v>
      </c>
      <c r="AF16" s="17">
        <v>2279.7150000000001</v>
      </c>
      <c r="AG16" s="17">
        <v>2294.1460000000002</v>
      </c>
      <c r="AH16" s="17">
        <v>2322.9589999999998</v>
      </c>
      <c r="AI16" s="17">
        <v>2361.4229999999998</v>
      </c>
      <c r="AJ16" s="17">
        <v>2402.2379999999998</v>
      </c>
      <c r="AK16" s="17">
        <v>2445.029</v>
      </c>
      <c r="AL16" s="17">
        <v>2484.0549999999998</v>
      </c>
      <c r="AM16" s="17">
        <v>2515.1060000000002</v>
      </c>
      <c r="AN16" s="17">
        <v>2538.4409999999998</v>
      </c>
      <c r="AO16" s="17">
        <v>2560.9659999999999</v>
      </c>
      <c r="AP16" s="17">
        <v>2584.2199999999998</v>
      </c>
      <c r="AQ16" s="17">
        <v>2585.9699999999998</v>
      </c>
      <c r="AR16" s="17">
        <v>2556.7660000000001</v>
      </c>
      <c r="AS16" s="17">
        <v>2506.9639999999999</v>
      </c>
      <c r="AT16" s="17">
        <v>2456.105</v>
      </c>
      <c r="AU16" s="17">
        <v>2399.9549999999999</v>
      </c>
      <c r="AV16" s="17">
        <v>2350.4960000000001</v>
      </c>
      <c r="AW16" s="17">
        <v>2315.5650000000001</v>
      </c>
      <c r="AX16" s="17">
        <v>2289.489</v>
      </c>
      <c r="AY16" s="17">
        <v>2257.9850000000001</v>
      </c>
      <c r="AZ16" s="17">
        <v>2222.9830000000002</v>
      </c>
      <c r="BA16" s="17">
        <v>2189.4409999999998</v>
      </c>
      <c r="BB16" s="17">
        <v>2158.1030000000001</v>
      </c>
      <c r="BC16" s="17">
        <v>2127.183</v>
      </c>
      <c r="BD16" s="17">
        <v>2094.471</v>
      </c>
      <c r="BE16" s="17">
        <v>2060.7890000000002</v>
      </c>
      <c r="BF16" s="17">
        <v>2020.4179999999999</v>
      </c>
      <c r="BG16" s="17">
        <v>1970.3989999999999</v>
      </c>
      <c r="BH16" s="17">
        <v>1913.2339999999999</v>
      </c>
      <c r="BI16" s="17">
        <v>1855.511</v>
      </c>
      <c r="BJ16" s="17">
        <v>1797.28</v>
      </c>
      <c r="BK16" s="17">
        <v>1733.655</v>
      </c>
      <c r="BL16" s="17">
        <v>1663.31</v>
      </c>
      <c r="BM16" s="17">
        <v>1589.028</v>
      </c>
      <c r="BN16" s="17">
        <v>1513.855</v>
      </c>
      <c r="BO16" s="17">
        <v>1435.9079999999999</v>
      </c>
      <c r="BP16" s="17">
        <v>1366.5070000000001</v>
      </c>
      <c r="BQ16" s="17">
        <v>1311.193</v>
      </c>
      <c r="BR16" s="17">
        <v>1264.501</v>
      </c>
      <c r="BS16" s="17">
        <v>1215.9680000000001</v>
      </c>
      <c r="BT16" s="17">
        <v>1168.338</v>
      </c>
      <c r="BU16" s="17">
        <v>1114.731</v>
      </c>
      <c r="BV16" s="17">
        <v>1050.8779999999999</v>
      </c>
      <c r="BW16" s="17">
        <v>980.529</v>
      </c>
      <c r="BX16" s="17">
        <v>912.04499999999996</v>
      </c>
      <c r="BY16" s="17">
        <v>844.16899999999998</v>
      </c>
      <c r="BZ16" s="17">
        <v>776.81100000000004</v>
      </c>
      <c r="CA16" s="17">
        <v>710.90300000000002</v>
      </c>
      <c r="CB16" s="17">
        <v>646.40300000000002</v>
      </c>
      <c r="CC16" s="17">
        <v>582.92200000000003</v>
      </c>
      <c r="CD16" s="17">
        <v>521.24300000000005</v>
      </c>
      <c r="CE16" s="17">
        <v>460.70299999999997</v>
      </c>
      <c r="CF16" s="17">
        <v>401.16800000000001</v>
      </c>
      <c r="CG16" s="17">
        <v>343.70400000000001</v>
      </c>
      <c r="CH16" s="17">
        <v>289.10599999999999</v>
      </c>
      <c r="CI16" s="17">
        <v>236.72300000000001</v>
      </c>
      <c r="CJ16" s="17">
        <v>191.887</v>
      </c>
      <c r="CK16" s="17">
        <v>157.18299999999999</v>
      </c>
      <c r="CL16" s="17">
        <v>130.20500000000001</v>
      </c>
      <c r="CM16" s="17">
        <v>103.61799999999999</v>
      </c>
      <c r="CN16" s="17">
        <v>83.671999999999997</v>
      </c>
      <c r="CO16" s="17">
        <v>68.715000000000003</v>
      </c>
      <c r="CP16" s="17">
        <v>52.421999999999997</v>
      </c>
      <c r="CQ16" s="17">
        <v>34.895000000000003</v>
      </c>
      <c r="CR16" s="17">
        <v>22.376999999999999</v>
      </c>
      <c r="CS16" s="17">
        <v>16.672000000000001</v>
      </c>
      <c r="CT16" s="17">
        <v>13.180999999999999</v>
      </c>
      <c r="CU16" s="17">
        <v>9.593</v>
      </c>
      <c r="CV16" s="17">
        <v>5.9089999999999998</v>
      </c>
      <c r="CW16" s="17">
        <v>3.161</v>
      </c>
      <c r="CX16" s="17">
        <v>5.6550000000000002</v>
      </c>
      <c r="CY16" s="3">
        <f>SUM(B16:CX16)</f>
        <v>197408.49699999986</v>
      </c>
      <c r="CZ16" s="21">
        <f t="shared" si="3"/>
        <v>127054.97800000003</v>
      </c>
      <c r="DA16">
        <f t="shared" si="4"/>
        <v>2.5166751042214178E-2</v>
      </c>
      <c r="DB16">
        <f t="shared" si="5"/>
        <v>2.3937920795200948E-2</v>
      </c>
      <c r="DC16">
        <f t="shared" si="6"/>
        <v>2.2713372159255337E-2</v>
      </c>
      <c r="DD16">
        <f t="shared" si="7"/>
        <v>2.162409567297709E-2</v>
      </c>
      <c r="DE16">
        <f t="shared" si="8"/>
        <v>2.0760264898869209E-2</v>
      </c>
      <c r="DF16">
        <f t="shared" si="9"/>
        <v>2.0072389450179588E-2</v>
      </c>
      <c r="DG16">
        <f t="shared" si="10"/>
        <v>1.9410856928407792E-2</v>
      </c>
      <c r="DH16">
        <f t="shared" si="11"/>
        <v>1.8793596579899447E-2</v>
      </c>
      <c r="DI16">
        <f t="shared" si="12"/>
        <v>1.8336747104863532E-2</v>
      </c>
      <c r="DJ16">
        <f t="shared" si="13"/>
        <v>1.807939394550916E-2</v>
      </c>
      <c r="DK16">
        <f t="shared" si="14"/>
        <v>1.7978831179680341E-2</v>
      </c>
      <c r="DL16">
        <f t="shared" si="15"/>
        <v>1.7934189087813621E-2</v>
      </c>
      <c r="DM16">
        <f t="shared" si="16"/>
        <v>1.7942744439340266E-2</v>
      </c>
      <c r="DN16">
        <f t="shared" si="17"/>
        <v>1.8056325191760685E-2</v>
      </c>
      <c r="DO16">
        <f t="shared" si="18"/>
        <v>1.8283101036781095E-2</v>
      </c>
      <c r="DP16">
        <f t="shared" si="19"/>
        <v>1.858583612520872E-2</v>
      </c>
      <c r="DQ16">
        <f t="shared" si="20"/>
        <v>1.8907075014408324E-2</v>
      </c>
      <c r="DR16">
        <f t="shared" si="21"/>
        <v>1.9243866226162341E-2</v>
      </c>
      <c r="DS16">
        <f t="shared" si="22"/>
        <v>1.955102459661202E-2</v>
      </c>
      <c r="DT16">
        <f t="shared" si="23"/>
        <v>1.9795414863634855E-2</v>
      </c>
      <c r="DU16">
        <f t="shared" si="24"/>
        <v>1.99790755148531E-2</v>
      </c>
      <c r="DV16">
        <f t="shared" si="25"/>
        <v>2.0156360973121408E-2</v>
      </c>
      <c r="DW16">
        <f t="shared" si="26"/>
        <v>2.0339384105044662E-2</v>
      </c>
      <c r="DX16">
        <f t="shared" si="27"/>
        <v>2.0353157670059959E-2</v>
      </c>
      <c r="DY16">
        <f t="shared" si="28"/>
        <v>2.0123304417084702E-2</v>
      </c>
      <c r="DZ16">
        <f t="shared" si="29"/>
        <v>1.9731332368575116E-2</v>
      </c>
      <c r="EA16">
        <f t="shared" si="30"/>
        <v>1.9331041086796296E-2</v>
      </c>
      <c r="EB16">
        <f t="shared" si="31"/>
        <v>1.8889106415019799E-2</v>
      </c>
      <c r="EC16">
        <f t="shared" si="32"/>
        <v>1.8499833985253216E-2</v>
      </c>
      <c r="ED16">
        <f t="shared" si="33"/>
        <v>1.8224905756939327E-2</v>
      </c>
      <c r="EE16">
        <f t="shared" si="34"/>
        <v>1.8019671767602836E-2</v>
      </c>
      <c r="EF16">
        <f t="shared" si="35"/>
        <v>1.7771716114893189E-2</v>
      </c>
      <c r="EG16">
        <f t="shared" si="36"/>
        <v>1.7496229073370111E-2</v>
      </c>
      <c r="EH16">
        <f t="shared" si="37"/>
        <v>1.7232233120374075E-2</v>
      </c>
      <c r="EI16">
        <f t="shared" si="38"/>
        <v>1.6985583988688737E-2</v>
      </c>
      <c r="EJ16">
        <f t="shared" si="39"/>
        <v>1.6742224771389907E-2</v>
      </c>
      <c r="EK16">
        <f t="shared" si="40"/>
        <v>1.6484761423515414E-2</v>
      </c>
      <c r="EL16">
        <f t="shared" si="41"/>
        <v>1.6219663585318157E-2</v>
      </c>
      <c r="EM16">
        <f t="shared" si="42"/>
        <v>1.5901919246328149E-2</v>
      </c>
      <c r="EN16">
        <f t="shared" si="43"/>
        <v>1.5508239275756668E-2</v>
      </c>
      <c r="EO16">
        <f t="shared" si="44"/>
        <v>1.5058315936271301E-2</v>
      </c>
      <c r="EP16">
        <f t="shared" si="45"/>
        <v>1.4604000797198199E-2</v>
      </c>
      <c r="EQ16">
        <f t="shared" si="46"/>
        <v>1.414568738896637E-2</v>
      </c>
      <c r="ER16">
        <f t="shared" si="47"/>
        <v>1.3644919918053109E-2</v>
      </c>
      <c r="ES16">
        <f t="shared" si="48"/>
        <v>1.3091261957481112E-2</v>
      </c>
      <c r="ET16">
        <f t="shared" si="49"/>
        <v>1.2506617410928988E-2</v>
      </c>
      <c r="EU16">
        <f t="shared" si="50"/>
        <v>1.1914960152131934E-2</v>
      </c>
      <c r="EV16">
        <f t="shared" si="51"/>
        <v>1.1301469825133491E-2</v>
      </c>
      <c r="EW16">
        <f t="shared" si="52"/>
        <v>1.0755241719061174E-2</v>
      </c>
      <c r="EX16">
        <f t="shared" si="53"/>
        <v>1.0319886876057699E-2</v>
      </c>
      <c r="EY16">
        <f t="shared" si="54"/>
        <v>9.9523924202324417E-3</v>
      </c>
      <c r="EZ16">
        <f t="shared" si="55"/>
        <v>9.5704081740110945E-3</v>
      </c>
      <c r="FA16">
        <f t="shared" si="56"/>
        <v>9.1955310873376387E-3</v>
      </c>
      <c r="FB16">
        <f t="shared" si="57"/>
        <v>8.7736113731805114E-3</v>
      </c>
      <c r="FC16">
        <f t="shared" si="58"/>
        <v>8.271049403510972E-3</v>
      </c>
      <c r="FD16">
        <f t="shared" si="59"/>
        <v>7.7173599605046541E-3</v>
      </c>
      <c r="FE16">
        <f t="shared" si="60"/>
        <v>7.1783492025003521E-3</v>
      </c>
      <c r="FF16">
        <f t="shared" si="61"/>
        <v>6.6441237745127925E-3</v>
      </c>
      <c r="FG16">
        <f t="shared" si="62"/>
        <v>6.1139753217697608E-3</v>
      </c>
      <c r="FH16">
        <f t="shared" si="63"/>
        <v>5.5952392514679733E-3</v>
      </c>
      <c r="FI16">
        <f t="shared" si="64"/>
        <v>5.0875849980470652E-3</v>
      </c>
      <c r="FJ16">
        <f t="shared" si="65"/>
        <v>4.5879508947693484E-3</v>
      </c>
      <c r="FK16">
        <f t="shared" si="66"/>
        <v>4.1024996281530971E-3</v>
      </c>
      <c r="FL16">
        <f t="shared" si="67"/>
        <v>3.6260129847096572E-3</v>
      </c>
      <c r="FM16">
        <f t="shared" si="68"/>
        <v>3.1574363028892887E-3</v>
      </c>
      <c r="FN16">
        <f t="shared" si="69"/>
        <v>2.70515965143845E-3</v>
      </c>
      <c r="FO16">
        <f t="shared" si="70"/>
        <v>2.2754401641783759E-3</v>
      </c>
      <c r="FP16">
        <f t="shared" si="71"/>
        <v>1.8631540749233764E-3</v>
      </c>
      <c r="FQ16">
        <f t="shared" si="72"/>
        <v>1.5102674686229133E-3</v>
      </c>
      <c r="FR16">
        <f t="shared" si="73"/>
        <v>1.237125868456724E-3</v>
      </c>
      <c r="FS16">
        <f t="shared" si="74"/>
        <v>1.0247925901809213E-3</v>
      </c>
      <c r="FT16">
        <f t="shared" si="75"/>
        <v>8.1553671985996467E-4</v>
      </c>
      <c r="FU16">
        <f t="shared" si="76"/>
        <v>6.585495611199112E-4</v>
      </c>
      <c r="FV16">
        <f t="shared" si="77"/>
        <v>5.4082886858632161E-4</v>
      </c>
      <c r="FW16">
        <f t="shared" si="78"/>
        <v>4.1259304298962596E-4</v>
      </c>
      <c r="FX16">
        <f t="shared" si="79"/>
        <v>2.7464488640500175E-4</v>
      </c>
      <c r="FY16">
        <f t="shared" si="80"/>
        <v>1.7612060819844456E-4</v>
      </c>
      <c r="FZ16">
        <f t="shared" si="81"/>
        <v>1.312187862485797E-4</v>
      </c>
      <c r="GA16">
        <f t="shared" si="82"/>
        <v>1.0374249169520927E-4</v>
      </c>
      <c r="GB16">
        <f t="shared" si="83"/>
        <v>7.550274810956244E-5</v>
      </c>
      <c r="GC16">
        <f t="shared" si="84"/>
        <v>4.6507426100219372E-5</v>
      </c>
      <c r="GD16">
        <f t="shared" si="85"/>
        <v>2.4878993721914611E-5</v>
      </c>
      <c r="GE16">
        <f t="shared" si="86"/>
        <v>4.450829152085642E-5</v>
      </c>
    </row>
    <row r="17" spans="1:187">
      <c r="A17" s="4">
        <v>1965</v>
      </c>
      <c r="B17" s="17">
        <v>3684.7579999999998</v>
      </c>
      <c r="C17" s="17">
        <v>3854.7719999999999</v>
      </c>
      <c r="D17" s="17">
        <v>3987.4050000000002</v>
      </c>
      <c r="E17" s="17">
        <v>4085.547</v>
      </c>
      <c r="F17" s="17">
        <v>4152.0839999999998</v>
      </c>
      <c r="G17" s="17">
        <v>4189.902</v>
      </c>
      <c r="H17" s="17">
        <v>4201.8869999999997</v>
      </c>
      <c r="I17" s="17">
        <v>4190.9269999999997</v>
      </c>
      <c r="J17" s="17">
        <v>4159.9089999999997</v>
      </c>
      <c r="K17" s="17">
        <v>4111.7209999999995</v>
      </c>
      <c r="L17" s="17">
        <v>4045.3879999999999</v>
      </c>
      <c r="M17" s="17">
        <v>3959.94</v>
      </c>
      <c r="N17" s="17">
        <v>3877.5569999999998</v>
      </c>
      <c r="O17" s="17">
        <v>3808.8440000000001</v>
      </c>
      <c r="P17" s="17">
        <v>3745.1109999999999</v>
      </c>
      <c r="Q17" s="17">
        <v>3671.3359999999998</v>
      </c>
      <c r="R17" s="17">
        <v>3595.6489999999999</v>
      </c>
      <c r="S17" s="17">
        <v>3494.7190000000001</v>
      </c>
      <c r="T17" s="17">
        <v>3357.087</v>
      </c>
      <c r="U17" s="17">
        <v>3197.5129999999999</v>
      </c>
      <c r="V17" s="17">
        <v>3042.9470000000001</v>
      </c>
      <c r="W17" s="17">
        <v>2888.884</v>
      </c>
      <c r="X17" s="17">
        <v>2752.0320000000002</v>
      </c>
      <c r="Y17" s="17">
        <v>2643.7359999999999</v>
      </c>
      <c r="Z17" s="17">
        <v>2557.6579999999999</v>
      </c>
      <c r="AA17" s="17">
        <v>2474.9140000000002</v>
      </c>
      <c r="AB17" s="17">
        <v>2397.8310000000001</v>
      </c>
      <c r="AC17" s="17">
        <v>2340.3809999999999</v>
      </c>
      <c r="AD17" s="17">
        <v>2307.1779999999999</v>
      </c>
      <c r="AE17" s="17">
        <v>2293.136</v>
      </c>
      <c r="AF17" s="17">
        <v>2286.183</v>
      </c>
      <c r="AG17" s="17">
        <v>2285.8760000000002</v>
      </c>
      <c r="AH17" s="17">
        <v>2298.8240000000001</v>
      </c>
      <c r="AI17" s="17">
        <v>2326.1709999999998</v>
      </c>
      <c r="AJ17" s="17">
        <v>2363.1889999999999</v>
      </c>
      <c r="AK17" s="17">
        <v>2402.4450000000002</v>
      </c>
      <c r="AL17" s="17">
        <v>2443.556</v>
      </c>
      <c r="AM17" s="17">
        <v>2481.223</v>
      </c>
      <c r="AN17" s="17">
        <v>2511.4279999999999</v>
      </c>
      <c r="AO17" s="17">
        <v>2534.2510000000002</v>
      </c>
      <c r="AP17" s="17">
        <v>2556.1979999999999</v>
      </c>
      <c r="AQ17" s="17">
        <v>2578.8620000000001</v>
      </c>
      <c r="AR17" s="17">
        <v>2579.9969999999998</v>
      </c>
      <c r="AS17" s="17">
        <v>2550.0970000000002</v>
      </c>
      <c r="AT17" s="17">
        <v>2499.5219999999999</v>
      </c>
      <c r="AU17" s="17">
        <v>2447.971</v>
      </c>
      <c r="AV17" s="17">
        <v>2391.3009999999999</v>
      </c>
      <c r="AW17" s="17">
        <v>2340.8629999999998</v>
      </c>
      <c r="AX17" s="17">
        <v>2304.2339999999999</v>
      </c>
      <c r="AY17" s="17">
        <v>2276.0810000000001</v>
      </c>
      <c r="AZ17" s="17">
        <v>2242.4549999999999</v>
      </c>
      <c r="BA17" s="17">
        <v>2204.8989999999999</v>
      </c>
      <c r="BB17" s="17">
        <v>2170.1799999999998</v>
      </c>
      <c r="BC17" s="17">
        <v>2139.873</v>
      </c>
      <c r="BD17" s="17">
        <v>2111.194</v>
      </c>
      <c r="BE17" s="17">
        <v>2080.471</v>
      </c>
      <c r="BF17" s="17">
        <v>2049.2559999999999</v>
      </c>
      <c r="BG17" s="17">
        <v>2008.78</v>
      </c>
      <c r="BH17" s="17">
        <v>1954.5650000000001</v>
      </c>
      <c r="BI17" s="17">
        <v>1890.732</v>
      </c>
      <c r="BJ17" s="17">
        <v>1826.7819999999999</v>
      </c>
      <c r="BK17" s="17">
        <v>1761.904</v>
      </c>
      <c r="BL17" s="17">
        <v>1693.9349999999999</v>
      </c>
      <c r="BM17" s="17">
        <v>1623.1089999999999</v>
      </c>
      <c r="BN17" s="17">
        <v>1550.778</v>
      </c>
      <c r="BO17" s="17">
        <v>1477.1089999999999</v>
      </c>
      <c r="BP17" s="17">
        <v>1400.9259999999999</v>
      </c>
      <c r="BQ17" s="17">
        <v>1332.2</v>
      </c>
      <c r="BR17" s="17">
        <v>1275.5509999999999</v>
      </c>
      <c r="BS17" s="17">
        <v>1226.31</v>
      </c>
      <c r="BT17" s="17">
        <v>1175.6389999999999</v>
      </c>
      <c r="BU17" s="17">
        <v>1125.847</v>
      </c>
      <c r="BV17" s="17">
        <v>1070.8109999999999</v>
      </c>
      <c r="BW17" s="17">
        <v>1006.764</v>
      </c>
      <c r="BX17" s="17">
        <v>936.97199999999998</v>
      </c>
      <c r="BY17" s="17">
        <v>869.01400000000001</v>
      </c>
      <c r="BZ17" s="17">
        <v>802.03899999999999</v>
      </c>
      <c r="CA17" s="17">
        <v>734.59400000000005</v>
      </c>
      <c r="CB17" s="17">
        <v>666.93200000000002</v>
      </c>
      <c r="CC17" s="17">
        <v>599.80499999999995</v>
      </c>
      <c r="CD17" s="17">
        <v>534.13099999999997</v>
      </c>
      <c r="CE17" s="17">
        <v>470.23</v>
      </c>
      <c r="CF17" s="17">
        <v>409.21499999999997</v>
      </c>
      <c r="CG17" s="17">
        <v>351.89800000000002</v>
      </c>
      <c r="CH17" s="17">
        <v>298.43900000000002</v>
      </c>
      <c r="CI17" s="17">
        <v>247.75</v>
      </c>
      <c r="CJ17" s="17">
        <v>199.53399999999999</v>
      </c>
      <c r="CK17" s="17">
        <v>158.58699999999999</v>
      </c>
      <c r="CL17" s="17">
        <v>127.027</v>
      </c>
      <c r="CM17" s="17">
        <v>102.727</v>
      </c>
      <c r="CN17" s="17">
        <v>78.528999999999996</v>
      </c>
      <c r="CO17" s="17">
        <v>61.848999999999997</v>
      </c>
      <c r="CP17" s="17">
        <v>50.677</v>
      </c>
      <c r="CQ17" s="17">
        <v>37.335999999999999</v>
      </c>
      <c r="CR17" s="17">
        <v>21.824000000000002</v>
      </c>
      <c r="CS17" s="17">
        <v>12.648999999999999</v>
      </c>
      <c r="CT17" s="17">
        <v>10.372999999999999</v>
      </c>
      <c r="CU17" s="17">
        <v>8.0389999999999997</v>
      </c>
      <c r="CV17" s="17">
        <v>5.6479999999999997</v>
      </c>
      <c r="CW17" s="17">
        <v>3.1970000000000001</v>
      </c>
      <c r="CX17" s="17">
        <v>5.569</v>
      </c>
      <c r="CY17" s="3">
        <f t="shared" ref="CY17:CY80" si="87">SUM(B17:CX17)</f>
        <v>199733.67899999997</v>
      </c>
      <c r="CZ17" s="21">
        <f t="shared" si="3"/>
        <v>128916.22299999998</v>
      </c>
      <c r="DA17">
        <f t="shared" si="4"/>
        <v>2.6040842043596021E-2</v>
      </c>
      <c r="DB17">
        <f t="shared" si="5"/>
        <v>2.4803030414566211E-2</v>
      </c>
      <c r="DC17">
        <f t="shared" si="6"/>
        <v>2.3604065719486683E-2</v>
      </c>
      <c r="DD17">
        <f t="shared" si="7"/>
        <v>2.2409002783148561E-2</v>
      </c>
      <c r="DE17">
        <f t="shared" si="8"/>
        <v>2.1347445154361995E-2</v>
      </c>
      <c r="DF17">
        <f t="shared" si="9"/>
        <v>2.0507395721638542E-2</v>
      </c>
      <c r="DG17">
        <f t="shared" si="10"/>
        <v>1.9839690773441294E-2</v>
      </c>
      <c r="DH17">
        <f t="shared" si="11"/>
        <v>1.9197847581991296E-2</v>
      </c>
      <c r="DI17">
        <f t="shared" si="12"/>
        <v>1.8599916629577336E-2</v>
      </c>
      <c r="DJ17">
        <f t="shared" si="13"/>
        <v>1.8154278379688492E-2</v>
      </c>
      <c r="DK17">
        <f t="shared" si="14"/>
        <v>1.7896723517877189E-2</v>
      </c>
      <c r="DL17">
        <f t="shared" si="15"/>
        <v>1.7787800066094088E-2</v>
      </c>
      <c r="DM17">
        <f t="shared" si="16"/>
        <v>1.7733865814545315E-2</v>
      </c>
      <c r="DN17">
        <f t="shared" si="17"/>
        <v>1.7731484423027199E-2</v>
      </c>
      <c r="DO17">
        <f t="shared" si="18"/>
        <v>1.7831921743472118E-2</v>
      </c>
      <c r="DP17">
        <f t="shared" si="19"/>
        <v>1.8044051755999709E-2</v>
      </c>
      <c r="DQ17">
        <f t="shared" si="20"/>
        <v>1.8331199479835834E-2</v>
      </c>
      <c r="DR17">
        <f t="shared" si="21"/>
        <v>1.8635707315129767E-2</v>
      </c>
      <c r="DS17">
        <f t="shared" si="22"/>
        <v>1.8954604340215585E-2</v>
      </c>
      <c r="DT17">
        <f t="shared" si="23"/>
        <v>1.9246786341234962E-2</v>
      </c>
      <c r="DU17">
        <f t="shared" si="24"/>
        <v>1.9481085790110375E-2</v>
      </c>
      <c r="DV17">
        <f t="shared" si="25"/>
        <v>1.9658123244892155E-2</v>
      </c>
      <c r="DW17">
        <f t="shared" si="26"/>
        <v>1.9828365589022883E-2</v>
      </c>
      <c r="DX17">
        <f t="shared" si="27"/>
        <v>2.0004169684679642E-2</v>
      </c>
      <c r="DY17">
        <f t="shared" si="28"/>
        <v>2.0012973852018612E-2</v>
      </c>
      <c r="DZ17">
        <f t="shared" si="29"/>
        <v>1.9781040280710059E-2</v>
      </c>
      <c r="EA17">
        <f t="shared" si="30"/>
        <v>1.9388731238270923E-2</v>
      </c>
      <c r="EB17">
        <f t="shared" si="31"/>
        <v>1.8988851387617835E-2</v>
      </c>
      <c r="EC17">
        <f t="shared" si="32"/>
        <v>1.8549263578719648E-2</v>
      </c>
      <c r="ED17">
        <f t="shared" si="33"/>
        <v>1.8158017241941691E-2</v>
      </c>
      <c r="EE17">
        <f t="shared" si="34"/>
        <v>1.7873886981625269E-2</v>
      </c>
      <c r="EF17">
        <f t="shared" si="35"/>
        <v>1.7655504846740666E-2</v>
      </c>
      <c r="EG17">
        <f t="shared" si="36"/>
        <v>1.7394668784238274E-2</v>
      </c>
      <c r="EH17">
        <f t="shared" si="37"/>
        <v>1.7103347807513724E-2</v>
      </c>
      <c r="EI17">
        <f t="shared" si="38"/>
        <v>1.6834033370648784E-2</v>
      </c>
      <c r="EJ17">
        <f t="shared" si="39"/>
        <v>1.6598942710259208E-2</v>
      </c>
      <c r="EK17">
        <f t="shared" si="40"/>
        <v>1.637648040619372E-2</v>
      </c>
      <c r="EL17">
        <f t="shared" si="41"/>
        <v>1.6138162843942459E-2</v>
      </c>
      <c r="EM17">
        <f t="shared" si="42"/>
        <v>1.5896028849681703E-2</v>
      </c>
      <c r="EN17">
        <f t="shared" si="43"/>
        <v>1.5582057504120332E-2</v>
      </c>
      <c r="EO17">
        <f t="shared" si="44"/>
        <v>1.5161513070391461E-2</v>
      </c>
      <c r="EP17">
        <f t="shared" si="45"/>
        <v>1.4666362045062399E-2</v>
      </c>
      <c r="EQ17">
        <f t="shared" si="46"/>
        <v>1.4170303453584738E-2</v>
      </c>
      <c r="ER17">
        <f t="shared" si="47"/>
        <v>1.366704638872332E-2</v>
      </c>
      <c r="ES17">
        <f t="shared" si="48"/>
        <v>1.3139812512192513E-2</v>
      </c>
      <c r="ET17">
        <f t="shared" si="49"/>
        <v>1.2590416956289513E-2</v>
      </c>
      <c r="EU17">
        <f t="shared" si="50"/>
        <v>1.2029347152064796E-2</v>
      </c>
      <c r="EV17">
        <f t="shared" si="51"/>
        <v>1.1457898514448412E-2</v>
      </c>
      <c r="EW17">
        <f t="shared" si="52"/>
        <v>1.0866948840100598E-2</v>
      </c>
      <c r="EX17">
        <f t="shared" si="53"/>
        <v>1.0333842933018603E-2</v>
      </c>
      <c r="EY17">
        <f t="shared" si="54"/>
        <v>9.8944180206086245E-3</v>
      </c>
      <c r="EZ17">
        <f t="shared" si="55"/>
        <v>9.5124567836586404E-3</v>
      </c>
      <c r="FA17">
        <f t="shared" si="56"/>
        <v>9.1194030715591162E-3</v>
      </c>
      <c r="FB17">
        <f t="shared" si="57"/>
        <v>8.7331677410375265E-3</v>
      </c>
      <c r="FC17">
        <f t="shared" si="58"/>
        <v>8.3062548303172064E-3</v>
      </c>
      <c r="FD17">
        <f t="shared" si="59"/>
        <v>7.8094438122035276E-3</v>
      </c>
      <c r="FE17">
        <f t="shared" si="60"/>
        <v>7.2680689691009652E-3</v>
      </c>
      <c r="FF17">
        <f t="shared" si="61"/>
        <v>6.7409204193020775E-3</v>
      </c>
      <c r="FG17">
        <f t="shared" si="62"/>
        <v>6.2213969765465447E-3</v>
      </c>
      <c r="FH17">
        <f t="shared" si="63"/>
        <v>5.6982277552453595E-3</v>
      </c>
      <c r="FI17">
        <f t="shared" si="64"/>
        <v>5.1733752702326696E-3</v>
      </c>
      <c r="FJ17">
        <f t="shared" si="65"/>
        <v>4.6526727671815206E-3</v>
      </c>
      <c r="FK17">
        <f t="shared" si="66"/>
        <v>4.1432411497193808E-3</v>
      </c>
      <c r="FL17">
        <f t="shared" si="67"/>
        <v>3.6475626500475436E-3</v>
      </c>
      <c r="FM17">
        <f t="shared" si="68"/>
        <v>3.17427078204114E-3</v>
      </c>
      <c r="FN17">
        <f t="shared" si="69"/>
        <v>2.7296642099109594E-3</v>
      </c>
      <c r="FO17">
        <f t="shared" si="70"/>
        <v>2.3149840497576481E-3</v>
      </c>
      <c r="FP17">
        <f t="shared" si="71"/>
        <v>1.9217907120968013E-3</v>
      </c>
      <c r="FQ17">
        <f t="shared" si="72"/>
        <v>1.5477803751665919E-3</v>
      </c>
      <c r="FR17">
        <f t="shared" si="73"/>
        <v>1.2301554940839371E-3</v>
      </c>
      <c r="FS17">
        <f t="shared" si="74"/>
        <v>9.8534534323116191E-4</v>
      </c>
      <c r="FT17">
        <f t="shared" si="75"/>
        <v>7.9685083544528E-4</v>
      </c>
      <c r="FU17">
        <f t="shared" si="76"/>
        <v>6.0914753917356082E-4</v>
      </c>
      <c r="FV17">
        <f t="shared" si="77"/>
        <v>4.7976118568102952E-4</v>
      </c>
      <c r="FW17">
        <f t="shared" si="78"/>
        <v>3.9310025395329807E-4</v>
      </c>
      <c r="FX17">
        <f t="shared" si="79"/>
        <v>2.896144420861601E-4</v>
      </c>
      <c r="FY17">
        <f t="shared" si="80"/>
        <v>1.6928823612835759E-4</v>
      </c>
      <c r="FZ17">
        <f t="shared" si="81"/>
        <v>9.8117984731836271E-5</v>
      </c>
      <c r="GA17">
        <f t="shared" si="82"/>
        <v>8.046310820012157E-5</v>
      </c>
      <c r="GB17">
        <f t="shared" si="83"/>
        <v>6.2358327081922041E-5</v>
      </c>
      <c r="GC17">
        <f t="shared" si="84"/>
        <v>4.3811398352866736E-5</v>
      </c>
      <c r="GD17">
        <f t="shared" si="85"/>
        <v>2.4799051086068512E-5</v>
      </c>
      <c r="GE17">
        <f t="shared" si="86"/>
        <v>4.319859727817189E-5</v>
      </c>
    </row>
    <row r="18" spans="1:187">
      <c r="A18" s="4">
        <v>1966</v>
      </c>
      <c r="B18" s="17">
        <v>3561.788</v>
      </c>
      <c r="C18" s="17">
        <v>3729.7</v>
      </c>
      <c r="D18" s="17">
        <v>3884.442</v>
      </c>
      <c r="E18" s="17">
        <v>4006.3760000000002</v>
      </c>
      <c r="F18" s="17">
        <v>4097.6809999999996</v>
      </c>
      <c r="G18" s="17">
        <v>4160.5349999999999</v>
      </c>
      <c r="H18" s="17">
        <v>4197.6400000000003</v>
      </c>
      <c r="I18" s="17">
        <v>4211.6989999999996</v>
      </c>
      <c r="J18" s="17">
        <v>4202.2709999999997</v>
      </c>
      <c r="K18" s="17">
        <v>4170.4889999999996</v>
      </c>
      <c r="L18" s="17">
        <v>4120.1019999999999</v>
      </c>
      <c r="M18" s="17">
        <v>4053.239</v>
      </c>
      <c r="N18" s="17">
        <v>3968.8879999999999</v>
      </c>
      <c r="O18" s="17">
        <v>3885.183</v>
      </c>
      <c r="P18" s="17">
        <v>3811.2060000000001</v>
      </c>
      <c r="Q18" s="17">
        <v>3740.0889999999999</v>
      </c>
      <c r="R18" s="17">
        <v>3659.59</v>
      </c>
      <c r="S18" s="17">
        <v>3576.614</v>
      </c>
      <c r="T18" s="17">
        <v>3472.8490000000002</v>
      </c>
      <c r="U18" s="17">
        <v>3339.3989999999999</v>
      </c>
      <c r="V18" s="17">
        <v>3188.386</v>
      </c>
      <c r="W18" s="17">
        <v>3041.6669999999999</v>
      </c>
      <c r="X18" s="17">
        <v>2895.884</v>
      </c>
      <c r="Y18" s="17">
        <v>2764.9</v>
      </c>
      <c r="Z18" s="17">
        <v>2658.1680000000001</v>
      </c>
      <c r="AA18" s="17">
        <v>2570.7919999999999</v>
      </c>
      <c r="AB18" s="17">
        <v>2487.3829999999998</v>
      </c>
      <c r="AC18" s="17">
        <v>2409.7710000000002</v>
      </c>
      <c r="AD18" s="17">
        <v>2351.0880000000002</v>
      </c>
      <c r="AE18" s="17">
        <v>2315.9459999999999</v>
      </c>
      <c r="AF18" s="17">
        <v>2299.538</v>
      </c>
      <c r="AG18" s="17">
        <v>2289.9389999999999</v>
      </c>
      <c r="AH18" s="17">
        <v>2286.5259999999998</v>
      </c>
      <c r="AI18" s="17">
        <v>2297.48</v>
      </c>
      <c r="AJ18" s="17">
        <v>2324.694</v>
      </c>
      <c r="AK18" s="17">
        <v>2362.7289999999998</v>
      </c>
      <c r="AL18" s="17">
        <v>2402.73</v>
      </c>
      <c r="AM18" s="17">
        <v>2444.6460000000002</v>
      </c>
      <c r="AN18" s="17">
        <v>2482.4940000000001</v>
      </c>
      <c r="AO18" s="17">
        <v>2511.79</v>
      </c>
      <c r="AP18" s="17">
        <v>2532.9940000000001</v>
      </c>
      <c r="AQ18" s="17">
        <v>2553.4659999999999</v>
      </c>
      <c r="AR18" s="17">
        <v>2574.6350000000002</v>
      </c>
      <c r="AS18" s="17">
        <v>2574.317</v>
      </c>
      <c r="AT18" s="17">
        <v>2543.1260000000002</v>
      </c>
      <c r="AU18" s="17">
        <v>2491.3470000000002</v>
      </c>
      <c r="AV18" s="17">
        <v>2438.415</v>
      </c>
      <c r="AW18" s="17">
        <v>2380.1489999999999</v>
      </c>
      <c r="AX18" s="17">
        <v>2328.337</v>
      </c>
      <c r="AY18" s="17">
        <v>2290.7159999999999</v>
      </c>
      <c r="AZ18" s="17">
        <v>2261.723</v>
      </c>
      <c r="BA18" s="17">
        <v>2227.2449999999999</v>
      </c>
      <c r="BB18" s="17">
        <v>2189.1350000000002</v>
      </c>
      <c r="BC18" s="17">
        <v>2152.6309999999999</v>
      </c>
      <c r="BD18" s="17">
        <v>2118.6190000000001</v>
      </c>
      <c r="BE18" s="17">
        <v>2085.1619999999998</v>
      </c>
      <c r="BF18" s="17">
        <v>2049.8530000000001</v>
      </c>
      <c r="BG18" s="17">
        <v>2013.6690000000001</v>
      </c>
      <c r="BH18" s="17">
        <v>1970.2639999999999</v>
      </c>
      <c r="BI18" s="17">
        <v>1916.3889999999999</v>
      </c>
      <c r="BJ18" s="17">
        <v>1854.8979999999999</v>
      </c>
      <c r="BK18" s="17">
        <v>1792.9590000000001</v>
      </c>
      <c r="BL18" s="17">
        <v>1730.4159999999999</v>
      </c>
      <c r="BM18" s="17">
        <v>1663.204</v>
      </c>
      <c r="BN18" s="17">
        <v>1590.431</v>
      </c>
      <c r="BO18" s="17">
        <v>1514.4670000000001</v>
      </c>
      <c r="BP18" s="17">
        <v>1437.6120000000001</v>
      </c>
      <c r="BQ18" s="17">
        <v>1358.26</v>
      </c>
      <c r="BR18" s="17">
        <v>1286.9269999999999</v>
      </c>
      <c r="BS18" s="17">
        <v>1228.7190000000001</v>
      </c>
      <c r="BT18" s="17">
        <v>1178.6379999999999</v>
      </c>
      <c r="BU18" s="17">
        <v>1127.0709999999999</v>
      </c>
      <c r="BV18" s="17">
        <v>1076.5229999999999</v>
      </c>
      <c r="BW18" s="17">
        <v>1020.84</v>
      </c>
      <c r="BX18" s="17">
        <v>956.173</v>
      </c>
      <c r="BY18" s="17">
        <v>885.90099999999995</v>
      </c>
      <c r="BZ18" s="17">
        <v>817.78899999999999</v>
      </c>
      <c r="CA18" s="17">
        <v>750.93299999999999</v>
      </c>
      <c r="CB18" s="17">
        <v>684.11300000000006</v>
      </c>
      <c r="CC18" s="17">
        <v>617.71600000000001</v>
      </c>
      <c r="CD18" s="17">
        <v>552.38599999999997</v>
      </c>
      <c r="CE18" s="17">
        <v>488.69299999999998</v>
      </c>
      <c r="CF18" s="17">
        <v>426.89600000000002</v>
      </c>
      <c r="CG18" s="17">
        <v>368.64100000000002</v>
      </c>
      <c r="CH18" s="17">
        <v>314.93</v>
      </c>
      <c r="CI18" s="17">
        <v>265.613</v>
      </c>
      <c r="CJ18" s="17">
        <v>218.19900000000001</v>
      </c>
      <c r="CK18" s="17">
        <v>174.441</v>
      </c>
      <c r="CL18" s="17">
        <v>138.965</v>
      </c>
      <c r="CM18" s="17">
        <v>110.652</v>
      </c>
      <c r="CN18" s="17">
        <v>87.801000000000002</v>
      </c>
      <c r="CO18" s="17">
        <v>66.528000000000006</v>
      </c>
      <c r="CP18" s="17">
        <v>52.594999999999999</v>
      </c>
      <c r="CQ18" s="17">
        <v>42.988999999999997</v>
      </c>
      <c r="CR18" s="17">
        <v>31.567</v>
      </c>
      <c r="CS18" s="17">
        <v>18.327000000000002</v>
      </c>
      <c r="CT18" s="17">
        <v>11.052</v>
      </c>
      <c r="CU18" s="17">
        <v>8.5730000000000004</v>
      </c>
      <c r="CV18" s="17">
        <v>5.9939999999999998</v>
      </c>
      <c r="CW18" s="17">
        <v>3.3159999999999998</v>
      </c>
      <c r="CX18" s="17">
        <v>5.4889999999999999</v>
      </c>
      <c r="CY18" s="3">
        <f t="shared" si="87"/>
        <v>201895.76</v>
      </c>
      <c r="CZ18" s="21">
        <f t="shared" si="3"/>
        <v>130858.22799999997</v>
      </c>
      <c r="DA18">
        <f t="shared" si="4"/>
        <v>2.6539019006126239E-2</v>
      </c>
      <c r="DB18">
        <f t="shared" si="5"/>
        <v>2.5519213052464691E-2</v>
      </c>
      <c r="DC18">
        <f t="shared" si="6"/>
        <v>2.4365193146280422E-2</v>
      </c>
      <c r="DD18">
        <f t="shared" si="7"/>
        <v>2.3243987378462748E-2</v>
      </c>
      <c r="DE18">
        <f t="shared" si="8"/>
        <v>2.2129934389758056E-2</v>
      </c>
      <c r="DF18">
        <f t="shared" si="9"/>
        <v>2.1128973257990322E-2</v>
      </c>
      <c r="DG18">
        <f t="shared" si="10"/>
        <v>2.0313342467085833E-2</v>
      </c>
      <c r="DH18">
        <f t="shared" si="11"/>
        <v>1.9645627480145922E-2</v>
      </c>
      <c r="DI18">
        <f t="shared" si="12"/>
        <v>1.900822774399788E-2</v>
      </c>
      <c r="DJ18">
        <f t="shared" si="13"/>
        <v>1.8415127858830555E-2</v>
      </c>
      <c r="DK18">
        <f t="shared" si="14"/>
        <v>1.796668070425041E-2</v>
      </c>
      <c r="DL18">
        <f t="shared" si="15"/>
        <v>1.7698130529476528E-2</v>
      </c>
      <c r="DM18">
        <f t="shared" si="16"/>
        <v>1.757274292297463E-2</v>
      </c>
      <c r="DN18">
        <f t="shared" si="17"/>
        <v>1.7499388727776448E-2</v>
      </c>
      <c r="DO18">
        <f t="shared" si="18"/>
        <v>1.7473307066331361E-2</v>
      </c>
      <c r="DP18">
        <f t="shared" si="19"/>
        <v>1.7557015979155707E-2</v>
      </c>
      <c r="DQ18">
        <f t="shared" si="20"/>
        <v>1.7764981503493999E-2</v>
      </c>
      <c r="DR18">
        <f t="shared" si="21"/>
        <v>1.8055639573539086E-2</v>
      </c>
      <c r="DS18">
        <f t="shared" si="22"/>
        <v>1.8361321536464643E-2</v>
      </c>
      <c r="DT18">
        <f t="shared" si="23"/>
        <v>1.8681637657511307E-2</v>
      </c>
      <c r="DU18">
        <f t="shared" si="24"/>
        <v>1.8970866700105404E-2</v>
      </c>
      <c r="DV18">
        <f t="shared" si="25"/>
        <v>1.9194742572855261E-2</v>
      </c>
      <c r="DW18">
        <f t="shared" si="26"/>
        <v>1.9356780530453161E-2</v>
      </c>
      <c r="DX18">
        <f t="shared" si="27"/>
        <v>1.951322464797552E-2</v>
      </c>
      <c r="DY18">
        <f t="shared" si="28"/>
        <v>1.9674995140542488E-2</v>
      </c>
      <c r="DZ18">
        <f t="shared" si="29"/>
        <v>1.9672565029689996E-2</v>
      </c>
      <c r="EA18">
        <f t="shared" si="30"/>
        <v>1.9434207835979565E-2</v>
      </c>
      <c r="EB18">
        <f t="shared" si="31"/>
        <v>1.9038520069215675E-2</v>
      </c>
      <c r="EC18">
        <f t="shared" si="32"/>
        <v>1.8634021240147011E-2</v>
      </c>
      <c r="ED18">
        <f t="shared" si="33"/>
        <v>1.8188760740363994E-2</v>
      </c>
      <c r="EE18">
        <f t="shared" si="34"/>
        <v>1.7792820792285224E-2</v>
      </c>
      <c r="EF18">
        <f t="shared" si="35"/>
        <v>1.7505326451463184E-2</v>
      </c>
      <c r="EG18">
        <f t="shared" si="36"/>
        <v>1.7283766061695412E-2</v>
      </c>
      <c r="EH18">
        <f t="shared" si="37"/>
        <v>1.7020290080651253E-2</v>
      </c>
      <c r="EI18">
        <f t="shared" si="38"/>
        <v>1.6729058871254168E-2</v>
      </c>
      <c r="EJ18">
        <f t="shared" si="39"/>
        <v>1.6450100485847937E-2</v>
      </c>
      <c r="EK18">
        <f t="shared" si="40"/>
        <v>1.6190185610644219E-2</v>
      </c>
      <c r="EL18">
        <f t="shared" si="41"/>
        <v>1.5934511966645307E-2</v>
      </c>
      <c r="EM18">
        <f t="shared" si="42"/>
        <v>1.5664685601580977E-2</v>
      </c>
      <c r="EN18">
        <f t="shared" si="43"/>
        <v>1.5388172610743288E-2</v>
      </c>
      <c r="EO18">
        <f t="shared" si="44"/>
        <v>1.5056477763094885E-2</v>
      </c>
      <c r="EP18">
        <f t="shared" si="45"/>
        <v>1.4644772661907056E-2</v>
      </c>
      <c r="EQ18">
        <f t="shared" si="46"/>
        <v>1.4174867169987969E-2</v>
      </c>
      <c r="ER18">
        <f t="shared" si="47"/>
        <v>1.3701538125672926E-2</v>
      </c>
      <c r="ES18">
        <f t="shared" si="48"/>
        <v>1.3223593399109763E-2</v>
      </c>
      <c r="ET18">
        <f t="shared" si="49"/>
        <v>1.2709968837419993E-2</v>
      </c>
      <c r="EU18">
        <f t="shared" si="50"/>
        <v>1.215384790324381E-2</v>
      </c>
      <c r="EV18">
        <f t="shared" si="51"/>
        <v>1.1573341800104464E-2</v>
      </c>
      <c r="EW18">
        <f t="shared" si="52"/>
        <v>1.098602680146334E-2</v>
      </c>
      <c r="EX18">
        <f t="shared" si="53"/>
        <v>1.0379630083329573E-2</v>
      </c>
      <c r="EY18">
        <f t="shared" si="54"/>
        <v>9.8345134247118191E-3</v>
      </c>
      <c r="EZ18">
        <f t="shared" si="55"/>
        <v>9.3896961526943514E-3</v>
      </c>
      <c r="FA18">
        <f t="shared" si="56"/>
        <v>9.0069842608597774E-3</v>
      </c>
      <c r="FB18">
        <f t="shared" si="57"/>
        <v>8.6129165679975448E-3</v>
      </c>
      <c r="FC18">
        <f t="shared" si="58"/>
        <v>8.2266359284645062E-3</v>
      </c>
      <c r="FD18">
        <f t="shared" si="59"/>
        <v>7.801114347964426E-3</v>
      </c>
      <c r="FE18">
        <f t="shared" si="60"/>
        <v>7.3069383149525777E-3</v>
      </c>
      <c r="FF18">
        <f t="shared" si="61"/>
        <v>6.769929667701141E-3</v>
      </c>
      <c r="FG18">
        <f t="shared" si="62"/>
        <v>6.2494274337873516E-3</v>
      </c>
      <c r="FH18">
        <f t="shared" si="63"/>
        <v>5.7385233735550824E-3</v>
      </c>
      <c r="FI18">
        <f t="shared" si="64"/>
        <v>5.2278944202117745E-3</v>
      </c>
      <c r="FJ18">
        <f t="shared" si="65"/>
        <v>4.7204979728137546E-3</v>
      </c>
      <c r="FK18">
        <f t="shared" si="66"/>
        <v>4.2212553879302115E-3</v>
      </c>
      <c r="FL18">
        <f t="shared" si="67"/>
        <v>3.7345225246363575E-3</v>
      </c>
      <c r="FM18">
        <f t="shared" si="68"/>
        <v>3.2622786241611043E-3</v>
      </c>
      <c r="FN18">
        <f t="shared" si="69"/>
        <v>2.8171021848163807E-3</v>
      </c>
      <c r="FO18">
        <f t="shared" si="70"/>
        <v>2.4066503483449286E-3</v>
      </c>
      <c r="FP18">
        <f t="shared" si="71"/>
        <v>2.0297768360427442E-3</v>
      </c>
      <c r="FQ18">
        <f t="shared" si="72"/>
        <v>1.6674457795653481E-3</v>
      </c>
      <c r="FR18">
        <f t="shared" si="73"/>
        <v>1.3330533560335239E-3</v>
      </c>
      <c r="FS18">
        <f t="shared" si="74"/>
        <v>1.0619508006787317E-3</v>
      </c>
      <c r="FT18">
        <f t="shared" si="75"/>
        <v>8.4558687436910745E-4</v>
      </c>
      <c r="FU18">
        <f t="shared" si="76"/>
        <v>6.7096277660125443E-4</v>
      </c>
      <c r="FV18">
        <f t="shared" si="77"/>
        <v>5.0839753079951551E-4</v>
      </c>
      <c r="FW18">
        <f t="shared" si="78"/>
        <v>4.0192352291366814E-4</v>
      </c>
      <c r="FX18">
        <f t="shared" si="79"/>
        <v>3.2851583470930085E-4</v>
      </c>
      <c r="FY18">
        <f t="shared" si="80"/>
        <v>2.4123053232846778E-4</v>
      </c>
      <c r="FZ18">
        <f t="shared" si="81"/>
        <v>1.4005233205511544E-4</v>
      </c>
      <c r="GA18">
        <f t="shared" si="82"/>
        <v>8.4457814910958464E-5</v>
      </c>
      <c r="GB18">
        <f t="shared" si="83"/>
        <v>6.5513648862798311E-5</v>
      </c>
      <c r="GC18">
        <f t="shared" si="84"/>
        <v>4.5805297011969326E-5</v>
      </c>
      <c r="GD18">
        <f t="shared" si="85"/>
        <v>2.5340401216498214E-5</v>
      </c>
      <c r="GE18">
        <f t="shared" si="86"/>
        <v>4.1946158708491764E-5</v>
      </c>
    </row>
    <row r="19" spans="1:187">
      <c r="A19" s="4">
        <v>1967</v>
      </c>
      <c r="B19" s="17">
        <v>3447.5189999999998</v>
      </c>
      <c r="C19" s="17">
        <v>3652.1779999999999</v>
      </c>
      <c r="D19" s="17">
        <v>3772.25</v>
      </c>
      <c r="E19" s="17">
        <v>3911.6039999999998</v>
      </c>
      <c r="F19" s="17">
        <v>4022.7469999999998</v>
      </c>
      <c r="G19" s="17">
        <v>4107.1469999999999</v>
      </c>
      <c r="H19" s="17">
        <v>4166.2730000000001</v>
      </c>
      <c r="I19" s="17">
        <v>4202.6409999999996</v>
      </c>
      <c r="J19" s="17">
        <v>4218.7659999999996</v>
      </c>
      <c r="K19" s="17">
        <v>4210.8779999999997</v>
      </c>
      <c r="L19" s="17">
        <v>4178.3519999999999</v>
      </c>
      <c r="M19" s="17">
        <v>4125.7969999999996</v>
      </c>
      <c r="N19" s="17">
        <v>4058.4470000000001</v>
      </c>
      <c r="O19" s="17">
        <v>3975.2489999999998</v>
      </c>
      <c r="P19" s="17">
        <v>3890.2739999999999</v>
      </c>
      <c r="Q19" s="17">
        <v>3811.078</v>
      </c>
      <c r="R19" s="17">
        <v>3732.616</v>
      </c>
      <c r="S19" s="17">
        <v>3645.4389999999999</v>
      </c>
      <c r="T19" s="17">
        <v>3555.2220000000002</v>
      </c>
      <c r="U19" s="17">
        <v>3448.6860000000001</v>
      </c>
      <c r="V19" s="17">
        <v>3319.5120000000002</v>
      </c>
      <c r="W19" s="17">
        <v>3177.1689999999999</v>
      </c>
      <c r="X19" s="17">
        <v>3038.402</v>
      </c>
      <c r="Y19" s="17">
        <v>2901.0079999999998</v>
      </c>
      <c r="Z19" s="17">
        <v>2775.9839999999999</v>
      </c>
      <c r="AA19" s="17">
        <v>2670.886</v>
      </c>
      <c r="AB19" s="17">
        <v>2582.2660000000001</v>
      </c>
      <c r="AC19" s="17">
        <v>2498.2460000000001</v>
      </c>
      <c r="AD19" s="17">
        <v>2420.1509999999998</v>
      </c>
      <c r="AE19" s="17">
        <v>2360.2719999999999</v>
      </c>
      <c r="AF19" s="17">
        <v>2323.212</v>
      </c>
      <c r="AG19" s="17">
        <v>2304.444</v>
      </c>
      <c r="AH19" s="17">
        <v>2292.2040000000002</v>
      </c>
      <c r="AI19" s="17">
        <v>2285.6819999999998</v>
      </c>
      <c r="AJ19" s="17">
        <v>2294.6329999999998</v>
      </c>
      <c r="AK19" s="17">
        <v>2321.6979999999999</v>
      </c>
      <c r="AL19" s="17">
        <v>2360.7280000000001</v>
      </c>
      <c r="AM19" s="17">
        <v>2401.4479999999999</v>
      </c>
      <c r="AN19" s="17">
        <v>2444.145</v>
      </c>
      <c r="AO19" s="17">
        <v>2482.1509999999998</v>
      </c>
      <c r="AP19" s="17">
        <v>2510.518</v>
      </c>
      <c r="AQ19" s="17">
        <v>2530.0880000000002</v>
      </c>
      <c r="AR19" s="17">
        <v>2549.0709999999999</v>
      </c>
      <c r="AS19" s="17">
        <v>2568.73</v>
      </c>
      <c r="AT19" s="17">
        <v>2566.9580000000001</v>
      </c>
      <c r="AU19" s="17">
        <v>2534.4940000000001</v>
      </c>
      <c r="AV19" s="17">
        <v>2481.5450000000001</v>
      </c>
      <c r="AW19" s="17">
        <v>2427.2649999999999</v>
      </c>
      <c r="AX19" s="17">
        <v>2367.44</v>
      </c>
      <c r="AY19" s="17">
        <v>2314.2860000000001</v>
      </c>
      <c r="AZ19" s="17">
        <v>2275.6970000000001</v>
      </c>
      <c r="BA19" s="17">
        <v>2245.88</v>
      </c>
      <c r="BB19" s="17">
        <v>2210.5709999999999</v>
      </c>
      <c r="BC19" s="17">
        <v>2171.933</v>
      </c>
      <c r="BD19" s="17">
        <v>2133.6669999999999</v>
      </c>
      <c r="BE19" s="17">
        <v>2095.9699999999998</v>
      </c>
      <c r="BF19" s="17">
        <v>2057.7530000000002</v>
      </c>
      <c r="BG19" s="17">
        <v>2017.877</v>
      </c>
      <c r="BH19" s="17">
        <v>1976.7449999999999</v>
      </c>
      <c r="BI19" s="17">
        <v>1930.4359999999999</v>
      </c>
      <c r="BJ19" s="17">
        <v>1876.9369999999999</v>
      </c>
      <c r="BK19" s="17">
        <v>1817.8320000000001</v>
      </c>
      <c r="BL19" s="17">
        <v>1757.9449999999999</v>
      </c>
      <c r="BM19" s="17">
        <v>1697.7809999999999</v>
      </c>
      <c r="BN19" s="17">
        <v>1631.3710000000001</v>
      </c>
      <c r="BO19" s="17">
        <v>1556.6980000000001</v>
      </c>
      <c r="BP19" s="17">
        <v>1477.1469999999999</v>
      </c>
      <c r="BQ19" s="17">
        <v>1397.154</v>
      </c>
      <c r="BR19" s="17">
        <v>1314.682</v>
      </c>
      <c r="BS19" s="17">
        <v>1240.787</v>
      </c>
      <c r="BT19" s="17">
        <v>1181.057</v>
      </c>
      <c r="BU19" s="17">
        <v>1130.1679999999999</v>
      </c>
      <c r="BV19" s="17">
        <v>1077.7360000000001</v>
      </c>
      <c r="BW19" s="17">
        <v>1026.4649999999999</v>
      </c>
      <c r="BX19" s="17">
        <v>970.16899999999998</v>
      </c>
      <c r="BY19" s="17">
        <v>904.923</v>
      </c>
      <c r="BZ19" s="17">
        <v>834.21699999999998</v>
      </c>
      <c r="CA19" s="17">
        <v>765.99300000000005</v>
      </c>
      <c r="CB19" s="17">
        <v>699.29899999999998</v>
      </c>
      <c r="CC19" s="17">
        <v>633.149</v>
      </c>
      <c r="CD19" s="17">
        <v>568.06100000000004</v>
      </c>
      <c r="CE19" s="17">
        <v>504.57100000000003</v>
      </c>
      <c r="CF19" s="17">
        <v>442.904</v>
      </c>
      <c r="CG19" s="17">
        <v>383.25200000000001</v>
      </c>
      <c r="CH19" s="17">
        <v>327.79700000000003</v>
      </c>
      <c r="CI19" s="17">
        <v>277.73</v>
      </c>
      <c r="CJ19" s="17">
        <v>232.589</v>
      </c>
      <c r="CK19" s="17">
        <v>188.483</v>
      </c>
      <c r="CL19" s="17">
        <v>149.214</v>
      </c>
      <c r="CM19" s="17">
        <v>119.235</v>
      </c>
      <c r="CN19" s="17">
        <v>94.191000000000003</v>
      </c>
      <c r="CO19" s="17">
        <v>72.805000000000007</v>
      </c>
      <c r="CP19" s="17">
        <v>54.475999999999999</v>
      </c>
      <c r="CQ19" s="17">
        <v>43.298000000000002</v>
      </c>
      <c r="CR19" s="17">
        <v>35.265999999999998</v>
      </c>
      <c r="CS19" s="17">
        <v>25.771999999999998</v>
      </c>
      <c r="CT19" s="17">
        <v>14.815</v>
      </c>
      <c r="CU19" s="17">
        <v>9.3520000000000003</v>
      </c>
      <c r="CV19" s="17">
        <v>6.5119999999999996</v>
      </c>
      <c r="CW19" s="17">
        <v>3.5009999999999999</v>
      </c>
      <c r="CX19" s="17">
        <v>5.4189999999999996</v>
      </c>
      <c r="CY19" s="3">
        <f t="shared" si="87"/>
        <v>203905.08100000003</v>
      </c>
      <c r="CZ19" s="21">
        <f t="shared" si="3"/>
        <v>132775.82599999997</v>
      </c>
      <c r="DA19">
        <f>T19/$CZ19</f>
        <v>2.6776124141754547E-2</v>
      </c>
      <c r="DB19">
        <f t="shared" si="5"/>
        <v>2.5973749167261823E-2</v>
      </c>
      <c r="DC19">
        <f t="shared" si="6"/>
        <v>2.5000876289031717E-2</v>
      </c>
      <c r="DD19">
        <f t="shared" si="7"/>
        <v>2.3928821199726526E-2</v>
      </c>
      <c r="DE19">
        <f t="shared" si="8"/>
        <v>2.2883698723892711E-2</v>
      </c>
      <c r="DF19">
        <f t="shared" si="9"/>
        <v>2.184891698583747E-2</v>
      </c>
      <c r="DG19">
        <f t="shared" si="10"/>
        <v>2.0907299797178445E-2</v>
      </c>
      <c r="DH19">
        <f t="shared" si="11"/>
        <v>2.0115755107409389E-2</v>
      </c>
      <c r="DI19">
        <f t="shared" si="12"/>
        <v>1.9448314333966189E-2</v>
      </c>
      <c r="DJ19">
        <f t="shared" si="13"/>
        <v>1.881551842125238E-2</v>
      </c>
      <c r="DK19">
        <f t="shared" si="14"/>
        <v>1.8227346595456318E-2</v>
      </c>
      <c r="DL19">
        <f t="shared" si="15"/>
        <v>1.7776368418148652E-2</v>
      </c>
      <c r="DM19">
        <f t="shared" si="16"/>
        <v>1.7497251344533157E-2</v>
      </c>
      <c r="DN19">
        <f t="shared" si="17"/>
        <v>1.7355900312757237E-2</v>
      </c>
      <c r="DO19">
        <f t="shared" si="18"/>
        <v>1.7263714857251203E-2</v>
      </c>
      <c r="DP19">
        <f t="shared" si="19"/>
        <v>1.7214594469930095E-2</v>
      </c>
      <c r="DQ19">
        <f t="shared" si="20"/>
        <v>1.7282008850014612E-2</v>
      </c>
      <c r="DR19">
        <f t="shared" si="21"/>
        <v>1.7485848666458307E-2</v>
      </c>
      <c r="DS19">
        <f t="shared" si="22"/>
        <v>1.7779802778255738E-2</v>
      </c>
      <c r="DT19">
        <f t="shared" si="23"/>
        <v>1.8086485110625487E-2</v>
      </c>
      <c r="DU19">
        <f t="shared" si="24"/>
        <v>1.8408057201617412E-2</v>
      </c>
      <c r="DV19">
        <f t="shared" si="25"/>
        <v>1.8694299066156821E-2</v>
      </c>
      <c r="DW19">
        <f t="shared" si="26"/>
        <v>1.8907944884485228E-2</v>
      </c>
      <c r="DX19">
        <f t="shared" si="27"/>
        <v>1.9055336172414401E-2</v>
      </c>
      <c r="DY19">
        <f t="shared" si="28"/>
        <v>1.9198306474854845E-2</v>
      </c>
      <c r="DZ19">
        <f t="shared" si="29"/>
        <v>1.9346368065524221E-2</v>
      </c>
      <c r="EA19">
        <f t="shared" si="30"/>
        <v>1.9333022262651944E-2</v>
      </c>
      <c r="EB19">
        <f t="shared" si="31"/>
        <v>1.908851992379999E-2</v>
      </c>
      <c r="EC19">
        <f t="shared" si="32"/>
        <v>1.8689734982330296E-2</v>
      </c>
      <c r="ED19">
        <f t="shared" si="33"/>
        <v>1.828092562572347E-2</v>
      </c>
      <c r="EE19">
        <f t="shared" si="34"/>
        <v>1.78303541489548E-2</v>
      </c>
      <c r="EF19">
        <f t="shared" si="35"/>
        <v>1.7430025251735211E-2</v>
      </c>
      <c r="EG19">
        <f t="shared" si="36"/>
        <v>1.7139392527672926E-2</v>
      </c>
      <c r="EH19">
        <f t="shared" si="37"/>
        <v>1.69148260467233E-2</v>
      </c>
      <c r="EI19">
        <f t="shared" si="38"/>
        <v>1.6648896614659361E-2</v>
      </c>
      <c r="EJ19">
        <f t="shared" si="39"/>
        <v>1.6357894847515392E-2</v>
      </c>
      <c r="EK19">
        <f t="shared" si="40"/>
        <v>1.6069694795195627E-2</v>
      </c>
      <c r="EL19">
        <f t="shared" si="41"/>
        <v>1.578578016151826E-2</v>
      </c>
      <c r="EM19">
        <f t="shared" si="42"/>
        <v>1.5497949152280178E-2</v>
      </c>
      <c r="EN19">
        <f t="shared" si="43"/>
        <v>1.5197623398705125E-2</v>
      </c>
      <c r="EO19">
        <f t="shared" si="44"/>
        <v>1.4887838091852656E-2</v>
      </c>
      <c r="EP19">
        <f t="shared" si="45"/>
        <v>1.4539062253696696E-2</v>
      </c>
      <c r="EQ19">
        <f t="shared" si="46"/>
        <v>1.4136134991922402E-2</v>
      </c>
      <c r="ER19">
        <f t="shared" si="47"/>
        <v>1.3690986189007029E-2</v>
      </c>
      <c r="ES19">
        <f t="shared" si="48"/>
        <v>1.3239947759767657E-2</v>
      </c>
      <c r="ET19">
        <f t="shared" si="49"/>
        <v>1.2786823107393061E-2</v>
      </c>
      <c r="EU19">
        <f t="shared" si="50"/>
        <v>1.2286656759341119E-2</v>
      </c>
      <c r="EV19">
        <f t="shared" si="51"/>
        <v>1.1724257697331143E-2</v>
      </c>
      <c r="EW19">
        <f t="shared" si="52"/>
        <v>1.1125120019965082E-2</v>
      </c>
      <c r="EX19">
        <f t="shared" si="53"/>
        <v>1.0522653423372417E-2</v>
      </c>
      <c r="EY19">
        <f t="shared" si="54"/>
        <v>9.9015162594431935E-3</v>
      </c>
      <c r="EZ19">
        <f t="shared" si="55"/>
        <v>9.3449766977913608E-3</v>
      </c>
      <c r="FA19">
        <f t="shared" si="56"/>
        <v>8.8951207127116669E-3</v>
      </c>
      <c r="FB19">
        <f t="shared" si="57"/>
        <v>8.5118506436555712E-3</v>
      </c>
      <c r="FC19">
        <f t="shared" si="58"/>
        <v>8.1169594832722052E-3</v>
      </c>
      <c r="FD19">
        <f t="shared" si="59"/>
        <v>7.7308123844772774E-3</v>
      </c>
      <c r="FE19">
        <f t="shared" si="60"/>
        <v>7.3068195410812223E-3</v>
      </c>
      <c r="FF19">
        <f t="shared" si="61"/>
        <v>6.8154198490921096E-3</v>
      </c>
      <c r="FG19">
        <f t="shared" si="62"/>
        <v>6.2828982137155013E-3</v>
      </c>
      <c r="FH19">
        <f t="shared" si="63"/>
        <v>5.7690697401498389E-3</v>
      </c>
      <c r="FI19">
        <f t="shared" si="64"/>
        <v>5.2667644485224303E-3</v>
      </c>
      <c r="FJ19">
        <f t="shared" si="65"/>
        <v>4.7685562882508461E-3</v>
      </c>
      <c r="FK19">
        <f t="shared" si="66"/>
        <v>4.2783465719128735E-3</v>
      </c>
      <c r="FL19">
        <f t="shared" si="67"/>
        <v>3.8001721789326327E-3</v>
      </c>
      <c r="FM19">
        <f t="shared" si="68"/>
        <v>3.3357276948892795E-3</v>
      </c>
      <c r="FN19">
        <f t="shared" si="69"/>
        <v>2.8864591661436931E-3</v>
      </c>
      <c r="FO19">
        <f t="shared" si="70"/>
        <v>2.4688003070679455E-3</v>
      </c>
      <c r="FP19">
        <f t="shared" si="71"/>
        <v>2.0917211239943638E-3</v>
      </c>
      <c r="FQ19">
        <f t="shared" si="72"/>
        <v>1.7517420678670834E-3</v>
      </c>
      <c r="FR19">
        <f t="shared" si="73"/>
        <v>1.4195581054039163E-3</v>
      </c>
      <c r="FS19">
        <f t="shared" si="74"/>
        <v>1.1238039671468511E-3</v>
      </c>
      <c r="FT19">
        <f t="shared" si="75"/>
        <v>8.9801738458023244E-4</v>
      </c>
      <c r="FU19">
        <f t="shared" si="76"/>
        <v>7.093987123830811E-4</v>
      </c>
      <c r="FV19">
        <f t="shared" si="77"/>
        <v>5.4833023595725946E-4</v>
      </c>
      <c r="FW19">
        <f t="shared" si="78"/>
        <v>4.1028552893355763E-4</v>
      </c>
      <c r="FX19">
        <f t="shared" si="79"/>
        <v>3.2609851736113476E-4</v>
      </c>
      <c r="FY19">
        <f t="shared" si="80"/>
        <v>2.6560557793103097E-4</v>
      </c>
      <c r="FZ19">
        <f t="shared" si="81"/>
        <v>1.9410159798215079E-4</v>
      </c>
      <c r="GA19">
        <f t="shared" si="82"/>
        <v>1.1157904602303136E-4</v>
      </c>
      <c r="GB19">
        <f t="shared" si="83"/>
        <v>7.0434508161146758E-5</v>
      </c>
      <c r="GC19">
        <f t="shared" si="84"/>
        <v>4.9045072406478581E-5</v>
      </c>
      <c r="GD19">
        <f t="shared" si="85"/>
        <v>2.6367751611652565E-5</v>
      </c>
      <c r="GE19">
        <f t="shared" si="86"/>
        <v>4.0813152237516495E-5</v>
      </c>
    </row>
    <row r="20" spans="1:187">
      <c r="A20" s="4">
        <v>1968</v>
      </c>
      <c r="B20" s="17">
        <v>3350.027</v>
      </c>
      <c r="C20" s="17">
        <v>3550.7539999999999</v>
      </c>
      <c r="D20" s="17">
        <v>3721.6219999999998</v>
      </c>
      <c r="E20" s="17">
        <v>3812.971</v>
      </c>
      <c r="F20" s="17">
        <v>3936.87</v>
      </c>
      <c r="G20" s="17">
        <v>4037.1680000000001</v>
      </c>
      <c r="H20" s="17">
        <v>4114.625</v>
      </c>
      <c r="I20" s="17">
        <v>4169.9949999999999</v>
      </c>
      <c r="J20" s="17">
        <v>4205.607</v>
      </c>
      <c r="K20" s="17">
        <v>4223.7889999999998</v>
      </c>
      <c r="L20" s="17">
        <v>4217.4449999999997</v>
      </c>
      <c r="M20" s="17">
        <v>4184.1909999999998</v>
      </c>
      <c r="N20" s="17">
        <v>4129.4939999999997</v>
      </c>
      <c r="O20" s="17">
        <v>4061.6889999999999</v>
      </c>
      <c r="P20" s="17">
        <v>3979.6849999999999</v>
      </c>
      <c r="Q20" s="17">
        <v>3893.482</v>
      </c>
      <c r="R20" s="17">
        <v>3809.107</v>
      </c>
      <c r="S20" s="17">
        <v>3723.3409999999999</v>
      </c>
      <c r="T20" s="17">
        <v>3629.5309999999999</v>
      </c>
      <c r="U20" s="17">
        <v>3532.1179999999999</v>
      </c>
      <c r="V20" s="17">
        <v>3422.8670000000002</v>
      </c>
      <c r="W20" s="17">
        <v>3298.029</v>
      </c>
      <c r="X20" s="17">
        <v>3164.4229999999998</v>
      </c>
      <c r="Y20" s="17">
        <v>3033.674</v>
      </c>
      <c r="Z20" s="17">
        <v>2904.7310000000002</v>
      </c>
      <c r="AA20" s="17">
        <v>2785.7260000000001</v>
      </c>
      <c r="AB20" s="17">
        <v>2682.3130000000001</v>
      </c>
      <c r="AC20" s="17">
        <v>2592.491</v>
      </c>
      <c r="AD20" s="17">
        <v>2507.9</v>
      </c>
      <c r="AE20" s="17">
        <v>2429.3620000000001</v>
      </c>
      <c r="AF20" s="17">
        <v>2368.3139999999999</v>
      </c>
      <c r="AG20" s="17">
        <v>2329.3539999999998</v>
      </c>
      <c r="AH20" s="17">
        <v>2308.2359999999999</v>
      </c>
      <c r="AI20" s="17">
        <v>2293.3589999999999</v>
      </c>
      <c r="AJ20" s="17">
        <v>2283.7339999999999</v>
      </c>
      <c r="AK20" s="17">
        <v>2290.6759999999999</v>
      </c>
      <c r="AL20" s="17">
        <v>2317.58</v>
      </c>
      <c r="AM20" s="17">
        <v>2357.585</v>
      </c>
      <c r="AN20" s="17">
        <v>2399.0070000000001</v>
      </c>
      <c r="AO20" s="17">
        <v>2442.4650000000001</v>
      </c>
      <c r="AP20" s="17">
        <v>2480.6129999999998</v>
      </c>
      <c r="AQ20" s="17">
        <v>2508.0369999999998</v>
      </c>
      <c r="AR20" s="17">
        <v>2525.962</v>
      </c>
      <c r="AS20" s="17">
        <v>2543.4479999999999</v>
      </c>
      <c r="AT20" s="17">
        <v>2561.587</v>
      </c>
      <c r="AU20" s="17">
        <v>2558.3629999999998</v>
      </c>
      <c r="AV20" s="17">
        <v>2524.6419999999998</v>
      </c>
      <c r="AW20" s="17">
        <v>2470.5479999999998</v>
      </c>
      <c r="AX20" s="17">
        <v>2414.9459999999999</v>
      </c>
      <c r="AY20" s="17">
        <v>2353.5920000000001</v>
      </c>
      <c r="AZ20" s="17">
        <v>2299.1210000000001</v>
      </c>
      <c r="BA20" s="17">
        <v>2259.5839999999998</v>
      </c>
      <c r="BB20" s="17">
        <v>2228.96</v>
      </c>
      <c r="BC20" s="17">
        <v>2192.8380000000002</v>
      </c>
      <c r="BD20" s="17">
        <v>2153.6889999999999</v>
      </c>
      <c r="BE20" s="17">
        <v>2113.6799999999998</v>
      </c>
      <c r="BF20" s="17">
        <v>2072.3180000000002</v>
      </c>
      <c r="BG20" s="17">
        <v>2029.36</v>
      </c>
      <c r="BH20" s="17">
        <v>1984.9380000000001</v>
      </c>
      <c r="BI20" s="17">
        <v>1938.8779999999999</v>
      </c>
      <c r="BJ20" s="17">
        <v>1889.6890000000001</v>
      </c>
      <c r="BK20" s="17">
        <v>1836.5920000000001</v>
      </c>
      <c r="BL20" s="17">
        <v>1779.902</v>
      </c>
      <c r="BM20" s="17">
        <v>1722.097</v>
      </c>
      <c r="BN20" s="17">
        <v>1664.3420000000001</v>
      </c>
      <c r="BO20" s="17">
        <v>1598.7629999999999</v>
      </c>
      <c r="BP20" s="17">
        <v>1522.2280000000001</v>
      </c>
      <c r="BQ20" s="17">
        <v>1439.1289999999999</v>
      </c>
      <c r="BR20" s="17">
        <v>1356.037</v>
      </c>
      <c r="BS20" s="17">
        <v>1270.4860000000001</v>
      </c>
      <c r="BT20" s="17">
        <v>1194.0640000000001</v>
      </c>
      <c r="BU20" s="17">
        <v>1132.8389999999999</v>
      </c>
      <c r="BV20" s="17">
        <v>1081.1669999999999</v>
      </c>
      <c r="BW20" s="17">
        <v>1027.895</v>
      </c>
      <c r="BX20" s="17">
        <v>975.92700000000002</v>
      </c>
      <c r="BY20" s="17">
        <v>919.04600000000005</v>
      </c>
      <c r="BZ20" s="17">
        <v>853.25099999999998</v>
      </c>
      <c r="CA20" s="17">
        <v>782.14599999999996</v>
      </c>
      <c r="CB20" s="17">
        <v>713.84199999999998</v>
      </c>
      <c r="CC20" s="17">
        <v>647.34</v>
      </c>
      <c r="CD20" s="17">
        <v>581.89200000000005</v>
      </c>
      <c r="CE20" s="17">
        <v>518.14200000000005</v>
      </c>
      <c r="CF20" s="17">
        <v>456.524</v>
      </c>
      <c r="CG20" s="17">
        <v>396.911</v>
      </c>
      <c r="CH20" s="17">
        <v>339.43099999999998</v>
      </c>
      <c r="CI20" s="17">
        <v>286.803</v>
      </c>
      <c r="CJ20" s="17">
        <v>240.404</v>
      </c>
      <c r="CK20" s="17">
        <v>199.46</v>
      </c>
      <c r="CL20" s="17">
        <v>158.68199999999999</v>
      </c>
      <c r="CM20" s="17">
        <v>123.919</v>
      </c>
      <c r="CN20" s="17">
        <v>99.451999999999998</v>
      </c>
      <c r="CO20" s="17">
        <v>77.688999999999993</v>
      </c>
      <c r="CP20" s="17">
        <v>57.774999999999999</v>
      </c>
      <c r="CQ20" s="17">
        <v>42.398000000000003</v>
      </c>
      <c r="CR20" s="17">
        <v>33.981000000000002</v>
      </c>
      <c r="CS20" s="17">
        <v>27.527999999999999</v>
      </c>
      <c r="CT20" s="17">
        <v>19.966999999999999</v>
      </c>
      <c r="CU20" s="17">
        <v>11.297000000000001</v>
      </c>
      <c r="CV20" s="17">
        <v>7.14</v>
      </c>
      <c r="CW20" s="17">
        <v>3.738</v>
      </c>
      <c r="CX20" s="17">
        <v>5.4</v>
      </c>
      <c r="CY20" s="3">
        <f t="shared" si="87"/>
        <v>205805.75600000002</v>
      </c>
      <c r="CZ20" s="21">
        <f t="shared" si="3"/>
        <v>134683.89399999997</v>
      </c>
      <c r="DA20">
        <f t="shared" si="4"/>
        <v>2.6948515462435329E-2</v>
      </c>
      <c r="DB20">
        <f t="shared" si="5"/>
        <v>2.6225244126071977E-2</v>
      </c>
      <c r="DC20">
        <f t="shared" si="6"/>
        <v>2.5414078093108899E-2</v>
      </c>
      <c r="DD20">
        <f t="shared" si="7"/>
        <v>2.4487181815518348E-2</v>
      </c>
      <c r="DE20">
        <f t="shared" si="8"/>
        <v>2.349518495507711E-2</v>
      </c>
      <c r="DF20">
        <f t="shared" si="9"/>
        <v>2.2524400727528718E-2</v>
      </c>
      <c r="DG20">
        <f t="shared" si="10"/>
        <v>2.1567025675690674E-2</v>
      </c>
      <c r="DH20">
        <f t="shared" si="11"/>
        <v>2.0683438214223304E-2</v>
      </c>
      <c r="DI20">
        <f t="shared" si="12"/>
        <v>1.9915618121347164E-2</v>
      </c>
      <c r="DJ20">
        <f t="shared" si="13"/>
        <v>1.9248708386765241E-2</v>
      </c>
      <c r="DK20">
        <f t="shared" si="14"/>
        <v>1.8620637743069716E-2</v>
      </c>
      <c r="DL20">
        <f t="shared" si="15"/>
        <v>1.8037509369902838E-2</v>
      </c>
      <c r="DM20">
        <f t="shared" si="16"/>
        <v>1.7584240621970733E-2</v>
      </c>
      <c r="DN20">
        <f t="shared" si="17"/>
        <v>1.7294970696347705E-2</v>
      </c>
      <c r="DO20">
        <f t="shared" si="18"/>
        <v>1.7138173923008197E-2</v>
      </c>
      <c r="DP20">
        <f t="shared" si="19"/>
        <v>1.7027715281234743E-2</v>
      </c>
      <c r="DQ20">
        <f t="shared" si="20"/>
        <v>1.6956251650995482E-2</v>
      </c>
      <c r="DR20">
        <f t="shared" si="21"/>
        <v>1.7007794562280777E-2</v>
      </c>
      <c r="DS20">
        <f t="shared" si="22"/>
        <v>1.7207551186484111E-2</v>
      </c>
      <c r="DT20">
        <f t="shared" si="23"/>
        <v>1.7504580020533119E-2</v>
      </c>
      <c r="DU20">
        <f t="shared" si="24"/>
        <v>1.7812129785911898E-2</v>
      </c>
      <c r="DV20">
        <f t="shared" si="25"/>
        <v>1.8134796429334014E-2</v>
      </c>
      <c r="DW20">
        <f t="shared" si="26"/>
        <v>1.8418037423242311E-2</v>
      </c>
      <c r="DX20">
        <f t="shared" si="27"/>
        <v>1.8621654939676754E-2</v>
      </c>
      <c r="DY20">
        <f t="shared" si="28"/>
        <v>1.8754744349758705E-2</v>
      </c>
      <c r="DZ20">
        <f t="shared" si="29"/>
        <v>1.888457427582247E-2</v>
      </c>
      <c r="EA20">
        <f t="shared" si="30"/>
        <v>1.901925259155338E-2</v>
      </c>
      <c r="EB20">
        <f t="shared" si="31"/>
        <v>1.8995315059720505E-2</v>
      </c>
      <c r="EC20">
        <f t="shared" si="32"/>
        <v>1.8744943623325891E-2</v>
      </c>
      <c r="ED20">
        <f t="shared" si="33"/>
        <v>1.8343306884192109E-2</v>
      </c>
      <c r="EE20">
        <f t="shared" si="34"/>
        <v>1.7930473557588113E-2</v>
      </c>
      <c r="EF20">
        <f t="shared" si="35"/>
        <v>1.7474932823073861E-2</v>
      </c>
      <c r="EG20">
        <f t="shared" si="36"/>
        <v>1.7070496937072525E-2</v>
      </c>
      <c r="EH20">
        <f t="shared" si="37"/>
        <v>1.6776942906031513E-2</v>
      </c>
      <c r="EI20">
        <f t="shared" si="38"/>
        <v>1.654956605279025E-2</v>
      </c>
      <c r="EJ20">
        <f t="shared" si="39"/>
        <v>1.628136768899777E-2</v>
      </c>
      <c r="EK20">
        <f t="shared" si="40"/>
        <v>1.5990694477544587E-2</v>
      </c>
      <c r="EL20">
        <f t="shared" si="41"/>
        <v>1.5693635944324571E-2</v>
      </c>
      <c r="EM20">
        <f t="shared" si="42"/>
        <v>1.5386531666510925E-2</v>
      </c>
      <c r="EN20">
        <f t="shared" si="43"/>
        <v>1.5067577419464871E-2</v>
      </c>
      <c r="EO20">
        <f t="shared" si="44"/>
        <v>1.4737753275829704E-2</v>
      </c>
      <c r="EP20">
        <f t="shared" si="45"/>
        <v>1.4395767321666541E-2</v>
      </c>
      <c r="EQ20">
        <f t="shared" si="46"/>
        <v>1.4030549190981963E-2</v>
      </c>
      <c r="ER20">
        <f t="shared" si="47"/>
        <v>1.3636314970222056E-2</v>
      </c>
      <c r="ES20">
        <f t="shared" si="48"/>
        <v>1.3215403469103741E-2</v>
      </c>
      <c r="ET20">
        <f t="shared" si="49"/>
        <v>1.2786213324066799E-2</v>
      </c>
      <c r="EU20">
        <f t="shared" si="50"/>
        <v>1.2357394418667464E-2</v>
      </c>
      <c r="EV20">
        <f t="shared" si="51"/>
        <v>1.1870483934775454E-2</v>
      </c>
      <c r="EW20">
        <f t="shared" si="52"/>
        <v>1.1302227421491099E-2</v>
      </c>
      <c r="EX20">
        <f t="shared" si="53"/>
        <v>1.0685234568581751E-2</v>
      </c>
      <c r="EY20">
        <f t="shared" si="54"/>
        <v>1.006829368922167E-2</v>
      </c>
      <c r="EZ20">
        <f t="shared" si="55"/>
        <v>9.4330952444840986E-3</v>
      </c>
      <c r="FA20">
        <f t="shared" si="56"/>
        <v>8.8656777327807308E-3</v>
      </c>
      <c r="FB20">
        <f t="shared" si="57"/>
        <v>8.4110947965315014E-3</v>
      </c>
      <c r="FC20">
        <f t="shared" si="58"/>
        <v>8.0274409054433803E-3</v>
      </c>
      <c r="FD20">
        <f t="shared" si="59"/>
        <v>7.631907345951849E-3</v>
      </c>
      <c r="FE20">
        <f t="shared" si="60"/>
        <v>7.2460557162090976E-3</v>
      </c>
      <c r="FF20">
        <f t="shared" si="61"/>
        <v>6.8237260796751263E-3</v>
      </c>
      <c r="FG20">
        <f t="shared" si="62"/>
        <v>6.3352118405486562E-3</v>
      </c>
      <c r="FH20">
        <f t="shared" si="63"/>
        <v>5.8072719519083708E-3</v>
      </c>
      <c r="FI20">
        <f t="shared" si="64"/>
        <v>5.3001289077668047E-3</v>
      </c>
      <c r="FJ20">
        <f t="shared" si="65"/>
        <v>4.8063653401645796E-3</v>
      </c>
      <c r="FK20">
        <f t="shared" si="66"/>
        <v>4.3204275041231E-3</v>
      </c>
      <c r="FL20">
        <f t="shared" si="67"/>
        <v>3.8470969661747391E-3</v>
      </c>
      <c r="FM20">
        <f t="shared" si="68"/>
        <v>3.3895960863739214E-3</v>
      </c>
      <c r="FN20">
        <f t="shared" si="69"/>
        <v>2.9469819160411275E-3</v>
      </c>
      <c r="FO20">
        <f t="shared" si="70"/>
        <v>2.5202048286486287E-3</v>
      </c>
      <c r="FP20">
        <f t="shared" si="71"/>
        <v>2.1294528356894703E-3</v>
      </c>
      <c r="FQ20">
        <f t="shared" si="72"/>
        <v>1.7849498767833372E-3</v>
      </c>
      <c r="FR20">
        <f t="shared" si="73"/>
        <v>1.4809491623400794E-3</v>
      </c>
      <c r="FS20">
        <f t="shared" si="74"/>
        <v>1.1781809634936753E-3</v>
      </c>
      <c r="FT20">
        <f t="shared" si="75"/>
        <v>9.200728930513401E-4</v>
      </c>
      <c r="FU20">
        <f t="shared" si="76"/>
        <v>7.384104887849472E-4</v>
      </c>
      <c r="FV20">
        <f t="shared" si="77"/>
        <v>5.7682472412031696E-4</v>
      </c>
      <c r="FW20">
        <f t="shared" si="78"/>
        <v>4.2896740125437726E-4</v>
      </c>
      <c r="FX20">
        <f t="shared" si="79"/>
        <v>3.1479636310485657E-4</v>
      </c>
      <c r="FY20">
        <f t="shared" si="80"/>
        <v>2.5230188251016864E-4</v>
      </c>
      <c r="FZ20">
        <f t="shared" si="81"/>
        <v>2.0438969488066632E-4</v>
      </c>
      <c r="GA20">
        <f t="shared" si="82"/>
        <v>1.4825083688180268E-4</v>
      </c>
      <c r="GB20">
        <f t="shared" si="83"/>
        <v>8.3877883720825613E-5</v>
      </c>
      <c r="GC20">
        <f t="shared" si="84"/>
        <v>5.3013020250216416E-5</v>
      </c>
      <c r="GD20">
        <f t="shared" si="85"/>
        <v>2.7753875307466241E-5</v>
      </c>
      <c r="GE20">
        <f t="shared" si="86"/>
        <v>4.0093880861508216E-5</v>
      </c>
    </row>
    <row r="21" spans="1:187">
      <c r="A21" s="4">
        <v>1969</v>
      </c>
      <c r="B21" s="17">
        <v>3277.761</v>
      </c>
      <c r="C21" s="17">
        <v>3461.395</v>
      </c>
      <c r="D21" s="17">
        <v>3623.8069999999998</v>
      </c>
      <c r="E21" s="17">
        <v>3765.4650000000001</v>
      </c>
      <c r="F21" s="17">
        <v>3853.0149999999999</v>
      </c>
      <c r="G21" s="17">
        <v>3961.4490000000001</v>
      </c>
      <c r="H21" s="17">
        <v>4050.8939999999998</v>
      </c>
      <c r="I21" s="17">
        <v>4121.3969999999999</v>
      </c>
      <c r="J21" s="17">
        <v>4173.0050000000001</v>
      </c>
      <c r="K21" s="17">
        <v>4207.8559999999998</v>
      </c>
      <c r="L21" s="17">
        <v>4228.0929999999998</v>
      </c>
      <c r="M21" s="17">
        <v>4223.2920000000004</v>
      </c>
      <c r="N21" s="17">
        <v>4189.3149999999996</v>
      </c>
      <c r="O21" s="17">
        <v>4132.4870000000001</v>
      </c>
      <c r="P21" s="17">
        <v>4064.24</v>
      </c>
      <c r="Q21" s="17">
        <v>3983.4409999999998</v>
      </c>
      <c r="R21" s="17">
        <v>3896.027</v>
      </c>
      <c r="S21" s="17">
        <v>3806.491</v>
      </c>
      <c r="T21" s="17">
        <v>3713.442</v>
      </c>
      <c r="U21" s="17">
        <v>3613.0189999999998</v>
      </c>
      <c r="V21" s="17">
        <v>3508.4340000000002</v>
      </c>
      <c r="W21" s="17">
        <v>3396.4859999999999</v>
      </c>
      <c r="X21" s="17">
        <v>3276.002</v>
      </c>
      <c r="Y21" s="17">
        <v>3151.1480000000001</v>
      </c>
      <c r="Z21" s="17">
        <v>3028.4319999999998</v>
      </c>
      <c r="AA21" s="17">
        <v>2907.9560000000001</v>
      </c>
      <c r="AB21" s="17">
        <v>2794.9850000000001</v>
      </c>
      <c r="AC21" s="17">
        <v>2693.2719999999999</v>
      </c>
      <c r="AD21" s="17">
        <v>2602.2669999999998</v>
      </c>
      <c r="AE21" s="17">
        <v>2517.12</v>
      </c>
      <c r="AF21" s="17">
        <v>2438.152</v>
      </c>
      <c r="AG21" s="17">
        <v>2375.9479999999999</v>
      </c>
      <c r="AH21" s="17">
        <v>2335.096</v>
      </c>
      <c r="AI21" s="17">
        <v>2311.6329999999998</v>
      </c>
      <c r="AJ21" s="17">
        <v>2294.125</v>
      </c>
      <c r="AK21" s="17">
        <v>2281.3980000000001</v>
      </c>
      <c r="AL21" s="17">
        <v>2286.3330000000001</v>
      </c>
      <c r="AM21" s="17">
        <v>2313.0709999999999</v>
      </c>
      <c r="AN21" s="17">
        <v>2354.0450000000001</v>
      </c>
      <c r="AO21" s="17">
        <v>2396.16</v>
      </c>
      <c r="AP21" s="17">
        <v>2440.3690000000001</v>
      </c>
      <c r="AQ21" s="17">
        <v>2478.652</v>
      </c>
      <c r="AR21" s="17">
        <v>2505.13</v>
      </c>
      <c r="AS21" s="17">
        <v>2521.4090000000001</v>
      </c>
      <c r="AT21" s="17">
        <v>2537.3960000000002</v>
      </c>
      <c r="AU21" s="17">
        <v>2554.0129999999999</v>
      </c>
      <c r="AV21" s="17">
        <v>2549.337</v>
      </c>
      <c r="AW21" s="17">
        <v>2514.366</v>
      </c>
      <c r="AX21" s="17">
        <v>2459.1370000000002</v>
      </c>
      <c r="AY21" s="17">
        <v>2402.2249999999999</v>
      </c>
      <c r="AZ21" s="17">
        <v>2339.3510000000001</v>
      </c>
      <c r="BA21" s="17">
        <v>2283.5749999999998</v>
      </c>
      <c r="BB21" s="17">
        <v>2243.0970000000002</v>
      </c>
      <c r="BC21" s="17">
        <v>2211.67</v>
      </c>
      <c r="BD21" s="17">
        <v>2174.7420000000002</v>
      </c>
      <c r="BE21" s="17">
        <v>2135.09</v>
      </c>
      <c r="BF21" s="17">
        <v>2093.3449999999998</v>
      </c>
      <c r="BG21" s="17">
        <v>2048.3270000000002</v>
      </c>
      <c r="BH21" s="17">
        <v>2000.64</v>
      </c>
      <c r="BI21" s="17">
        <v>1951.682</v>
      </c>
      <c r="BJ21" s="17">
        <v>1900.7049999999999</v>
      </c>
      <c r="BK21" s="17">
        <v>1848.646</v>
      </c>
      <c r="BL21" s="17">
        <v>1795.96</v>
      </c>
      <c r="BM21" s="17">
        <v>1741.693</v>
      </c>
      <c r="BN21" s="17">
        <v>1685.9780000000001</v>
      </c>
      <c r="BO21" s="17">
        <v>1630.6379999999999</v>
      </c>
      <c r="BP21" s="17">
        <v>1565.903</v>
      </c>
      <c r="BQ21" s="17">
        <v>1487.519</v>
      </c>
      <c r="BR21" s="17">
        <v>1400.89</v>
      </c>
      <c r="BS21" s="17">
        <v>1314.7139999999999</v>
      </c>
      <c r="BT21" s="17">
        <v>1226.0999999999999</v>
      </c>
      <c r="BU21" s="17">
        <v>1147.1669999999999</v>
      </c>
      <c r="BV21" s="17">
        <v>1084.4590000000001</v>
      </c>
      <c r="BW21" s="17">
        <v>1032.0129999999999</v>
      </c>
      <c r="BX21" s="17">
        <v>977.91200000000003</v>
      </c>
      <c r="BY21" s="17">
        <v>925.25400000000002</v>
      </c>
      <c r="BZ21" s="17">
        <v>867.79700000000003</v>
      </c>
      <c r="CA21" s="17">
        <v>801.46699999999998</v>
      </c>
      <c r="CB21" s="17">
        <v>729.97199999999998</v>
      </c>
      <c r="CC21" s="17">
        <v>661.60199999999998</v>
      </c>
      <c r="CD21" s="17">
        <v>595.30499999999995</v>
      </c>
      <c r="CE21" s="17">
        <v>530.56799999999998</v>
      </c>
      <c r="CF21" s="17">
        <v>468.16800000000001</v>
      </c>
      <c r="CG21" s="17">
        <v>408.42899999999997</v>
      </c>
      <c r="CH21" s="17">
        <v>350.87900000000002</v>
      </c>
      <c r="CI21" s="17">
        <v>295.58100000000002</v>
      </c>
      <c r="CJ21" s="17">
        <v>245.785</v>
      </c>
      <c r="CK21" s="17">
        <v>203.06</v>
      </c>
      <c r="CL21" s="17">
        <v>166.316</v>
      </c>
      <c r="CM21" s="17">
        <v>128.87100000000001</v>
      </c>
      <c r="CN21" s="17">
        <v>98.62</v>
      </c>
      <c r="CO21" s="17">
        <v>79.665000000000006</v>
      </c>
      <c r="CP21" s="17">
        <v>61.182000000000002</v>
      </c>
      <c r="CQ21" s="17">
        <v>42.747</v>
      </c>
      <c r="CR21" s="17">
        <v>30.321000000000002</v>
      </c>
      <c r="CS21" s="17">
        <v>24.664999999999999</v>
      </c>
      <c r="CT21" s="17">
        <v>19.79</v>
      </c>
      <c r="CU21" s="17">
        <v>14.162000000000001</v>
      </c>
      <c r="CV21" s="17">
        <v>7.78</v>
      </c>
      <c r="CW21" s="17">
        <v>3.9980000000000002</v>
      </c>
      <c r="CX21" s="17">
        <v>5.4859999999999998</v>
      </c>
      <c r="CY21" s="3">
        <f t="shared" si="87"/>
        <v>207659.27400000012</v>
      </c>
      <c r="CZ21" s="21">
        <f t="shared" si="3"/>
        <v>136639.84400000007</v>
      </c>
      <c r="DA21">
        <f t="shared" si="4"/>
        <v>2.7176860652739023E-2</v>
      </c>
      <c r="DB21">
        <f t="shared" si="5"/>
        <v>2.6441913970569213E-2</v>
      </c>
      <c r="DC21">
        <f t="shared" si="6"/>
        <v>2.5676507651750526E-2</v>
      </c>
      <c r="DD21">
        <f t="shared" si="7"/>
        <v>2.4857215147288943E-2</v>
      </c>
      <c r="DE21">
        <f t="shared" si="8"/>
        <v>2.3975451845509997E-2</v>
      </c>
      <c r="DF21">
        <f t="shared" si="9"/>
        <v>2.3061706657100681E-2</v>
      </c>
      <c r="DG21">
        <f t="shared" si="10"/>
        <v>2.2163608442058804E-2</v>
      </c>
      <c r="DH21">
        <f t="shared" si="11"/>
        <v>2.1281903688356075E-2</v>
      </c>
      <c r="DI21">
        <f t="shared" si="12"/>
        <v>2.0455124348648983E-2</v>
      </c>
      <c r="DJ21">
        <f t="shared" si="13"/>
        <v>1.9710736789190119E-2</v>
      </c>
      <c r="DK21">
        <f t="shared" si="14"/>
        <v>1.9044715829739958E-2</v>
      </c>
      <c r="DL21">
        <f t="shared" si="15"/>
        <v>1.8421566699095459E-2</v>
      </c>
      <c r="DM21">
        <f t="shared" si="16"/>
        <v>1.7843638638814597E-2</v>
      </c>
      <c r="DN21">
        <f t="shared" si="17"/>
        <v>1.7388398072234322E-2</v>
      </c>
      <c r="DO21">
        <f t="shared" si="18"/>
        <v>1.7089422321061774E-2</v>
      </c>
      <c r="DP21">
        <f t="shared" si="19"/>
        <v>1.6917708132043817E-2</v>
      </c>
      <c r="DQ21">
        <f t="shared" si="20"/>
        <v>1.6789575667255582E-2</v>
      </c>
      <c r="DR21">
        <f t="shared" si="21"/>
        <v>1.6696432996513074E-2</v>
      </c>
      <c r="DS21">
        <f t="shared" si="22"/>
        <v>1.6732549841025863E-2</v>
      </c>
      <c r="DT21">
        <f t="shared" si="23"/>
        <v>1.6928232148742783E-2</v>
      </c>
      <c r="DU21">
        <f t="shared" si="24"/>
        <v>1.7228100758077555E-2</v>
      </c>
      <c r="DV21">
        <f t="shared" si="25"/>
        <v>1.7536319786781947E-2</v>
      </c>
      <c r="DW21">
        <f t="shared" si="26"/>
        <v>1.7859863774434628E-2</v>
      </c>
      <c r="DX21">
        <f t="shared" si="27"/>
        <v>1.8140038274633851E-2</v>
      </c>
      <c r="DY21">
        <f t="shared" si="28"/>
        <v>1.833381776987391E-2</v>
      </c>
      <c r="DZ21">
        <f t="shared" si="29"/>
        <v>1.8452955786454197E-2</v>
      </c>
      <c r="EA21">
        <f t="shared" si="30"/>
        <v>1.8569956798252778E-2</v>
      </c>
      <c r="EB21">
        <f t="shared" si="31"/>
        <v>1.8691568471052987E-2</v>
      </c>
      <c r="EC21">
        <f t="shared" si="32"/>
        <v>1.8657347120507536E-2</v>
      </c>
      <c r="ED21">
        <f t="shared" si="33"/>
        <v>1.840141152385975E-2</v>
      </c>
      <c r="EE21">
        <f t="shared" si="34"/>
        <v>1.7997217561226131E-2</v>
      </c>
      <c r="EF21">
        <f t="shared" si="35"/>
        <v>1.7580706547059573E-2</v>
      </c>
      <c r="EG21">
        <f t="shared" si="36"/>
        <v>1.7120562579096613E-2</v>
      </c>
      <c r="EH21">
        <f t="shared" si="37"/>
        <v>1.6712365391752047E-2</v>
      </c>
      <c r="EI21">
        <f t="shared" si="38"/>
        <v>1.6416126763142375E-2</v>
      </c>
      <c r="EJ21">
        <f t="shared" si="39"/>
        <v>1.6186127964256159E-2</v>
      </c>
      <c r="EK21">
        <f t="shared" si="40"/>
        <v>1.5915870044465208E-2</v>
      </c>
      <c r="EL21">
        <f t="shared" si="41"/>
        <v>1.562567650472434E-2</v>
      </c>
      <c r="EM21">
        <f t="shared" si="42"/>
        <v>1.5320165324544711E-2</v>
      </c>
      <c r="EN21">
        <f t="shared" si="43"/>
        <v>1.4990700662685177E-2</v>
      </c>
      <c r="EO21">
        <f t="shared" si="44"/>
        <v>1.4641702898899673E-2</v>
      </c>
      <c r="EP21">
        <f t="shared" si="45"/>
        <v>1.4283403309506114E-2</v>
      </c>
      <c r="EQ21">
        <f t="shared" si="46"/>
        <v>1.3910327649378749E-2</v>
      </c>
      <c r="ER21">
        <f t="shared" si="47"/>
        <v>1.352933336194382E-2</v>
      </c>
      <c r="ES21">
        <f t="shared" si="48"/>
        <v>1.3143750369035836E-2</v>
      </c>
      <c r="ET21">
        <f t="shared" si="49"/>
        <v>1.2746596812566612E-2</v>
      </c>
      <c r="EU21">
        <f t="shared" si="50"/>
        <v>1.233884605430316E-2</v>
      </c>
      <c r="EV21">
        <f t="shared" si="51"/>
        <v>1.1933839737112106E-2</v>
      </c>
      <c r="EW21">
        <f t="shared" si="52"/>
        <v>1.1460076022920512E-2</v>
      </c>
      <c r="EX21">
        <f t="shared" si="53"/>
        <v>1.0886421972203067E-2</v>
      </c>
      <c r="EY21">
        <f t="shared" si="54"/>
        <v>1.0252426810440441E-2</v>
      </c>
      <c r="EZ21">
        <f t="shared" si="55"/>
        <v>9.6217469334932727E-3</v>
      </c>
      <c r="FA21">
        <f t="shared" si="56"/>
        <v>8.9732245303207406E-3</v>
      </c>
      <c r="FB21">
        <f t="shared" si="57"/>
        <v>8.3955526178733E-3</v>
      </c>
      <c r="FC21">
        <f t="shared" si="58"/>
        <v>7.9366235224917221E-3</v>
      </c>
      <c r="FD21">
        <f t="shared" si="59"/>
        <v>7.5527969718700745E-3</v>
      </c>
      <c r="FE21">
        <f t="shared" si="60"/>
        <v>7.1568582879822339E-3</v>
      </c>
      <c r="FF21">
        <f t="shared" si="61"/>
        <v>6.7714802133409897E-3</v>
      </c>
      <c r="FG21">
        <f t="shared" si="62"/>
        <v>6.3509806114825451E-3</v>
      </c>
      <c r="FH21">
        <f t="shared" si="63"/>
        <v>5.8655438745963406E-3</v>
      </c>
      <c r="FI21">
        <f t="shared" si="64"/>
        <v>5.3423070360062736E-3</v>
      </c>
      <c r="FJ21">
        <f t="shared" si="65"/>
        <v>4.841940539686211E-3</v>
      </c>
      <c r="FK21">
        <f t="shared" si="66"/>
        <v>4.3567453136143779E-3</v>
      </c>
      <c r="FL21">
        <f t="shared" si="67"/>
        <v>3.8829669624037312E-3</v>
      </c>
      <c r="FM21">
        <f t="shared" si="68"/>
        <v>3.4262919679562847E-3</v>
      </c>
      <c r="FN21">
        <f t="shared" si="69"/>
        <v>2.9890915273585923E-3</v>
      </c>
      <c r="FO21">
        <f t="shared" si="70"/>
        <v>2.5679113041141926E-3</v>
      </c>
      <c r="FP21">
        <f t="shared" si="71"/>
        <v>2.1632123643232485E-3</v>
      </c>
      <c r="FQ21">
        <f t="shared" si="72"/>
        <v>1.798779863946565E-3</v>
      </c>
      <c r="FR21">
        <f t="shared" si="73"/>
        <v>1.4860965444310659E-3</v>
      </c>
      <c r="FS21">
        <f t="shared" si="74"/>
        <v>1.2171852303929731E-3</v>
      </c>
      <c r="FT21">
        <f t="shared" si="75"/>
        <v>9.4314364117687333E-4</v>
      </c>
      <c r="FU21">
        <f t="shared" si="76"/>
        <v>7.2175140949370486E-4</v>
      </c>
      <c r="FV21">
        <f t="shared" si="77"/>
        <v>5.8302906142076658E-4</v>
      </c>
      <c r="FW21">
        <f t="shared" si="78"/>
        <v>4.4776104984428969E-4</v>
      </c>
      <c r="FX21">
        <f t="shared" si="79"/>
        <v>3.128443267250801E-4</v>
      </c>
      <c r="FY21">
        <f t="shared" si="80"/>
        <v>2.2190452735001647E-4</v>
      </c>
      <c r="FZ21">
        <f t="shared" si="81"/>
        <v>1.8051103746869021E-4</v>
      </c>
      <c r="GA21">
        <f t="shared" si="82"/>
        <v>1.4483330352748345E-4</v>
      </c>
      <c r="GB21">
        <f t="shared" si="83"/>
        <v>1.0364473191289646E-4</v>
      </c>
      <c r="GC21">
        <f t="shared" si="84"/>
        <v>5.6938004115402798E-5</v>
      </c>
      <c r="GD21">
        <f t="shared" si="85"/>
        <v>2.925940108655275E-5</v>
      </c>
      <c r="GE21">
        <f t="shared" si="86"/>
        <v>4.0149343261838012E-5</v>
      </c>
    </row>
    <row r="22" spans="1:187">
      <c r="A22" s="4">
        <v>1970</v>
      </c>
      <c r="B22" s="17">
        <v>3235.8870000000002</v>
      </c>
      <c r="C22" s="17">
        <v>3390.84</v>
      </c>
      <c r="D22" s="17">
        <v>3534.7269999999999</v>
      </c>
      <c r="E22" s="17">
        <v>3666.8850000000002</v>
      </c>
      <c r="F22" s="17">
        <v>3786.6509999999998</v>
      </c>
      <c r="G22" s="17">
        <v>3893.3609999999999</v>
      </c>
      <c r="H22" s="17">
        <v>3986.3519999999999</v>
      </c>
      <c r="I22" s="17">
        <v>4064.96</v>
      </c>
      <c r="J22" s="17">
        <v>4128.5230000000001</v>
      </c>
      <c r="K22" s="17">
        <v>4176.375</v>
      </c>
      <c r="L22" s="17">
        <v>4210.4690000000001</v>
      </c>
      <c r="M22" s="17">
        <v>4232.759</v>
      </c>
      <c r="N22" s="17">
        <v>4229.5010000000002</v>
      </c>
      <c r="O22" s="17">
        <v>4194.7979999999998</v>
      </c>
      <c r="P22" s="17">
        <v>4135.8370000000004</v>
      </c>
      <c r="Q22" s="17">
        <v>4067.1410000000001</v>
      </c>
      <c r="R22" s="17">
        <v>3987.5410000000002</v>
      </c>
      <c r="S22" s="17">
        <v>3898.9079999999999</v>
      </c>
      <c r="T22" s="17">
        <v>3804.203</v>
      </c>
      <c r="U22" s="17">
        <v>3703.8629999999998</v>
      </c>
      <c r="V22" s="17">
        <v>3596.8209999999999</v>
      </c>
      <c r="W22" s="17">
        <v>3485.0540000000001</v>
      </c>
      <c r="X22" s="17">
        <v>3370.3989999999999</v>
      </c>
      <c r="Y22" s="17">
        <v>3254.2570000000001</v>
      </c>
      <c r="Z22" s="17">
        <v>3138.1410000000001</v>
      </c>
      <c r="AA22" s="17">
        <v>3023.4450000000002</v>
      </c>
      <c r="AB22" s="17">
        <v>2911.4209999999998</v>
      </c>
      <c r="AC22" s="17">
        <v>2804.4740000000002</v>
      </c>
      <c r="AD22" s="17">
        <v>2704.4540000000002</v>
      </c>
      <c r="AE22" s="17">
        <v>2612.2559999999999</v>
      </c>
      <c r="AF22" s="17">
        <v>2526.547</v>
      </c>
      <c r="AG22" s="17">
        <v>2447.1439999999998</v>
      </c>
      <c r="AH22" s="17">
        <v>2383.7779999999998</v>
      </c>
      <c r="AI22" s="17">
        <v>2341.0320000000002</v>
      </c>
      <c r="AJ22" s="17">
        <v>2315.2240000000002</v>
      </c>
      <c r="AK22" s="17">
        <v>2295.085</v>
      </c>
      <c r="AL22" s="17">
        <v>2279.2600000000002</v>
      </c>
      <c r="AM22" s="17">
        <v>2282.1889999999999</v>
      </c>
      <c r="AN22" s="17">
        <v>2308.7620000000002</v>
      </c>
      <c r="AO22" s="17">
        <v>2350.7060000000001</v>
      </c>
      <c r="AP22" s="17">
        <v>2393.5149999999999</v>
      </c>
      <c r="AQ22" s="17">
        <v>2438.48</v>
      </c>
      <c r="AR22" s="17">
        <v>2476.8980000000001</v>
      </c>
      <c r="AS22" s="17">
        <v>2502.4319999999998</v>
      </c>
      <c r="AT22" s="17">
        <v>2517.0680000000002</v>
      </c>
      <c r="AU22" s="17">
        <v>2531.5569999999998</v>
      </c>
      <c r="AV22" s="17">
        <v>2546.654</v>
      </c>
      <c r="AW22" s="17">
        <v>2540.5279999999998</v>
      </c>
      <c r="AX22" s="17">
        <v>2504.3049999999998</v>
      </c>
      <c r="AY22" s="17">
        <v>2447.9369999999999</v>
      </c>
      <c r="AZ22" s="17">
        <v>2389.7080000000001</v>
      </c>
      <c r="BA22" s="17">
        <v>2325.3110000000001</v>
      </c>
      <c r="BB22" s="17">
        <v>2268.2249999999999</v>
      </c>
      <c r="BC22" s="17">
        <v>2226.8029999999999</v>
      </c>
      <c r="BD22" s="17">
        <v>2194.5729999999999</v>
      </c>
      <c r="BE22" s="17">
        <v>2156.8339999999998</v>
      </c>
      <c r="BF22" s="17">
        <v>2116.674</v>
      </c>
      <c r="BG22" s="17">
        <v>2073.192</v>
      </c>
      <c r="BH22" s="17">
        <v>2024.5150000000001</v>
      </c>
      <c r="BI22" s="17">
        <v>1972.096</v>
      </c>
      <c r="BJ22" s="17">
        <v>1918.6010000000001</v>
      </c>
      <c r="BK22" s="17">
        <v>1862.704</v>
      </c>
      <c r="BL22" s="17">
        <v>1807.7729999999999</v>
      </c>
      <c r="BM22" s="17">
        <v>1755.491</v>
      </c>
      <c r="BN22" s="17">
        <v>1703.64</v>
      </c>
      <c r="BO22" s="17">
        <v>1650.008</v>
      </c>
      <c r="BP22" s="17">
        <v>1597.078</v>
      </c>
      <c r="BQ22" s="17">
        <v>1533.18</v>
      </c>
      <c r="BR22" s="17">
        <v>1452.94</v>
      </c>
      <c r="BS22" s="17">
        <v>1362.7750000000001</v>
      </c>
      <c r="BT22" s="17">
        <v>1273.511</v>
      </c>
      <c r="BU22" s="17">
        <v>1181.828</v>
      </c>
      <c r="BV22" s="17">
        <v>1100.3779999999999</v>
      </c>
      <c r="BW22" s="17">
        <v>1036.1849999999999</v>
      </c>
      <c r="BX22" s="17">
        <v>982.96</v>
      </c>
      <c r="BY22" s="17">
        <v>928.02599999999995</v>
      </c>
      <c r="BZ22" s="17">
        <v>874.67600000000004</v>
      </c>
      <c r="CA22" s="17">
        <v>816.64</v>
      </c>
      <c r="CB22" s="17">
        <v>749.77</v>
      </c>
      <c r="CC22" s="17">
        <v>677.88199999999995</v>
      </c>
      <c r="CD22" s="17">
        <v>609.44000000000005</v>
      </c>
      <c r="CE22" s="17">
        <v>543.34199999999998</v>
      </c>
      <c r="CF22" s="17">
        <v>479.31299999999999</v>
      </c>
      <c r="CG22" s="17">
        <v>418.25599999999997</v>
      </c>
      <c r="CH22" s="17">
        <v>360.39299999999997</v>
      </c>
      <c r="CI22" s="17">
        <v>304.90100000000001</v>
      </c>
      <c r="CJ22" s="17">
        <v>251.779</v>
      </c>
      <c r="CK22" s="17">
        <v>204.81100000000001</v>
      </c>
      <c r="CL22" s="17">
        <v>165.75200000000001</v>
      </c>
      <c r="CM22" s="17">
        <v>133.20599999999999</v>
      </c>
      <c r="CN22" s="17">
        <v>99.09</v>
      </c>
      <c r="CO22" s="17">
        <v>73.343999999999994</v>
      </c>
      <c r="CP22" s="17">
        <v>59.896000000000001</v>
      </c>
      <c r="CQ22" s="17">
        <v>44.692</v>
      </c>
      <c r="CR22" s="17">
        <v>27.731000000000002</v>
      </c>
      <c r="CS22" s="17">
        <v>18.254000000000001</v>
      </c>
      <c r="CT22" s="17">
        <v>15.356</v>
      </c>
      <c r="CU22" s="17">
        <v>12.058999999999999</v>
      </c>
      <c r="CV22" s="17">
        <v>8.3610000000000007</v>
      </c>
      <c r="CW22" s="17">
        <v>4.2649999999999997</v>
      </c>
      <c r="CX22" s="17">
        <v>5.718</v>
      </c>
      <c r="CY22" s="3">
        <f t="shared" si="87"/>
        <v>209513.34000000017</v>
      </c>
      <c r="CZ22" s="21">
        <f t="shared" si="3"/>
        <v>138691.82500000007</v>
      </c>
      <c r="DA22">
        <f t="shared" si="4"/>
        <v>2.7429179766002777E-2</v>
      </c>
      <c r="DB22">
        <f t="shared" si="5"/>
        <v>2.6705705256960876E-2</v>
      </c>
      <c r="DC22">
        <f t="shared" si="6"/>
        <v>2.5933907784398958E-2</v>
      </c>
      <c r="DD22">
        <f t="shared" si="7"/>
        <v>2.5128041973634701E-2</v>
      </c>
      <c r="DE22">
        <f t="shared" si="8"/>
        <v>2.4301353017742743E-2</v>
      </c>
      <c r="DF22">
        <f t="shared" si="9"/>
        <v>2.3463942449383723E-2</v>
      </c>
      <c r="DG22">
        <f t="shared" si="10"/>
        <v>2.2626719347012693E-2</v>
      </c>
      <c r="DH22">
        <f t="shared" si="11"/>
        <v>2.1799734771678132E-2</v>
      </c>
      <c r="DI22">
        <f t="shared" si="12"/>
        <v>2.0992015931724874E-2</v>
      </c>
      <c r="DJ22">
        <f t="shared" si="13"/>
        <v>2.0220903431042159E-2</v>
      </c>
      <c r="DK22">
        <f t="shared" si="14"/>
        <v>1.9499736195698621E-2</v>
      </c>
      <c r="DL22">
        <f t="shared" si="15"/>
        <v>1.8834967381819358E-2</v>
      </c>
      <c r="DM22">
        <f t="shared" si="16"/>
        <v>1.8216985752404647E-2</v>
      </c>
      <c r="DN22">
        <f t="shared" si="17"/>
        <v>1.7644471835308234E-2</v>
      </c>
      <c r="DO22">
        <f t="shared" si="18"/>
        <v>1.718758838165118E-2</v>
      </c>
      <c r="DP22">
        <f t="shared" si="19"/>
        <v>1.6879379876932176E-2</v>
      </c>
      <c r="DQ22">
        <f t="shared" si="20"/>
        <v>1.6693298253159471E-2</v>
      </c>
      <c r="DR22">
        <f t="shared" si="21"/>
        <v>1.6548091424999266E-2</v>
      </c>
      <c r="DS22">
        <f t="shared" si="22"/>
        <v>1.6433989530385076E-2</v>
      </c>
      <c r="DT22">
        <f t="shared" si="23"/>
        <v>1.6455108294955372E-2</v>
      </c>
      <c r="DU22">
        <f t="shared" si="24"/>
        <v>1.6646705744913219E-2</v>
      </c>
      <c r="DV22">
        <f t="shared" si="25"/>
        <v>1.6949131644925713E-2</v>
      </c>
      <c r="DW22">
        <f t="shared" si="26"/>
        <v>1.7257794394154081E-2</v>
      </c>
      <c r="DX22">
        <f t="shared" si="27"/>
        <v>1.7582002399925148E-2</v>
      </c>
      <c r="DY22">
        <f t="shared" si="28"/>
        <v>1.7859005027873839E-2</v>
      </c>
      <c r="DZ22">
        <f t="shared" si="29"/>
        <v>1.8043111048542324E-2</v>
      </c>
      <c r="EA22">
        <f t="shared" si="30"/>
        <v>1.8148639979321052E-2</v>
      </c>
      <c r="EB22">
        <f t="shared" si="31"/>
        <v>1.8253109006244588E-2</v>
      </c>
      <c r="EC22">
        <f t="shared" si="32"/>
        <v>1.8361961853195014E-2</v>
      </c>
      <c r="ED22">
        <f t="shared" si="33"/>
        <v>1.8317791982332042E-2</v>
      </c>
      <c r="EE22">
        <f t="shared" si="34"/>
        <v>1.8056615809908035E-2</v>
      </c>
      <c r="EF22">
        <f t="shared" si="35"/>
        <v>1.7650189547941984E-2</v>
      </c>
      <c r="EG22">
        <f t="shared" si="36"/>
        <v>1.7230345047373908E-2</v>
      </c>
      <c r="EH22">
        <f t="shared" si="37"/>
        <v>1.6766027846269953E-2</v>
      </c>
      <c r="EI22">
        <f t="shared" si="38"/>
        <v>1.6354424638943203E-2</v>
      </c>
      <c r="EJ22">
        <f t="shared" si="39"/>
        <v>1.6055762479151161E-2</v>
      </c>
      <c r="EK22">
        <f t="shared" si="40"/>
        <v>1.5823376756344498E-2</v>
      </c>
      <c r="EL22">
        <f t="shared" si="41"/>
        <v>1.5551269874774513E-2</v>
      </c>
      <c r="EM22">
        <f t="shared" si="42"/>
        <v>1.5261707025630377E-2</v>
      </c>
      <c r="EN22">
        <f t="shared" si="43"/>
        <v>1.4948191791405146E-2</v>
      </c>
      <c r="EO22">
        <f t="shared" si="44"/>
        <v>1.4597219410733105E-2</v>
      </c>
      <c r="EP22">
        <f t="shared" si="45"/>
        <v>1.4219266348250872E-2</v>
      </c>
      <c r="EQ22">
        <f t="shared" si="46"/>
        <v>1.3833555077957905E-2</v>
      </c>
      <c r="ER22">
        <f t="shared" si="47"/>
        <v>1.3430524834466624E-2</v>
      </c>
      <c r="ES22">
        <f t="shared" si="48"/>
        <v>1.3034459673452268E-2</v>
      </c>
      <c r="ET22">
        <f t="shared" si="49"/>
        <v>1.2657494412522145E-2</v>
      </c>
      <c r="EU22">
        <f t="shared" si="50"/>
        <v>1.22836367608545E-2</v>
      </c>
      <c r="EV22">
        <f t="shared" si="51"/>
        <v>1.1896937689009422E-2</v>
      </c>
      <c r="EW22">
        <f t="shared" si="52"/>
        <v>1.1515300198840121E-2</v>
      </c>
      <c r="EX22">
        <f t="shared" si="53"/>
        <v>1.1054580902659542E-2</v>
      </c>
      <c r="EY22">
        <f t="shared" si="54"/>
        <v>1.0476032022795859E-2</v>
      </c>
      <c r="EZ22">
        <f t="shared" si="55"/>
        <v>9.8259216071314905E-3</v>
      </c>
      <c r="FA22">
        <f t="shared" si="56"/>
        <v>9.1823076089740645E-3</v>
      </c>
      <c r="FB22">
        <f t="shared" si="57"/>
        <v>8.5212520637031018E-3</v>
      </c>
      <c r="FC22">
        <f t="shared" si="58"/>
        <v>7.9339788051674947E-3</v>
      </c>
      <c r="FD22">
        <f t="shared" si="59"/>
        <v>7.471132491046242E-3</v>
      </c>
      <c r="FE22">
        <f t="shared" si="60"/>
        <v>7.087367982936266E-3</v>
      </c>
      <c r="FF22">
        <f t="shared" si="61"/>
        <v>6.6912811912309862E-3</v>
      </c>
      <c r="FG22">
        <f t="shared" si="62"/>
        <v>6.3066154043325889E-3</v>
      </c>
      <c r="FH22">
        <f t="shared" si="63"/>
        <v>5.8881624782138355E-3</v>
      </c>
      <c r="FI22">
        <f t="shared" si="64"/>
        <v>5.4060143775597419E-3</v>
      </c>
      <c r="FJ22">
        <f t="shared" si="65"/>
        <v>4.8876853412232451E-3</v>
      </c>
      <c r="FK22">
        <f t="shared" si="66"/>
        <v>4.3942027585259606E-3</v>
      </c>
      <c r="FL22">
        <f t="shared" si="67"/>
        <v>3.9176209556691585E-3</v>
      </c>
      <c r="FM22">
        <f t="shared" si="68"/>
        <v>3.4559571193183143E-3</v>
      </c>
      <c r="FN22">
        <f t="shared" si="69"/>
        <v>3.0157220874409848E-3</v>
      </c>
      <c r="FO22">
        <f t="shared" si="70"/>
        <v>2.598516531165408E-3</v>
      </c>
      <c r="FP22">
        <f t="shared" si="71"/>
        <v>2.1984064309486149E-3</v>
      </c>
      <c r="FQ22">
        <f t="shared" si="72"/>
        <v>1.8153845765602973E-3</v>
      </c>
      <c r="FR22">
        <f t="shared" si="73"/>
        <v>1.4767344794835594E-3</v>
      </c>
      <c r="FS22">
        <f t="shared" si="74"/>
        <v>1.1951100939078415E-3</v>
      </c>
      <c r="FT22">
        <f t="shared" si="75"/>
        <v>9.6044593832404985E-4</v>
      </c>
      <c r="FU22">
        <f t="shared" si="76"/>
        <v>7.1446172115768143E-4</v>
      </c>
      <c r="FV22">
        <f t="shared" si="77"/>
        <v>5.2882713166403248E-4</v>
      </c>
      <c r="FW22">
        <f t="shared" si="78"/>
        <v>4.3186395449046816E-4</v>
      </c>
      <c r="FX22">
        <f t="shared" si="79"/>
        <v>3.2223961289715511E-4</v>
      </c>
      <c r="FY22">
        <f t="shared" si="80"/>
        <v>1.999468966537861E-4</v>
      </c>
      <c r="FZ22">
        <f t="shared" si="81"/>
        <v>1.316155440308035E-4</v>
      </c>
      <c r="GA22">
        <f t="shared" si="82"/>
        <v>1.1072029660003386E-4</v>
      </c>
      <c r="GB22">
        <f t="shared" si="83"/>
        <v>8.694816727662206E-5</v>
      </c>
      <c r="GC22">
        <f t="shared" si="84"/>
        <v>6.0284735599953326E-5</v>
      </c>
      <c r="GD22">
        <f t="shared" si="85"/>
        <v>3.0751632260949756E-5</v>
      </c>
      <c r="GE22">
        <f t="shared" si="86"/>
        <v>4.1228096897564055E-5</v>
      </c>
    </row>
    <row r="23" spans="1:187">
      <c r="A23" s="4">
        <v>1971</v>
      </c>
      <c r="B23" s="17">
        <v>3231.8159999999998</v>
      </c>
      <c r="C23" s="17">
        <v>3261.7640000000001</v>
      </c>
      <c r="D23" s="17">
        <v>3402.4250000000002</v>
      </c>
      <c r="E23" s="17">
        <v>3537.5940000000001</v>
      </c>
      <c r="F23" s="17">
        <v>3665.6489999999999</v>
      </c>
      <c r="G23" s="17">
        <v>3784.9740000000002</v>
      </c>
      <c r="H23" s="17">
        <v>3894.9690000000001</v>
      </c>
      <c r="I23" s="17">
        <v>3995.0369999999998</v>
      </c>
      <c r="J23" s="17">
        <v>4078.4569999999999</v>
      </c>
      <c r="K23" s="17">
        <v>4141.5749999999998</v>
      </c>
      <c r="L23" s="17">
        <v>4185.83</v>
      </c>
      <c r="M23" s="17">
        <v>4218.3580000000002</v>
      </c>
      <c r="N23" s="17">
        <v>4240.1819999999998</v>
      </c>
      <c r="O23" s="17">
        <v>4236.4880000000003</v>
      </c>
      <c r="P23" s="17">
        <v>4201.402</v>
      </c>
      <c r="Q23" s="17">
        <v>4142.24</v>
      </c>
      <c r="R23" s="17">
        <v>4073.2849999999999</v>
      </c>
      <c r="S23" s="17">
        <v>3992.99</v>
      </c>
      <c r="T23" s="17">
        <v>3905.4960000000001</v>
      </c>
      <c r="U23" s="17">
        <v>3814.7359999999999</v>
      </c>
      <c r="V23" s="17">
        <v>3719.9079999999999</v>
      </c>
      <c r="W23" s="17">
        <v>3617.9569999999999</v>
      </c>
      <c r="X23" s="17">
        <v>3511.5169999999998</v>
      </c>
      <c r="Y23" s="17">
        <v>3399.6570000000002</v>
      </c>
      <c r="Z23" s="17">
        <v>3282.2820000000002</v>
      </c>
      <c r="AA23" s="17">
        <v>3162.2649999999999</v>
      </c>
      <c r="AB23" s="17">
        <v>3043.998</v>
      </c>
      <c r="AC23" s="17">
        <v>2928.31</v>
      </c>
      <c r="AD23" s="17">
        <v>2817.6010000000001</v>
      </c>
      <c r="AE23" s="17">
        <v>2714.0770000000002</v>
      </c>
      <c r="AF23" s="17">
        <v>2618.64</v>
      </c>
      <c r="AG23" s="17">
        <v>2529.4070000000002</v>
      </c>
      <c r="AH23" s="17">
        <v>2446.0610000000001</v>
      </c>
      <c r="AI23" s="17">
        <v>2380.2910000000002</v>
      </c>
      <c r="AJ23" s="17">
        <v>2337.5259999999998</v>
      </c>
      <c r="AK23" s="17">
        <v>2313.1860000000001</v>
      </c>
      <c r="AL23" s="17">
        <v>2294.3290000000002</v>
      </c>
      <c r="AM23" s="17">
        <v>2280.02</v>
      </c>
      <c r="AN23" s="17">
        <v>2283.4760000000001</v>
      </c>
      <c r="AO23" s="17">
        <v>2308.837</v>
      </c>
      <c r="AP23" s="17">
        <v>2348.4520000000002</v>
      </c>
      <c r="AQ23" s="17">
        <v>2389.2040000000002</v>
      </c>
      <c r="AR23" s="17">
        <v>2432.1329999999998</v>
      </c>
      <c r="AS23" s="17">
        <v>2468.5839999999998</v>
      </c>
      <c r="AT23" s="17">
        <v>2492.395</v>
      </c>
      <c r="AU23" s="17">
        <v>2505.4720000000002</v>
      </c>
      <c r="AV23" s="17">
        <v>2518.2539999999999</v>
      </c>
      <c r="AW23" s="17">
        <v>2531.4899999999998</v>
      </c>
      <c r="AX23" s="17">
        <v>2523.8249999999998</v>
      </c>
      <c r="AY23" s="17">
        <v>2486.5700000000002</v>
      </c>
      <c r="AZ23" s="17">
        <v>2429.4549999999999</v>
      </c>
      <c r="BA23" s="17">
        <v>2370.4899999999998</v>
      </c>
      <c r="BB23" s="17">
        <v>2305.5819999999999</v>
      </c>
      <c r="BC23" s="17">
        <v>2247.2759999999998</v>
      </c>
      <c r="BD23" s="17">
        <v>2203.482</v>
      </c>
      <c r="BE23" s="17">
        <v>2168.2449999999999</v>
      </c>
      <c r="BF23" s="17">
        <v>2127.5279999999998</v>
      </c>
      <c r="BG23" s="17">
        <v>2083.94</v>
      </c>
      <c r="BH23" s="17">
        <v>2038.626</v>
      </c>
      <c r="BI23" s="17">
        <v>1990.6869999999999</v>
      </c>
      <c r="BJ23" s="17">
        <v>1940.444</v>
      </c>
      <c r="BK23" s="17">
        <v>1888.8979999999999</v>
      </c>
      <c r="BL23" s="17">
        <v>1835.586</v>
      </c>
      <c r="BM23" s="17">
        <v>1780.3589999999999</v>
      </c>
      <c r="BN23" s="17">
        <v>1723.155</v>
      </c>
      <c r="BO23" s="17">
        <v>1663.6510000000001</v>
      </c>
      <c r="BP23" s="17">
        <v>1602.9849999999999</v>
      </c>
      <c r="BQ23" s="17">
        <v>1542.61</v>
      </c>
      <c r="BR23" s="17">
        <v>1474.2619999999999</v>
      </c>
      <c r="BS23" s="17">
        <v>1394.4870000000001</v>
      </c>
      <c r="BT23" s="17">
        <v>1307.92</v>
      </c>
      <c r="BU23" s="17">
        <v>1221.778</v>
      </c>
      <c r="BV23" s="17">
        <v>1133.56</v>
      </c>
      <c r="BW23" s="17">
        <v>1054.453</v>
      </c>
      <c r="BX23" s="17">
        <v>990.42</v>
      </c>
      <c r="BY23" s="17">
        <v>936.01700000000005</v>
      </c>
      <c r="BZ23" s="17">
        <v>880.56600000000003</v>
      </c>
      <c r="CA23" s="17">
        <v>827.077</v>
      </c>
      <c r="CB23" s="17">
        <v>768.904</v>
      </c>
      <c r="CC23" s="17">
        <v>701.94600000000003</v>
      </c>
      <c r="CD23" s="17">
        <v>630.15099999999995</v>
      </c>
      <c r="CE23" s="17">
        <v>561.91899999999998</v>
      </c>
      <c r="CF23" s="17">
        <v>495.99599999999998</v>
      </c>
      <c r="CG23" s="17">
        <v>433.36799999999999</v>
      </c>
      <c r="CH23" s="17">
        <v>375.51</v>
      </c>
      <c r="CI23" s="17">
        <v>322.029</v>
      </c>
      <c r="CJ23" s="17">
        <v>269.97300000000001</v>
      </c>
      <c r="CK23" s="17">
        <v>221.739</v>
      </c>
      <c r="CL23" s="17">
        <v>180.637</v>
      </c>
      <c r="CM23" s="17">
        <v>145.19399999999999</v>
      </c>
      <c r="CN23" s="17">
        <v>114.288</v>
      </c>
      <c r="CO23" s="17">
        <v>84.144000000000005</v>
      </c>
      <c r="CP23" s="17">
        <v>62.746000000000002</v>
      </c>
      <c r="CQ23" s="17">
        <v>51.107999999999997</v>
      </c>
      <c r="CR23" s="17">
        <v>37.982999999999997</v>
      </c>
      <c r="CS23" s="17">
        <v>23.373000000000001</v>
      </c>
      <c r="CT23" s="17">
        <v>16.259</v>
      </c>
      <c r="CU23" s="17">
        <v>12.769</v>
      </c>
      <c r="CV23" s="17">
        <v>8.86</v>
      </c>
      <c r="CW23" s="17">
        <v>4.532</v>
      </c>
      <c r="CX23" s="17">
        <v>6.1210000000000004</v>
      </c>
      <c r="CY23" s="3">
        <f t="shared" si="87"/>
        <v>211384.07899999994</v>
      </c>
      <c r="CZ23" s="21">
        <f t="shared" si="3"/>
        <v>141099.04400000002</v>
      </c>
      <c r="DA23">
        <f t="shared" si="4"/>
        <v>2.7679110285112912E-2</v>
      </c>
      <c r="DB23">
        <f t="shared" si="5"/>
        <v>2.7035874176440197E-2</v>
      </c>
      <c r="DC23">
        <f t="shared" si="6"/>
        <v>2.6363807255845046E-2</v>
      </c>
      <c r="DD23">
        <f t="shared" si="7"/>
        <v>2.5641258065504678E-2</v>
      </c>
      <c r="DE23">
        <f t="shared" si="8"/>
        <v>2.4886894343522266E-2</v>
      </c>
      <c r="DF23">
        <f t="shared" si="9"/>
        <v>2.409411788785755E-2</v>
      </c>
      <c r="DG23">
        <f t="shared" si="10"/>
        <v>2.3262255412588053E-2</v>
      </c>
      <c r="DH23">
        <f t="shared" si="11"/>
        <v>2.2411668501453486E-2</v>
      </c>
      <c r="DI23">
        <f t="shared" si="12"/>
        <v>2.157348422573295E-2</v>
      </c>
      <c r="DJ23">
        <f t="shared" si="13"/>
        <v>2.0753577891002576E-2</v>
      </c>
      <c r="DK23">
        <f t="shared" si="14"/>
        <v>1.996895882583017E-2</v>
      </c>
      <c r="DL23">
        <f t="shared" si="15"/>
        <v>1.9235261438057653E-2</v>
      </c>
      <c r="DM23">
        <f t="shared" si="16"/>
        <v>1.8558878400338413E-2</v>
      </c>
      <c r="DN23">
        <f t="shared" si="17"/>
        <v>1.7926464476966972E-2</v>
      </c>
      <c r="DO23">
        <f t="shared" si="18"/>
        <v>1.7335773019128319E-2</v>
      </c>
      <c r="DP23">
        <f t="shared" si="19"/>
        <v>1.6869646544167938E-2</v>
      </c>
      <c r="DQ23">
        <f t="shared" si="20"/>
        <v>1.6566561570750257E-2</v>
      </c>
      <c r="DR23">
        <f t="shared" si="21"/>
        <v>1.6394058630191711E-2</v>
      </c>
      <c r="DS23">
        <f t="shared" si="22"/>
        <v>1.6260414918190372E-2</v>
      </c>
      <c r="DT23">
        <f t="shared" si="23"/>
        <v>1.6159003883825036E-2</v>
      </c>
      <c r="DU23">
        <f t="shared" si="24"/>
        <v>1.6183497316962683E-2</v>
      </c>
      <c r="DV23">
        <f t="shared" si="25"/>
        <v>1.6363236309382787E-2</v>
      </c>
      <c r="DW23">
        <f t="shared" si="26"/>
        <v>1.6643996539055218E-2</v>
      </c>
      <c r="DX23">
        <f t="shared" si="27"/>
        <v>1.6932814938136646E-2</v>
      </c>
      <c r="DY23">
        <f t="shared" si="28"/>
        <v>1.7237062215673123E-2</v>
      </c>
      <c r="DZ23">
        <f t="shared" si="29"/>
        <v>1.7495398480516986E-2</v>
      </c>
      <c r="EA23">
        <f t="shared" si="30"/>
        <v>1.7664152281570381E-2</v>
      </c>
      <c r="EB23">
        <f t="shared" si="31"/>
        <v>1.7756831860604241E-2</v>
      </c>
      <c r="EC23">
        <f t="shared" si="32"/>
        <v>1.7847420709668306E-2</v>
      </c>
      <c r="ED23">
        <f t="shared" si="33"/>
        <v>1.794122715671978E-2</v>
      </c>
      <c r="EE23">
        <f t="shared" si="34"/>
        <v>1.7886903613606335E-2</v>
      </c>
      <c r="EF23">
        <f t="shared" si="35"/>
        <v>1.7622869223692259E-2</v>
      </c>
      <c r="EG23">
        <f t="shared" si="36"/>
        <v>1.7218082639879541E-2</v>
      </c>
      <c r="EH23">
        <f t="shared" si="37"/>
        <v>1.6800184698629136E-2</v>
      </c>
      <c r="EI23">
        <f t="shared" si="38"/>
        <v>1.6340167407512693E-2</v>
      </c>
      <c r="EJ23">
        <f t="shared" si="39"/>
        <v>1.5926939944398203E-2</v>
      </c>
      <c r="EK23">
        <f t="shared" si="40"/>
        <v>1.5616562221357074E-2</v>
      </c>
      <c r="EL23">
        <f t="shared" si="41"/>
        <v>1.5366829841880428E-2</v>
      </c>
      <c r="EM23">
        <f t="shared" si="42"/>
        <v>1.5078259495507279E-2</v>
      </c>
      <c r="EN23">
        <f t="shared" si="43"/>
        <v>1.476934173983489E-2</v>
      </c>
      <c r="EO23">
        <f t="shared" si="44"/>
        <v>1.4448191442034148E-2</v>
      </c>
      <c r="EP23">
        <f t="shared" si="45"/>
        <v>1.4108437191112362E-2</v>
      </c>
      <c r="EQ23">
        <f t="shared" si="46"/>
        <v>1.3752353984765479E-2</v>
      </c>
      <c r="ER23">
        <f t="shared" si="47"/>
        <v>1.338703613045032E-2</v>
      </c>
      <c r="ES23">
        <f t="shared" si="48"/>
        <v>1.3009202245197349E-2</v>
      </c>
      <c r="ET23">
        <f t="shared" si="49"/>
        <v>1.2617796333191312E-2</v>
      </c>
      <c r="EU23">
        <f t="shared" si="50"/>
        <v>1.2212378986777541E-2</v>
      </c>
      <c r="EV23">
        <f t="shared" si="51"/>
        <v>1.1790661033819618E-2</v>
      </c>
      <c r="EW23">
        <f t="shared" si="52"/>
        <v>1.1360707730946778E-2</v>
      </c>
      <c r="EX23">
        <f t="shared" si="53"/>
        <v>1.0932816809162787E-2</v>
      </c>
      <c r="EY23">
        <f t="shared" si="54"/>
        <v>1.0448419480432481E-2</v>
      </c>
      <c r="EZ23">
        <f t="shared" si="55"/>
        <v>9.8830364860586859E-3</v>
      </c>
      <c r="FA23">
        <f t="shared" si="56"/>
        <v>9.2695170918379848E-3</v>
      </c>
      <c r="FB23">
        <f t="shared" si="57"/>
        <v>8.6590097662178327E-3</v>
      </c>
      <c r="FC23">
        <f t="shared" si="58"/>
        <v>8.0337893713865252E-3</v>
      </c>
      <c r="FD23">
        <f t="shared" si="59"/>
        <v>7.473140640130771E-3</v>
      </c>
      <c r="FE23">
        <f t="shared" si="60"/>
        <v>7.0193246667213409E-3</v>
      </c>
      <c r="FF23">
        <f t="shared" si="61"/>
        <v>6.6337586241902525E-3</v>
      </c>
      <c r="FG23">
        <f t="shared" si="62"/>
        <v>6.2407651748512191E-3</v>
      </c>
      <c r="FH23">
        <f t="shared" si="63"/>
        <v>5.8616768516163717E-3</v>
      </c>
      <c r="FI23">
        <f t="shared" si="64"/>
        <v>5.4493919887933463E-3</v>
      </c>
      <c r="FJ23">
        <f t="shared" si="65"/>
        <v>4.974845896191897E-3</v>
      </c>
      <c r="FK23">
        <f t="shared" si="66"/>
        <v>4.4660189193060718E-3</v>
      </c>
      <c r="FL23">
        <f t="shared" si="67"/>
        <v>3.9824437081232098E-3</v>
      </c>
      <c r="FM23">
        <f t="shared" si="68"/>
        <v>3.5152328884666285E-3</v>
      </c>
      <c r="FN23">
        <f t="shared" si="69"/>
        <v>3.0713744594896043E-3</v>
      </c>
      <c r="FO23">
        <f t="shared" si="70"/>
        <v>2.6613220710411047E-3</v>
      </c>
      <c r="FP23">
        <f t="shared" si="71"/>
        <v>2.2822904455681494E-3</v>
      </c>
      <c r="FQ23">
        <f t="shared" si="72"/>
        <v>1.9133581089323325E-3</v>
      </c>
      <c r="FR23">
        <f t="shared" si="73"/>
        <v>1.5715131280407539E-3</v>
      </c>
      <c r="FS23">
        <f t="shared" si="74"/>
        <v>1.2802142018765198E-3</v>
      </c>
      <c r="FT23">
        <f t="shared" si="75"/>
        <v>1.0290218550311366E-3</v>
      </c>
      <c r="FU23">
        <f t="shared" si="76"/>
        <v>8.0998422639915249E-4</v>
      </c>
      <c r="FV23">
        <f t="shared" si="77"/>
        <v>5.9634705958744837E-4</v>
      </c>
      <c r="FW23">
        <f t="shared" si="78"/>
        <v>4.4469472096494143E-4</v>
      </c>
      <c r="FX23">
        <f t="shared" si="79"/>
        <v>3.6221365185153196E-4</v>
      </c>
      <c r="FY23">
        <f t="shared" si="80"/>
        <v>2.6919388624631639E-4</v>
      </c>
      <c r="FZ23">
        <f t="shared" si="81"/>
        <v>1.6564959858976789E-4</v>
      </c>
      <c r="GA23">
        <f t="shared" si="82"/>
        <v>1.1523111382668189E-4</v>
      </c>
      <c r="GB23">
        <f t="shared" si="83"/>
        <v>9.0496715200990291E-5</v>
      </c>
      <c r="GC23">
        <f t="shared" si="84"/>
        <v>6.2792771296168377E-5</v>
      </c>
      <c r="GD23">
        <f t="shared" si="85"/>
        <v>3.2119282112216151E-5</v>
      </c>
      <c r="GE23">
        <f t="shared" si="86"/>
        <v>4.3380875068154251E-5</v>
      </c>
    </row>
    <row r="24" spans="1:187">
      <c r="A24" s="4">
        <v>1972</v>
      </c>
      <c r="B24" s="17">
        <v>3260.0070000000001</v>
      </c>
      <c r="C24" s="17">
        <v>3318.7649999999999</v>
      </c>
      <c r="D24" s="17">
        <v>3286.0590000000002</v>
      </c>
      <c r="E24" s="17">
        <v>3412.364</v>
      </c>
      <c r="F24" s="17">
        <v>3538.7489999999998</v>
      </c>
      <c r="G24" s="17">
        <v>3662.6419999999998</v>
      </c>
      <c r="H24" s="17">
        <v>3781.4690000000001</v>
      </c>
      <c r="I24" s="17">
        <v>3894.6950000000002</v>
      </c>
      <c r="J24" s="17">
        <v>4001.7890000000002</v>
      </c>
      <c r="K24" s="17">
        <v>4089.982</v>
      </c>
      <c r="L24" s="17">
        <v>4152.625</v>
      </c>
      <c r="M24" s="17">
        <v>4193.2610000000004</v>
      </c>
      <c r="N24" s="17">
        <v>4224.2089999999998</v>
      </c>
      <c r="O24" s="17">
        <v>4245.5540000000001</v>
      </c>
      <c r="P24" s="17">
        <v>4241.4260000000004</v>
      </c>
      <c r="Q24" s="17">
        <v>4205.9740000000002</v>
      </c>
      <c r="R24" s="17">
        <v>4146.6400000000003</v>
      </c>
      <c r="S24" s="17">
        <v>4077.4580000000001</v>
      </c>
      <c r="T24" s="17">
        <v>3996.5070000000001</v>
      </c>
      <c r="U24" s="17">
        <v>3910.194</v>
      </c>
      <c r="V24" s="17">
        <v>3823.4189999999999</v>
      </c>
      <c r="W24" s="17">
        <v>3734.145</v>
      </c>
      <c r="X24" s="17">
        <v>3637.3290000000002</v>
      </c>
      <c r="Y24" s="17">
        <v>3536.261</v>
      </c>
      <c r="Z24" s="17">
        <v>3427.248</v>
      </c>
      <c r="AA24" s="17">
        <v>3308.6990000000001</v>
      </c>
      <c r="AB24" s="17">
        <v>3184.8429999999998</v>
      </c>
      <c r="AC24" s="17">
        <v>3063.067</v>
      </c>
      <c r="AD24" s="17">
        <v>2943.7759999999998</v>
      </c>
      <c r="AE24" s="17">
        <v>2829.3620000000001</v>
      </c>
      <c r="AF24" s="17">
        <v>2722.386</v>
      </c>
      <c r="AG24" s="17">
        <v>2623.7559999999999</v>
      </c>
      <c r="AH24" s="17">
        <v>2531.0410000000002</v>
      </c>
      <c r="AI24" s="17">
        <v>2443.7910000000002</v>
      </c>
      <c r="AJ24" s="17">
        <v>2375.652</v>
      </c>
      <c r="AK24" s="17">
        <v>2332.89</v>
      </c>
      <c r="AL24" s="17">
        <v>2310.0279999999998</v>
      </c>
      <c r="AM24" s="17">
        <v>2292.4609999999998</v>
      </c>
      <c r="AN24" s="17">
        <v>2279.6750000000002</v>
      </c>
      <c r="AO24" s="17">
        <v>2283.6559999999999</v>
      </c>
      <c r="AP24" s="17">
        <v>2307.7930000000001</v>
      </c>
      <c r="AQ24" s="17">
        <v>2345.0569999999998</v>
      </c>
      <c r="AR24" s="17">
        <v>2383.7330000000002</v>
      </c>
      <c r="AS24" s="17">
        <v>2424.6039999999998</v>
      </c>
      <c r="AT24" s="17">
        <v>2459.0729999999999</v>
      </c>
      <c r="AU24" s="17">
        <v>2481.1469999999999</v>
      </c>
      <c r="AV24" s="17">
        <v>2492.6570000000002</v>
      </c>
      <c r="AW24" s="17">
        <v>2503.7269999999999</v>
      </c>
      <c r="AX24" s="17">
        <v>2515.096</v>
      </c>
      <c r="AY24" s="17">
        <v>2505.8960000000002</v>
      </c>
      <c r="AZ24" s="17">
        <v>2467.6260000000002</v>
      </c>
      <c r="BA24" s="17">
        <v>2409.7919999999999</v>
      </c>
      <c r="BB24" s="17">
        <v>2350.1210000000001</v>
      </c>
      <c r="BC24" s="17">
        <v>2284.732</v>
      </c>
      <c r="BD24" s="17">
        <v>2225.2339999999999</v>
      </c>
      <c r="BE24" s="17">
        <v>2179.0889999999999</v>
      </c>
      <c r="BF24" s="17">
        <v>2140.8609999999999</v>
      </c>
      <c r="BG24" s="17">
        <v>2097.1860000000001</v>
      </c>
      <c r="BH24" s="17">
        <v>2050.1909999999998</v>
      </c>
      <c r="BI24" s="17">
        <v>2003.0650000000001</v>
      </c>
      <c r="BJ24" s="17">
        <v>1955.886</v>
      </c>
      <c r="BK24" s="17">
        <v>1907.8440000000001</v>
      </c>
      <c r="BL24" s="17">
        <v>1858.271</v>
      </c>
      <c r="BM24" s="17">
        <v>1807.566</v>
      </c>
      <c r="BN24" s="17">
        <v>1752.069</v>
      </c>
      <c r="BO24" s="17">
        <v>1689.9690000000001</v>
      </c>
      <c r="BP24" s="17">
        <v>1622.845</v>
      </c>
      <c r="BQ24" s="17">
        <v>1555.175</v>
      </c>
      <c r="BR24" s="17">
        <v>1487.384</v>
      </c>
      <c r="BS24" s="17">
        <v>1414.62</v>
      </c>
      <c r="BT24" s="17">
        <v>1335.347</v>
      </c>
      <c r="BU24" s="17">
        <v>1252.421</v>
      </c>
      <c r="BV24" s="17">
        <v>1169.441</v>
      </c>
      <c r="BW24" s="17">
        <v>1084.7280000000001</v>
      </c>
      <c r="BX24" s="17">
        <v>1008.002</v>
      </c>
      <c r="BY24" s="17">
        <v>944.16099999999994</v>
      </c>
      <c r="BZ24" s="17">
        <v>888.60699999999997</v>
      </c>
      <c r="CA24" s="17">
        <v>832.66700000000003</v>
      </c>
      <c r="CB24" s="17">
        <v>779.06600000000003</v>
      </c>
      <c r="CC24" s="17">
        <v>720.78300000000002</v>
      </c>
      <c r="CD24" s="17">
        <v>653.77200000000005</v>
      </c>
      <c r="CE24" s="17">
        <v>582.10599999999999</v>
      </c>
      <c r="CF24" s="17">
        <v>514.11900000000003</v>
      </c>
      <c r="CG24" s="17">
        <v>448.404</v>
      </c>
      <c r="CH24" s="17">
        <v>387.20800000000003</v>
      </c>
      <c r="CI24" s="17">
        <v>332.57600000000002</v>
      </c>
      <c r="CJ24" s="17">
        <v>283.50400000000002</v>
      </c>
      <c r="CK24" s="17">
        <v>234.91</v>
      </c>
      <c r="CL24" s="17">
        <v>191.58600000000001</v>
      </c>
      <c r="CM24" s="17">
        <v>156.37200000000001</v>
      </c>
      <c r="CN24" s="17">
        <v>124.56</v>
      </c>
      <c r="CO24" s="17">
        <v>95.313000000000002</v>
      </c>
      <c r="CP24" s="17">
        <v>69.155000000000001</v>
      </c>
      <c r="CQ24" s="17">
        <v>52.116999999999997</v>
      </c>
      <c r="CR24" s="17">
        <v>42.295000000000002</v>
      </c>
      <c r="CS24" s="17">
        <v>31.257000000000001</v>
      </c>
      <c r="CT24" s="17">
        <v>19.003</v>
      </c>
      <c r="CU24" s="17">
        <v>13.381</v>
      </c>
      <c r="CV24" s="17">
        <v>9.298</v>
      </c>
      <c r="CW24" s="17">
        <v>4.8049999999999997</v>
      </c>
      <c r="CX24" s="17">
        <v>6.6779999999999999</v>
      </c>
      <c r="CY24" s="3">
        <f t="shared" si="87"/>
        <v>213269.80499999996</v>
      </c>
      <c r="CZ24" s="21">
        <f t="shared" si="3"/>
        <v>143536.13700000005</v>
      </c>
      <c r="DA24">
        <f t="shared" si="4"/>
        <v>2.7843211357987143E-2</v>
      </c>
      <c r="DB24">
        <f t="shared" si="5"/>
        <v>2.7241878468555962E-2</v>
      </c>
      <c r="DC24">
        <f t="shared" si="6"/>
        <v>2.6637326877481722E-2</v>
      </c>
      <c r="DD24">
        <f t="shared" si="7"/>
        <v>2.6015365036610946E-2</v>
      </c>
      <c r="DE24">
        <f t="shared" si="8"/>
        <v>2.5340858936450262E-2</v>
      </c>
      <c r="DF24">
        <f t="shared" si="9"/>
        <v>2.463672963415477E-2</v>
      </c>
      <c r="DG24">
        <f t="shared" si="10"/>
        <v>2.3877248417240034E-2</v>
      </c>
      <c r="DH24">
        <f t="shared" si="11"/>
        <v>2.3051330969008865E-2</v>
      </c>
      <c r="DI24">
        <f t="shared" si="12"/>
        <v>2.218844025320257E-2</v>
      </c>
      <c r="DJ24">
        <f t="shared" si="13"/>
        <v>2.1340040661676711E-2</v>
      </c>
      <c r="DK24">
        <f t="shared" si="14"/>
        <v>2.050895378353396E-2</v>
      </c>
      <c r="DL24">
        <f t="shared" si="15"/>
        <v>1.9711844411696822E-2</v>
      </c>
      <c r="DM24">
        <f t="shared" si="16"/>
        <v>1.8966554742935564E-2</v>
      </c>
      <c r="DN24">
        <f t="shared" si="17"/>
        <v>1.8279410710349542E-2</v>
      </c>
      <c r="DO24">
        <f t="shared" si="18"/>
        <v>1.7633475812435996E-2</v>
      </c>
      <c r="DP24">
        <f t="shared" si="19"/>
        <v>1.7025614950191947E-2</v>
      </c>
      <c r="DQ24">
        <f t="shared" si="20"/>
        <v>1.6550898259161031E-2</v>
      </c>
      <c r="DR24">
        <f t="shared" si="21"/>
        <v>1.6252980251238051E-2</v>
      </c>
      <c r="DS24">
        <f t="shared" si="22"/>
        <v>1.6093703288113426E-2</v>
      </c>
      <c r="DT24">
        <f t="shared" si="23"/>
        <v>1.5971315989923841E-2</v>
      </c>
      <c r="DU24">
        <f t="shared" si="24"/>
        <v>1.5882237376919232E-2</v>
      </c>
      <c r="DV24">
        <f t="shared" si="25"/>
        <v>1.5909972552765574E-2</v>
      </c>
      <c r="DW24">
        <f t="shared" si="26"/>
        <v>1.6078132296398637E-2</v>
      </c>
      <c r="DX24">
        <f t="shared" si="27"/>
        <v>1.6337746361391899E-2</v>
      </c>
      <c r="DY24">
        <f t="shared" si="28"/>
        <v>1.6607197670367842E-2</v>
      </c>
      <c r="DZ24">
        <f t="shared" si="29"/>
        <v>1.6891941295591639E-2</v>
      </c>
      <c r="EA24">
        <f t="shared" si="30"/>
        <v>1.7132082912333074E-2</v>
      </c>
      <c r="EB24">
        <f t="shared" si="31"/>
        <v>1.7285869968759152E-2</v>
      </c>
      <c r="EC24">
        <f t="shared" si="32"/>
        <v>1.7366058834368654E-2</v>
      </c>
      <c r="ED24">
        <f t="shared" si="33"/>
        <v>1.7443182269841907E-2</v>
      </c>
      <c r="EE24">
        <f t="shared" si="34"/>
        <v>1.7522388804430477E-2</v>
      </c>
      <c r="EF24">
        <f t="shared" si="35"/>
        <v>1.7458293447036262E-2</v>
      </c>
      <c r="EG24">
        <f t="shared" si="36"/>
        <v>1.7191670694049675E-2</v>
      </c>
      <c r="EH24">
        <f t="shared" si="37"/>
        <v>1.6788747770186956E-2</v>
      </c>
      <c r="EI24">
        <f t="shared" si="38"/>
        <v>1.6373026675505411E-2</v>
      </c>
      <c r="EJ24">
        <f t="shared" si="39"/>
        <v>1.5917468922826028E-2</v>
      </c>
      <c r="EK24">
        <f t="shared" si="40"/>
        <v>1.5502953099538962E-2</v>
      </c>
      <c r="EL24">
        <f t="shared" si="41"/>
        <v>1.5181466114000262E-2</v>
      </c>
      <c r="EM24">
        <f t="shared" si="42"/>
        <v>1.4915135970253951E-2</v>
      </c>
      <c r="EN24">
        <f t="shared" si="43"/>
        <v>1.4610857194798266E-2</v>
      </c>
      <c r="EO24">
        <f t="shared" si="44"/>
        <v>1.428344835558727E-2</v>
      </c>
      <c r="EP24">
        <f t="shared" si="45"/>
        <v>1.395512685422208E-2</v>
      </c>
      <c r="EQ24">
        <f t="shared" si="46"/>
        <v>1.3626436107863201E-2</v>
      </c>
      <c r="ER24">
        <f t="shared" si="47"/>
        <v>1.3291732938305281E-2</v>
      </c>
      <c r="ES24">
        <f t="shared" si="48"/>
        <v>1.2946363465250561E-2</v>
      </c>
      <c r="ET24">
        <f t="shared" si="49"/>
        <v>1.2593107476481685E-2</v>
      </c>
      <c r="EU24">
        <f t="shared" si="50"/>
        <v>1.220646616677443E-2</v>
      </c>
      <c r="EV24">
        <f t="shared" si="51"/>
        <v>1.177382250436348E-2</v>
      </c>
      <c r="EW24">
        <f t="shared" si="52"/>
        <v>1.1306177203305949E-2</v>
      </c>
      <c r="EX24">
        <f t="shared" si="53"/>
        <v>1.0834727982124804E-2</v>
      </c>
      <c r="EY24">
        <f t="shared" si="54"/>
        <v>1.0362435767656194E-2</v>
      </c>
      <c r="EZ24">
        <f t="shared" si="55"/>
        <v>9.855497225761338E-3</v>
      </c>
      <c r="FA24">
        <f t="shared" si="56"/>
        <v>9.3032112185100786E-3</v>
      </c>
      <c r="FB24">
        <f t="shared" si="57"/>
        <v>8.7254751742413105E-3</v>
      </c>
      <c r="FC24">
        <f t="shared" si="58"/>
        <v>8.1473629180921856E-3</v>
      </c>
      <c r="FD24">
        <f t="shared" si="59"/>
        <v>7.5571770473382583E-3</v>
      </c>
      <c r="FE24">
        <f t="shared" si="60"/>
        <v>7.0226357004438515E-3</v>
      </c>
      <c r="FF24">
        <f t="shared" si="61"/>
        <v>6.5778626883347124E-3</v>
      </c>
      <c r="FG24">
        <f t="shared" si="62"/>
        <v>6.1908242660870805E-3</v>
      </c>
      <c r="FH24">
        <f t="shared" si="63"/>
        <v>5.801096625583561E-3</v>
      </c>
      <c r="FI24">
        <f t="shared" si="64"/>
        <v>5.4276645330088536E-3</v>
      </c>
      <c r="FJ24">
        <f t="shared" si="65"/>
        <v>5.0216134770298283E-3</v>
      </c>
      <c r="FK24">
        <f t="shared" si="66"/>
        <v>4.5547554341663788E-3</v>
      </c>
      <c r="FL24">
        <f t="shared" si="67"/>
        <v>4.0554665338387906E-3</v>
      </c>
      <c r="FM24">
        <f t="shared" si="68"/>
        <v>3.5818088095822161E-3</v>
      </c>
      <c r="FN24">
        <f t="shared" si="69"/>
        <v>3.1239798518473425E-3</v>
      </c>
      <c r="FO24">
        <f t="shared" si="70"/>
        <v>2.6976342549890407E-3</v>
      </c>
      <c r="FP24">
        <f t="shared" si="71"/>
        <v>2.3170193022541766E-3</v>
      </c>
      <c r="FQ24">
        <f t="shared" si="72"/>
        <v>1.9751402394227731E-3</v>
      </c>
      <c r="FR24">
        <f t="shared" si="73"/>
        <v>1.6365913484211988E-3</v>
      </c>
      <c r="FS24">
        <f t="shared" si="74"/>
        <v>1.3347579501878329E-3</v>
      </c>
      <c r="FT24">
        <f t="shared" si="75"/>
        <v>1.0894260028748019E-3</v>
      </c>
      <c r="FU24">
        <f t="shared" si="76"/>
        <v>8.6779540402428385E-4</v>
      </c>
      <c r="FV24">
        <f t="shared" si="77"/>
        <v>6.6403486949073991E-4</v>
      </c>
      <c r="FW24">
        <f t="shared" si="78"/>
        <v>4.8179504789097101E-4</v>
      </c>
      <c r="FX24">
        <f t="shared" si="79"/>
        <v>3.6309323275155429E-4</v>
      </c>
      <c r="FY24">
        <f t="shared" si="80"/>
        <v>2.946644718465566E-4</v>
      </c>
      <c r="FZ24">
        <f t="shared" si="81"/>
        <v>2.1776397674684524E-4</v>
      </c>
      <c r="GA24">
        <f t="shared" si="82"/>
        <v>1.3239174745242026E-4</v>
      </c>
      <c r="GB24">
        <f t="shared" si="83"/>
        <v>9.3223910575216301E-5</v>
      </c>
      <c r="GC24">
        <f t="shared" si="84"/>
        <v>6.4778112288196789E-5</v>
      </c>
      <c r="GD24">
        <f t="shared" si="85"/>
        <v>3.347589046513073E-5</v>
      </c>
      <c r="GE24">
        <f t="shared" si="86"/>
        <v>4.6524869204192099E-5</v>
      </c>
    </row>
    <row r="25" spans="1:187">
      <c r="A25" s="4">
        <v>1973</v>
      </c>
      <c r="B25" s="17">
        <v>3307.3890000000001</v>
      </c>
      <c r="C25" s="17">
        <v>3308.511</v>
      </c>
      <c r="D25" s="17">
        <v>3337.3820000000001</v>
      </c>
      <c r="E25" s="17">
        <v>3310.2240000000002</v>
      </c>
      <c r="F25" s="17">
        <v>3422.1770000000001</v>
      </c>
      <c r="G25" s="17">
        <v>3539.7820000000002</v>
      </c>
      <c r="H25" s="17">
        <v>3659.51</v>
      </c>
      <c r="I25" s="17">
        <v>3777.8339999999998</v>
      </c>
      <c r="J25" s="17">
        <v>3894.288</v>
      </c>
      <c r="K25" s="17">
        <v>4008.3989999999999</v>
      </c>
      <c r="L25" s="17">
        <v>4101.3580000000002</v>
      </c>
      <c r="M25" s="17">
        <v>4163.5240000000003</v>
      </c>
      <c r="N25" s="17">
        <v>4200.5429999999997</v>
      </c>
      <c r="O25" s="17">
        <v>4229.9089999999997</v>
      </c>
      <c r="P25" s="17">
        <v>4250.7759999999998</v>
      </c>
      <c r="Q25" s="17">
        <v>4246.2160000000003</v>
      </c>
      <c r="R25" s="17">
        <v>4210.3969999999999</v>
      </c>
      <c r="S25" s="17">
        <v>4150.8919999999998</v>
      </c>
      <c r="T25" s="17">
        <v>4081.4870000000001</v>
      </c>
      <c r="U25" s="17">
        <v>3999.8820000000001</v>
      </c>
      <c r="V25" s="17">
        <v>3914.752</v>
      </c>
      <c r="W25" s="17">
        <v>3831.962</v>
      </c>
      <c r="X25" s="17">
        <v>3748.239</v>
      </c>
      <c r="Y25" s="17">
        <v>3656.558</v>
      </c>
      <c r="Z25" s="17">
        <v>3560.8609999999999</v>
      </c>
      <c r="AA25" s="17">
        <v>3454.6950000000002</v>
      </c>
      <c r="AB25" s="17">
        <v>3334.9789999999998</v>
      </c>
      <c r="AC25" s="17">
        <v>3207.2910000000002</v>
      </c>
      <c r="AD25" s="17">
        <v>3082.0129999999999</v>
      </c>
      <c r="AE25" s="17">
        <v>2959.127</v>
      </c>
      <c r="AF25" s="17">
        <v>2841.0149999999999</v>
      </c>
      <c r="AG25" s="17">
        <v>2730.5940000000001</v>
      </c>
      <c r="AH25" s="17">
        <v>2628.777</v>
      </c>
      <c r="AI25" s="17">
        <v>2532.585</v>
      </c>
      <c r="AJ25" s="17">
        <v>2441.4380000000001</v>
      </c>
      <c r="AK25" s="17">
        <v>2370.9319999999998</v>
      </c>
      <c r="AL25" s="17">
        <v>2328.1729999999998</v>
      </c>
      <c r="AM25" s="17">
        <v>2306.79</v>
      </c>
      <c r="AN25" s="17">
        <v>2290.5129999999999</v>
      </c>
      <c r="AO25" s="17">
        <v>2279.25</v>
      </c>
      <c r="AP25" s="17">
        <v>2283.7570000000001</v>
      </c>
      <c r="AQ25" s="17">
        <v>2306.6689999999999</v>
      </c>
      <c r="AR25" s="17">
        <v>2341.5819999999999</v>
      </c>
      <c r="AS25" s="17">
        <v>2378.1790000000001</v>
      </c>
      <c r="AT25" s="17">
        <v>2416.9929999999999</v>
      </c>
      <c r="AU25" s="17">
        <v>2449.4769999999999</v>
      </c>
      <c r="AV25" s="17">
        <v>2469.8159999999998</v>
      </c>
      <c r="AW25" s="17">
        <v>2479.761</v>
      </c>
      <c r="AX25" s="17">
        <v>2489.1190000000001</v>
      </c>
      <c r="AY25" s="17">
        <v>2498.6210000000001</v>
      </c>
      <c r="AZ25" s="17">
        <v>2487.886</v>
      </c>
      <c r="BA25" s="17">
        <v>2448.6030000000001</v>
      </c>
      <c r="BB25" s="17">
        <v>2390.0520000000001</v>
      </c>
      <c r="BC25" s="17">
        <v>2329.6750000000002</v>
      </c>
      <c r="BD25" s="17">
        <v>2263.8090000000002</v>
      </c>
      <c r="BE25" s="17">
        <v>2203.1210000000001</v>
      </c>
      <c r="BF25" s="17">
        <v>2154.63</v>
      </c>
      <c r="BG25" s="17">
        <v>2113.413</v>
      </c>
      <c r="BH25" s="17">
        <v>2066.7829999999999</v>
      </c>
      <c r="BI25" s="17">
        <v>2016.384</v>
      </c>
      <c r="BJ25" s="17">
        <v>1967.45</v>
      </c>
      <c r="BK25" s="17">
        <v>1921.0309999999999</v>
      </c>
      <c r="BL25" s="17">
        <v>1875.1869999999999</v>
      </c>
      <c r="BM25" s="17">
        <v>1827.586</v>
      </c>
      <c r="BN25" s="17">
        <v>1779.4870000000001</v>
      </c>
      <c r="BO25" s="17">
        <v>1723.722</v>
      </c>
      <c r="BP25" s="17">
        <v>1656.7339999999999</v>
      </c>
      <c r="BQ25" s="17">
        <v>1581.9939999999999</v>
      </c>
      <c r="BR25" s="17">
        <v>1507.328</v>
      </c>
      <c r="BS25" s="17">
        <v>1432.13</v>
      </c>
      <c r="BT25" s="17">
        <v>1354.9559999999999</v>
      </c>
      <c r="BU25" s="17">
        <v>1276.1859999999999</v>
      </c>
      <c r="BV25" s="17">
        <v>1196.9010000000001</v>
      </c>
      <c r="BW25" s="17">
        <v>1117.0830000000001</v>
      </c>
      <c r="BX25" s="17">
        <v>1035.877</v>
      </c>
      <c r="BY25" s="17">
        <v>961.53300000000002</v>
      </c>
      <c r="BZ25" s="17">
        <v>897.88599999999997</v>
      </c>
      <c r="CA25" s="17">
        <v>841.18299999999999</v>
      </c>
      <c r="CB25" s="17">
        <v>784.75800000000004</v>
      </c>
      <c r="CC25" s="17">
        <v>731.04700000000003</v>
      </c>
      <c r="CD25" s="17">
        <v>672.65800000000002</v>
      </c>
      <c r="CE25" s="17">
        <v>605.596</v>
      </c>
      <c r="CF25" s="17">
        <v>534.06100000000004</v>
      </c>
      <c r="CG25" s="17">
        <v>466.32400000000001</v>
      </c>
      <c r="CH25" s="17">
        <v>400.81900000000002</v>
      </c>
      <c r="CI25" s="17">
        <v>341.05900000000003</v>
      </c>
      <c r="CJ25" s="17">
        <v>289.65300000000002</v>
      </c>
      <c r="CK25" s="17">
        <v>244.99</v>
      </c>
      <c r="CL25" s="17">
        <v>199.857</v>
      </c>
      <c r="CM25" s="17">
        <v>161.44499999999999</v>
      </c>
      <c r="CN25" s="17">
        <v>132.114</v>
      </c>
      <c r="CO25" s="17">
        <v>103.934</v>
      </c>
      <c r="CP25" s="17">
        <v>76.344999999999999</v>
      </c>
      <c r="CQ25" s="17">
        <v>54.173000000000002</v>
      </c>
      <c r="CR25" s="17">
        <v>41.491999999999997</v>
      </c>
      <c r="CS25" s="17">
        <v>33.484999999999999</v>
      </c>
      <c r="CT25" s="17">
        <v>24.530999999999999</v>
      </c>
      <c r="CU25" s="17">
        <v>14.635</v>
      </c>
      <c r="CV25" s="17">
        <v>9.7520000000000007</v>
      </c>
      <c r="CW25" s="17">
        <v>5.1070000000000002</v>
      </c>
      <c r="CX25" s="17">
        <v>7.3540000000000001</v>
      </c>
      <c r="CY25" s="3">
        <f t="shared" si="87"/>
        <v>215178.79699999999</v>
      </c>
      <c r="CZ25" s="21">
        <f t="shared" si="3"/>
        <v>146059.68599999993</v>
      </c>
      <c r="DA25">
        <f t="shared" si="4"/>
        <v>2.7943966687700546E-2</v>
      </c>
      <c r="DB25">
        <f t="shared" si="5"/>
        <v>2.7385256736756246E-2</v>
      </c>
      <c r="DC25">
        <f t="shared" si="6"/>
        <v>2.6802412816360578E-2</v>
      </c>
      <c r="DD25">
        <f t="shared" si="7"/>
        <v>2.6235589743770927E-2</v>
      </c>
      <c r="DE25">
        <f t="shared" si="8"/>
        <v>2.5662378871607338E-2</v>
      </c>
      <c r="DF25">
        <f t="shared" si="9"/>
        <v>2.5034683423870989E-2</v>
      </c>
      <c r="DG25">
        <f t="shared" si="10"/>
        <v>2.4379492367250479E-2</v>
      </c>
      <c r="DH25">
        <f t="shared" si="11"/>
        <v>2.3652625132988454E-2</v>
      </c>
      <c r="DI25">
        <f t="shared" si="12"/>
        <v>2.2832987604806992E-2</v>
      </c>
      <c r="DJ25">
        <f t="shared" si="13"/>
        <v>2.1958769649826591E-2</v>
      </c>
      <c r="DK25">
        <f t="shared" si="14"/>
        <v>2.1101051798783146E-2</v>
      </c>
      <c r="DL25">
        <f t="shared" si="15"/>
        <v>2.0259710814385851E-2</v>
      </c>
      <c r="DM25">
        <f t="shared" si="16"/>
        <v>1.9451055098119282E-2</v>
      </c>
      <c r="DN25">
        <f t="shared" si="17"/>
        <v>1.8695055937611706E-2</v>
      </c>
      <c r="DO25">
        <f t="shared" si="18"/>
        <v>1.7997964202113931E-2</v>
      </c>
      <c r="DP25">
        <f t="shared" si="19"/>
        <v>1.7339384119995995E-2</v>
      </c>
      <c r="DQ25">
        <f t="shared" si="20"/>
        <v>1.6715344711887174E-2</v>
      </c>
      <c r="DR25">
        <f t="shared" si="21"/>
        <v>1.6232624243762931E-2</v>
      </c>
      <c r="DS25">
        <f t="shared" si="22"/>
        <v>1.5939874059430752E-2</v>
      </c>
      <c r="DT25">
        <f t="shared" si="23"/>
        <v>1.5793475004458116E-2</v>
      </c>
      <c r="DU25">
        <f t="shared" si="24"/>
        <v>1.5682034260980138E-2</v>
      </c>
      <c r="DV25">
        <f t="shared" si="25"/>
        <v>1.5604921949510429E-2</v>
      </c>
      <c r="DW25">
        <f t="shared" si="26"/>
        <v>1.5635779197827396E-2</v>
      </c>
      <c r="DX25">
        <f t="shared" si="27"/>
        <v>1.579264657600319E-2</v>
      </c>
      <c r="DY25">
        <f t="shared" si="28"/>
        <v>1.603167899457213E-2</v>
      </c>
      <c r="DZ25">
        <f t="shared" si="29"/>
        <v>1.6282240946348475E-2</v>
      </c>
      <c r="EA25">
        <f t="shared" si="30"/>
        <v>1.6547981624443594E-2</v>
      </c>
      <c r="EB25">
        <f t="shared" si="31"/>
        <v>1.6770383855268599E-2</v>
      </c>
      <c r="EC25">
        <f t="shared" si="32"/>
        <v>1.6909635147373939E-2</v>
      </c>
      <c r="ED25">
        <f t="shared" si="33"/>
        <v>1.6977723750549491E-2</v>
      </c>
      <c r="EE25">
        <f t="shared" si="34"/>
        <v>1.7041793448741231E-2</v>
      </c>
      <c r="EF25">
        <f t="shared" si="35"/>
        <v>1.7106849045259494E-2</v>
      </c>
      <c r="EG25">
        <f t="shared" si="36"/>
        <v>1.7033351694320371E-2</v>
      </c>
      <c r="EH25">
        <f t="shared" si="37"/>
        <v>1.6764400000147894E-2</v>
      </c>
      <c r="EI25">
        <f t="shared" si="38"/>
        <v>1.6363529632673599E-2</v>
      </c>
      <c r="EJ25">
        <f t="shared" si="39"/>
        <v>1.5950157526697692E-2</v>
      </c>
      <c r="EK25">
        <f t="shared" si="40"/>
        <v>1.5499204893539216E-2</v>
      </c>
      <c r="EL25">
        <f t="shared" si="41"/>
        <v>1.5083703521038661E-2</v>
      </c>
      <c r="EM25">
        <f t="shared" si="42"/>
        <v>1.4751709106097908E-2</v>
      </c>
      <c r="EN25">
        <f t="shared" si="43"/>
        <v>1.4469516249678923E-2</v>
      </c>
      <c r="EO25">
        <f t="shared" si="44"/>
        <v>1.4150263201305259E-2</v>
      </c>
      <c r="EP25">
        <f t="shared" si="45"/>
        <v>1.3805205633538067E-2</v>
      </c>
      <c r="EQ25">
        <f t="shared" si="46"/>
        <v>1.3470178211940022E-2</v>
      </c>
      <c r="ER25">
        <f t="shared" si="47"/>
        <v>1.3152369778475361E-2</v>
      </c>
      <c r="ES25">
        <f t="shared" si="48"/>
        <v>1.283849809180064E-2</v>
      </c>
      <c r="ET25">
        <f t="shared" si="49"/>
        <v>1.2512597076239099E-2</v>
      </c>
      <c r="EU25">
        <f t="shared" si="50"/>
        <v>1.2183286495631662E-2</v>
      </c>
      <c r="EV25">
        <f t="shared" si="51"/>
        <v>1.1801490522169141E-2</v>
      </c>
      <c r="EW25">
        <f t="shared" si="52"/>
        <v>1.1342856097883167E-2</v>
      </c>
      <c r="EX25">
        <f t="shared" si="53"/>
        <v>1.083114748035266E-2</v>
      </c>
      <c r="EY25">
        <f t="shared" si="54"/>
        <v>1.0319945505017728E-2</v>
      </c>
      <c r="EZ25">
        <f t="shared" si="55"/>
        <v>9.8051011830875816E-3</v>
      </c>
      <c r="FA25">
        <f t="shared" si="56"/>
        <v>9.2767281452323571E-3</v>
      </c>
      <c r="FB25">
        <f t="shared" si="57"/>
        <v>8.7374280675914951E-3</v>
      </c>
      <c r="FC25">
        <f t="shared" si="58"/>
        <v>8.1946020341300795E-3</v>
      </c>
      <c r="FD25">
        <f t="shared" si="59"/>
        <v>7.6481268075572926E-3</v>
      </c>
      <c r="FE25">
        <f t="shared" si="60"/>
        <v>7.0921486165594003E-3</v>
      </c>
      <c r="FF25">
        <f t="shared" si="61"/>
        <v>6.5831512194268341E-3</v>
      </c>
      <c r="FG25">
        <f t="shared" si="62"/>
        <v>6.1473910056194453E-3</v>
      </c>
      <c r="FH25">
        <f t="shared" si="63"/>
        <v>5.7591730000022077E-3</v>
      </c>
      <c r="FI25">
        <f t="shared" si="64"/>
        <v>5.3728583258764529E-3</v>
      </c>
      <c r="FJ25">
        <f t="shared" si="65"/>
        <v>5.0051250965992104E-3</v>
      </c>
      <c r="FK25">
        <f t="shared" si="66"/>
        <v>4.6053638647422556E-3</v>
      </c>
      <c r="FL25">
        <f t="shared" si="67"/>
        <v>4.1462227982607073E-3</v>
      </c>
      <c r="FM25">
        <f t="shared" si="68"/>
        <v>3.6564572650115124E-3</v>
      </c>
      <c r="FN25">
        <f t="shared" si="69"/>
        <v>3.1926948001243837E-3</v>
      </c>
      <c r="FO25">
        <f t="shared" si="70"/>
        <v>2.7442137592983747E-3</v>
      </c>
      <c r="FP25">
        <f t="shared" si="71"/>
        <v>2.335065953790974E-3</v>
      </c>
      <c r="FQ25">
        <f t="shared" si="72"/>
        <v>1.9831139442542697E-3</v>
      </c>
      <c r="FR25">
        <f t="shared" si="73"/>
        <v>1.6773279931602764E-3</v>
      </c>
      <c r="FS25">
        <f t="shared" si="74"/>
        <v>1.3683241794727678E-3</v>
      </c>
      <c r="FT25">
        <f t="shared" si="75"/>
        <v>1.1053358008725287E-3</v>
      </c>
      <c r="FU25">
        <f t="shared" si="76"/>
        <v>9.0452063548870064E-4</v>
      </c>
      <c r="FV25">
        <f t="shared" si="77"/>
        <v>7.1158581020090684E-4</v>
      </c>
      <c r="FW25">
        <f t="shared" si="78"/>
        <v>5.2269727596155474E-4</v>
      </c>
      <c r="FX25">
        <f t="shared" si="79"/>
        <v>3.7089631974150639E-4</v>
      </c>
      <c r="FY25">
        <f t="shared" si="80"/>
        <v>2.8407564836199919E-4</v>
      </c>
      <c r="FZ25">
        <f t="shared" si="81"/>
        <v>2.292555934975789E-4</v>
      </c>
      <c r="GA25">
        <f t="shared" si="82"/>
        <v>1.6795188783303293E-4</v>
      </c>
      <c r="GB25">
        <f t="shared" si="83"/>
        <v>1.0019876394914341E-4</v>
      </c>
      <c r="GC25">
        <f t="shared" si="84"/>
        <v>6.6767225557365679E-5</v>
      </c>
      <c r="GD25">
        <f t="shared" si="85"/>
        <v>3.4965158010814856E-5</v>
      </c>
      <c r="GE25">
        <f t="shared" si="86"/>
        <v>5.0349279814280879E-5</v>
      </c>
    </row>
    <row r="26" spans="1:187">
      <c r="A26" s="4">
        <v>1974</v>
      </c>
      <c r="B26" s="17">
        <v>3354.7370000000001</v>
      </c>
      <c r="C26" s="17">
        <v>3306.221</v>
      </c>
      <c r="D26" s="17">
        <v>3295.8609999999999</v>
      </c>
      <c r="E26" s="17">
        <v>3318.5189999999998</v>
      </c>
      <c r="F26" s="17">
        <v>3335.5990000000002</v>
      </c>
      <c r="G26" s="17">
        <v>3433.248</v>
      </c>
      <c r="H26" s="17">
        <v>3542.1179999999999</v>
      </c>
      <c r="I26" s="17">
        <v>3657.7269999999999</v>
      </c>
      <c r="J26" s="17">
        <v>3775.5929999999998</v>
      </c>
      <c r="K26" s="17">
        <v>3895.3139999999999</v>
      </c>
      <c r="L26" s="17">
        <v>4016.4830000000002</v>
      </c>
      <c r="M26" s="17">
        <v>4114.24</v>
      </c>
      <c r="N26" s="17">
        <v>4175.9539999999997</v>
      </c>
      <c r="O26" s="17">
        <v>4209.37</v>
      </c>
      <c r="P26" s="17">
        <v>4237.165</v>
      </c>
      <c r="Q26" s="17">
        <v>4257.5619999999999</v>
      </c>
      <c r="R26" s="17">
        <v>4252.567</v>
      </c>
      <c r="S26" s="17">
        <v>4216.3689999999997</v>
      </c>
      <c r="T26" s="17">
        <v>4156.6729999999998</v>
      </c>
      <c r="U26" s="17">
        <v>4087.018</v>
      </c>
      <c r="V26" s="17">
        <v>4004.73</v>
      </c>
      <c r="W26" s="17">
        <v>3920.75</v>
      </c>
      <c r="X26" s="17">
        <v>3841.9140000000002</v>
      </c>
      <c r="Y26" s="17">
        <v>3763.712</v>
      </c>
      <c r="Z26" s="17">
        <v>3677.1309999999999</v>
      </c>
      <c r="AA26" s="17">
        <v>3586.7689999999998</v>
      </c>
      <c r="AB26" s="17">
        <v>3483.4119999999998</v>
      </c>
      <c r="AC26" s="17">
        <v>3362.482</v>
      </c>
      <c r="AD26" s="17">
        <v>3230.9169999999999</v>
      </c>
      <c r="AE26" s="17">
        <v>3102.0909999999999</v>
      </c>
      <c r="AF26" s="17">
        <v>2975.5639999999999</v>
      </c>
      <c r="AG26" s="17">
        <v>2853.712</v>
      </c>
      <c r="AH26" s="17">
        <v>2739.8040000000001</v>
      </c>
      <c r="AI26" s="17">
        <v>2634.7640000000001</v>
      </c>
      <c r="AJ26" s="17">
        <v>2535.0619999999999</v>
      </c>
      <c r="AK26" s="17">
        <v>2439.9850000000001</v>
      </c>
      <c r="AL26" s="17">
        <v>2367.087</v>
      </c>
      <c r="AM26" s="17">
        <v>2324.317</v>
      </c>
      <c r="AN26" s="17">
        <v>2304.404</v>
      </c>
      <c r="AO26" s="17">
        <v>2289.4119999999998</v>
      </c>
      <c r="AP26" s="17">
        <v>2279.665</v>
      </c>
      <c r="AQ26" s="17">
        <v>2284.6979999999999</v>
      </c>
      <c r="AR26" s="17">
        <v>2306.395</v>
      </c>
      <c r="AS26" s="17">
        <v>2338.9720000000002</v>
      </c>
      <c r="AT26" s="17">
        <v>2373.5059999999999</v>
      </c>
      <c r="AU26" s="17">
        <v>2410.2759999999998</v>
      </c>
      <c r="AV26" s="17">
        <v>2440.788</v>
      </c>
      <c r="AW26" s="17">
        <v>2459.3989999999999</v>
      </c>
      <c r="AX26" s="17">
        <v>2467.7820000000002</v>
      </c>
      <c r="AY26" s="17">
        <v>2475.433</v>
      </c>
      <c r="AZ26" s="17">
        <v>2483.0720000000001</v>
      </c>
      <c r="BA26" s="17">
        <v>2470.8000000000002</v>
      </c>
      <c r="BB26" s="17">
        <v>2430.4920000000002</v>
      </c>
      <c r="BC26" s="17">
        <v>2371.201</v>
      </c>
      <c r="BD26" s="17">
        <v>2310.0970000000002</v>
      </c>
      <c r="BE26" s="17">
        <v>2243.7289999999998</v>
      </c>
      <c r="BF26" s="17">
        <v>2181.8290000000002</v>
      </c>
      <c r="BG26" s="17">
        <v>2130.9740000000002</v>
      </c>
      <c r="BH26" s="17">
        <v>2086.7550000000001</v>
      </c>
      <c r="BI26" s="17">
        <v>2037.154</v>
      </c>
      <c r="BJ26" s="17">
        <v>1983.3340000000001</v>
      </c>
      <c r="BK26" s="17">
        <v>1932.5740000000001</v>
      </c>
      <c r="BL26" s="17">
        <v>1886.8979999999999</v>
      </c>
      <c r="BM26" s="17">
        <v>1843.2349999999999</v>
      </c>
      <c r="BN26" s="17">
        <v>1797.588</v>
      </c>
      <c r="BO26" s="17">
        <v>1752.078</v>
      </c>
      <c r="BP26" s="17">
        <v>1696.0229999999999</v>
      </c>
      <c r="BQ26" s="17">
        <v>1624.123</v>
      </c>
      <c r="BR26" s="17">
        <v>1541.7439999999999</v>
      </c>
      <c r="BS26" s="17">
        <v>1460.0550000000001</v>
      </c>
      <c r="BT26" s="17">
        <v>1377.4259999999999</v>
      </c>
      <c r="BU26" s="17">
        <v>1295.8150000000001</v>
      </c>
      <c r="BV26" s="17">
        <v>1217.519</v>
      </c>
      <c r="BW26" s="17">
        <v>1141.8440000000001</v>
      </c>
      <c r="BX26" s="17">
        <v>1065.1600000000001</v>
      </c>
      <c r="BY26" s="17">
        <v>987.43</v>
      </c>
      <c r="BZ26" s="17">
        <v>915.43799999999999</v>
      </c>
      <c r="CA26" s="17">
        <v>851.96199999999999</v>
      </c>
      <c r="CB26" s="17">
        <v>794.09</v>
      </c>
      <c r="CC26" s="17">
        <v>737.15700000000004</v>
      </c>
      <c r="CD26" s="17">
        <v>683.31799999999998</v>
      </c>
      <c r="CE26" s="17">
        <v>624.80200000000002</v>
      </c>
      <c r="CF26" s="17">
        <v>557.66499999999996</v>
      </c>
      <c r="CG26" s="17">
        <v>486.23399999999998</v>
      </c>
      <c r="CH26" s="17">
        <v>418.71899999999999</v>
      </c>
      <c r="CI26" s="17">
        <v>353.40199999999999</v>
      </c>
      <c r="CJ26" s="17">
        <v>295.05399999999997</v>
      </c>
      <c r="CK26" s="17">
        <v>246.85499999999999</v>
      </c>
      <c r="CL26" s="17">
        <v>206.58199999999999</v>
      </c>
      <c r="CM26" s="17">
        <v>164.893</v>
      </c>
      <c r="CN26" s="17">
        <v>131.374</v>
      </c>
      <c r="CO26" s="17">
        <v>107.91500000000001</v>
      </c>
      <c r="CP26" s="17">
        <v>83.353999999999999</v>
      </c>
      <c r="CQ26" s="17">
        <v>57.414000000000001</v>
      </c>
      <c r="CR26" s="17">
        <v>39.216999999999999</v>
      </c>
      <c r="CS26" s="17">
        <v>30.885999999999999</v>
      </c>
      <c r="CT26" s="17">
        <v>24.69</v>
      </c>
      <c r="CU26" s="17">
        <v>17.818999999999999</v>
      </c>
      <c r="CV26" s="17">
        <v>10.273</v>
      </c>
      <c r="CW26" s="17">
        <v>5.47</v>
      </c>
      <c r="CX26" s="17">
        <v>8.0950000000000006</v>
      </c>
      <c r="CY26" s="3">
        <f t="shared" si="87"/>
        <v>217114.89800000002</v>
      </c>
      <c r="CZ26" s="21">
        <f t="shared" si="3"/>
        <v>148720.25100000005</v>
      </c>
      <c r="DA26">
        <f t="shared" si="4"/>
        <v>2.7949609902151111E-2</v>
      </c>
      <c r="DB26">
        <f t="shared" si="5"/>
        <v>2.7481247325221357E-2</v>
      </c>
      <c r="DC26">
        <f t="shared" si="6"/>
        <v>2.6927940028826328E-2</v>
      </c>
      <c r="DD26">
        <f t="shared" si="7"/>
        <v>2.6363255667178766E-2</v>
      </c>
      <c r="DE26">
        <f t="shared" si="8"/>
        <v>2.5833159735589736E-2</v>
      </c>
      <c r="DF26">
        <f t="shared" si="9"/>
        <v>2.5307326841453481E-2</v>
      </c>
      <c r="DG26">
        <f t="shared" si="10"/>
        <v>2.4725153267795376E-2</v>
      </c>
      <c r="DH26">
        <f t="shared" si="11"/>
        <v>2.4117556122198843E-2</v>
      </c>
      <c r="DI26">
        <f t="shared" si="12"/>
        <v>2.3422580156887973E-2</v>
      </c>
      <c r="DJ26">
        <f t="shared" si="13"/>
        <v>2.260944274495609E-2</v>
      </c>
      <c r="DK26">
        <f t="shared" si="14"/>
        <v>2.1724795233165648E-2</v>
      </c>
      <c r="DL26">
        <f t="shared" si="15"/>
        <v>2.0858564850055283E-2</v>
      </c>
      <c r="DM26">
        <f t="shared" si="16"/>
        <v>2.0007793020736624E-2</v>
      </c>
      <c r="DN26">
        <f t="shared" si="17"/>
        <v>1.9188456049606849E-2</v>
      </c>
      <c r="DO26">
        <f t="shared" si="18"/>
        <v>1.8422534803279746E-2</v>
      </c>
      <c r="DP26">
        <f t="shared" si="19"/>
        <v>1.7716242289020877E-2</v>
      </c>
      <c r="DQ26">
        <f t="shared" si="20"/>
        <v>1.7045842667384948E-2</v>
      </c>
      <c r="DR26">
        <f t="shared" si="21"/>
        <v>1.6406541702246046E-2</v>
      </c>
      <c r="DS26">
        <f t="shared" si="22"/>
        <v>1.5916373083582271E-2</v>
      </c>
      <c r="DT26">
        <f t="shared" si="23"/>
        <v>1.5628786156365478E-2</v>
      </c>
      <c r="DU26">
        <f t="shared" si="24"/>
        <v>1.5494890470565433E-2</v>
      </c>
      <c r="DV26">
        <f t="shared" si="25"/>
        <v>1.5394083755278218E-2</v>
      </c>
      <c r="DW26">
        <f t="shared" si="26"/>
        <v>1.5328544597467087E-2</v>
      </c>
      <c r="DX26">
        <f t="shared" si="27"/>
        <v>1.5362386659769686E-2</v>
      </c>
      <c r="DY26">
        <f t="shared" si="28"/>
        <v>1.5508278021935286E-2</v>
      </c>
      <c r="DZ26">
        <f t="shared" si="29"/>
        <v>1.5727326872249561E-2</v>
      </c>
      <c r="EA26">
        <f t="shared" si="30"/>
        <v>1.5959534656783219E-2</v>
      </c>
      <c r="EB26">
        <f t="shared" si="31"/>
        <v>1.6206777380976846E-2</v>
      </c>
      <c r="EC26">
        <f t="shared" si="32"/>
        <v>1.6411941101417311E-2</v>
      </c>
      <c r="ED26">
        <f t="shared" si="33"/>
        <v>1.6537082095161332E-2</v>
      </c>
      <c r="EE26">
        <f t="shared" si="34"/>
        <v>1.6593449670818532E-2</v>
      </c>
      <c r="EF26">
        <f t="shared" si="35"/>
        <v>1.6644895253706903E-2</v>
      </c>
      <c r="EG26">
        <f t="shared" si="36"/>
        <v>1.6696260148189229E-2</v>
      </c>
      <c r="EH26">
        <f t="shared" si="37"/>
        <v>1.6613742804939182E-2</v>
      </c>
      <c r="EI26">
        <f t="shared" si="38"/>
        <v>1.6342710449029563E-2</v>
      </c>
      <c r="EJ26">
        <f t="shared" si="39"/>
        <v>1.5944035758788486E-2</v>
      </c>
      <c r="EK26">
        <f t="shared" si="40"/>
        <v>1.553317039520058E-2</v>
      </c>
      <c r="EL26">
        <f t="shared" si="41"/>
        <v>1.508690971749368E-2</v>
      </c>
      <c r="EM26">
        <f t="shared" si="42"/>
        <v>1.4670692022971367E-2</v>
      </c>
      <c r="EN26">
        <f t="shared" si="43"/>
        <v>1.4328741282180861E-2</v>
      </c>
      <c r="EO26">
        <f t="shared" si="44"/>
        <v>1.4031411229933975E-2</v>
      </c>
      <c r="EP26">
        <f t="shared" si="45"/>
        <v>1.369789242757531E-2</v>
      </c>
      <c r="EQ26">
        <f t="shared" si="46"/>
        <v>1.3336004926457524E-2</v>
      </c>
      <c r="ER26">
        <f t="shared" si="47"/>
        <v>1.2994692968881552E-2</v>
      </c>
      <c r="ES26">
        <f t="shared" si="48"/>
        <v>1.2687565999333872E-2</v>
      </c>
      <c r="ET26">
        <f t="shared" si="49"/>
        <v>1.2393974509900466E-2</v>
      </c>
      <c r="EU26">
        <f t="shared" si="50"/>
        <v>1.2087042537334067E-2</v>
      </c>
      <c r="EV26">
        <f t="shared" si="51"/>
        <v>1.1781031757403365E-2</v>
      </c>
      <c r="EW26">
        <f t="shared" si="52"/>
        <v>1.1404116040659449E-2</v>
      </c>
      <c r="EX26">
        <f t="shared" si="53"/>
        <v>1.0920658007765193E-2</v>
      </c>
      <c r="EY26">
        <f t="shared" si="54"/>
        <v>1.036673882429098E-2</v>
      </c>
      <c r="EZ26">
        <f t="shared" si="55"/>
        <v>9.8174592241644324E-3</v>
      </c>
      <c r="FA26">
        <f t="shared" si="56"/>
        <v>9.2618590322309201E-3</v>
      </c>
      <c r="FB26">
        <f t="shared" si="57"/>
        <v>8.713103906743673E-3</v>
      </c>
      <c r="FC26">
        <f t="shared" si="58"/>
        <v>8.1866389534267243E-3</v>
      </c>
      <c r="FD26">
        <f t="shared" si="59"/>
        <v>7.6777976927970603E-3</v>
      </c>
      <c r="FE26">
        <f t="shared" si="60"/>
        <v>7.1621718820256679E-3</v>
      </c>
      <c r="FF26">
        <f t="shared" si="61"/>
        <v>6.6395127318605697E-3</v>
      </c>
      <c r="FG26">
        <f t="shared" si="62"/>
        <v>6.1554360878532926E-3</v>
      </c>
      <c r="FH26">
        <f t="shared" si="63"/>
        <v>5.7286213160035598E-3</v>
      </c>
      <c r="FI26">
        <f t="shared" si="64"/>
        <v>5.3394880297774634E-3</v>
      </c>
      <c r="FJ26">
        <f t="shared" si="65"/>
        <v>4.956668611324491E-3</v>
      </c>
      <c r="FK26">
        <f t="shared" si="66"/>
        <v>4.5946533535637978E-3</v>
      </c>
      <c r="FL26">
        <f t="shared" si="67"/>
        <v>4.2011897895465481E-3</v>
      </c>
      <c r="FM26">
        <f t="shared" si="68"/>
        <v>3.7497583298188473E-3</v>
      </c>
      <c r="FN26">
        <f t="shared" si="69"/>
        <v>3.2694538687942361E-3</v>
      </c>
      <c r="FO26">
        <f t="shared" si="70"/>
        <v>2.8154807242760762E-3</v>
      </c>
      <c r="FP26">
        <f t="shared" si="71"/>
        <v>2.3762870061320692E-3</v>
      </c>
      <c r="FQ26">
        <f t="shared" si="72"/>
        <v>1.9839530797994679E-3</v>
      </c>
      <c r="FR26">
        <f t="shared" si="73"/>
        <v>1.6598613728805495E-3</v>
      </c>
      <c r="FS26">
        <f t="shared" si="74"/>
        <v>1.3890643581552316E-3</v>
      </c>
      <c r="FT26">
        <f t="shared" si="75"/>
        <v>1.1087461115164468E-3</v>
      </c>
      <c r="FU26">
        <f t="shared" si="76"/>
        <v>8.8336322132753764E-4</v>
      </c>
      <c r="FV26">
        <f t="shared" si="77"/>
        <v>7.2562411154080135E-4</v>
      </c>
      <c r="FW26">
        <f t="shared" si="78"/>
        <v>5.6047511646547697E-4</v>
      </c>
      <c r="FX26">
        <f t="shared" si="79"/>
        <v>3.8605367872866206E-4</v>
      </c>
      <c r="FY26">
        <f t="shared" si="80"/>
        <v>2.6369643499324103E-4</v>
      </c>
      <c r="FZ26">
        <f t="shared" si="81"/>
        <v>2.0767850909557696E-4</v>
      </c>
      <c r="GA26">
        <f t="shared" si="82"/>
        <v>1.6601639544032234E-4</v>
      </c>
      <c r="GB26">
        <f t="shared" si="83"/>
        <v>1.1981555894496166E-4</v>
      </c>
      <c r="GC26">
        <f t="shared" si="84"/>
        <v>6.907599960949499E-5</v>
      </c>
      <c r="GD26">
        <f t="shared" si="85"/>
        <v>3.6780465089451723E-5</v>
      </c>
      <c r="GE26">
        <f t="shared" si="86"/>
        <v>5.4431053912086243E-5</v>
      </c>
    </row>
    <row r="27" spans="1:187">
      <c r="A27" s="4">
        <v>1975</v>
      </c>
      <c r="B27" s="17">
        <v>3387.8939999999998</v>
      </c>
      <c r="C27" s="17">
        <v>3305.7190000000001</v>
      </c>
      <c r="D27" s="17">
        <v>3267.5309999999999</v>
      </c>
      <c r="E27" s="17">
        <v>3267.8919999999998</v>
      </c>
      <c r="F27" s="17">
        <v>3301.3649999999998</v>
      </c>
      <c r="G27" s="17">
        <v>3362.511</v>
      </c>
      <c r="H27" s="17">
        <v>3445.8919999999998</v>
      </c>
      <c r="I27" s="17">
        <v>3546.0720000000001</v>
      </c>
      <c r="J27" s="17">
        <v>3657.6109999999999</v>
      </c>
      <c r="K27" s="17">
        <v>3775.0729999999999</v>
      </c>
      <c r="L27" s="17">
        <v>3898.1170000000002</v>
      </c>
      <c r="M27" s="17">
        <v>4026.402</v>
      </c>
      <c r="N27" s="17">
        <v>4129.0050000000001</v>
      </c>
      <c r="O27" s="17">
        <v>4190.2929999999997</v>
      </c>
      <c r="P27" s="17">
        <v>4220.12</v>
      </c>
      <c r="Q27" s="17">
        <v>4246.357</v>
      </c>
      <c r="R27" s="17">
        <v>4266.2939999999999</v>
      </c>
      <c r="S27" s="17">
        <v>4260.8609999999999</v>
      </c>
      <c r="T27" s="17">
        <v>4224.2690000000002</v>
      </c>
      <c r="U27" s="17">
        <v>4164.3530000000001</v>
      </c>
      <c r="V27" s="17">
        <v>4094.4169999999999</v>
      </c>
      <c r="W27" s="17">
        <v>4011.4090000000001</v>
      </c>
      <c r="X27" s="17">
        <v>3928.5439999999999</v>
      </c>
      <c r="Y27" s="17">
        <v>3853.6289999999999</v>
      </c>
      <c r="Z27" s="17">
        <v>3780.9160000000002</v>
      </c>
      <c r="AA27" s="17">
        <v>3699.4</v>
      </c>
      <c r="AB27" s="17">
        <v>3614.3380000000002</v>
      </c>
      <c r="AC27" s="17">
        <v>3513.7440000000001</v>
      </c>
      <c r="AD27" s="17">
        <v>3391.5439999999999</v>
      </c>
      <c r="AE27" s="17">
        <v>3256.0369999999998</v>
      </c>
      <c r="AF27" s="17">
        <v>3123.6019999999999</v>
      </c>
      <c r="AG27" s="17">
        <v>2993.3719999999998</v>
      </c>
      <c r="AH27" s="17">
        <v>2867.72</v>
      </c>
      <c r="AI27" s="17">
        <v>2750.2730000000001</v>
      </c>
      <c r="AJ27" s="17">
        <v>2641.9589999999998</v>
      </c>
      <c r="AK27" s="17">
        <v>2538.6999999999998</v>
      </c>
      <c r="AL27" s="17">
        <v>2439.6489999999999</v>
      </c>
      <c r="AM27" s="17">
        <v>2364.3229999999999</v>
      </c>
      <c r="AN27" s="17">
        <v>2321.5219999999999</v>
      </c>
      <c r="AO27" s="17">
        <v>2303.0709999999999</v>
      </c>
      <c r="AP27" s="17">
        <v>2289.355</v>
      </c>
      <c r="AQ27" s="17">
        <v>2281.123</v>
      </c>
      <c r="AR27" s="17">
        <v>2286.6860000000001</v>
      </c>
      <c r="AS27" s="17">
        <v>2307.1759999999999</v>
      </c>
      <c r="AT27" s="17">
        <v>2337.4319999999998</v>
      </c>
      <c r="AU27" s="17">
        <v>2369.9169999999999</v>
      </c>
      <c r="AV27" s="17">
        <v>2404.663</v>
      </c>
      <c r="AW27" s="17">
        <v>2433.2170000000001</v>
      </c>
      <c r="AX27" s="17">
        <v>2450.11</v>
      </c>
      <c r="AY27" s="17">
        <v>2456.9349999999999</v>
      </c>
      <c r="AZ27" s="17">
        <v>2462.8809999999999</v>
      </c>
      <c r="BA27" s="17">
        <v>2468.66</v>
      </c>
      <c r="BB27" s="17">
        <v>2454.8440000000001</v>
      </c>
      <c r="BC27" s="17">
        <v>2413.4899999999998</v>
      </c>
      <c r="BD27" s="17">
        <v>2353.4349999999999</v>
      </c>
      <c r="BE27" s="17">
        <v>2291.5770000000002</v>
      </c>
      <c r="BF27" s="17">
        <v>2224.6770000000001</v>
      </c>
      <c r="BG27" s="17">
        <v>2161.5369999999998</v>
      </c>
      <c r="BH27" s="17">
        <v>2108.2930000000001</v>
      </c>
      <c r="BI27" s="17">
        <v>2061.0509999999999</v>
      </c>
      <c r="BJ27" s="17">
        <v>2008.4549999999999</v>
      </c>
      <c r="BK27" s="17">
        <v>1951.1890000000001</v>
      </c>
      <c r="BL27" s="17">
        <v>1898.58</v>
      </c>
      <c r="BM27" s="17">
        <v>1853.6279999999999</v>
      </c>
      <c r="BN27" s="17">
        <v>1812.1289999999999</v>
      </c>
      <c r="BO27" s="17">
        <v>1768.42</v>
      </c>
      <c r="BP27" s="17">
        <v>1725.481</v>
      </c>
      <c r="BQ27" s="17">
        <v>1669.1120000000001</v>
      </c>
      <c r="BR27" s="17">
        <v>1592.2650000000001</v>
      </c>
      <c r="BS27" s="17">
        <v>1502.2049999999999</v>
      </c>
      <c r="BT27" s="17">
        <v>1413.454</v>
      </c>
      <c r="BU27" s="17">
        <v>1323.3489999999999</v>
      </c>
      <c r="BV27" s="17">
        <v>1237.26</v>
      </c>
      <c r="BW27" s="17">
        <v>1159.405</v>
      </c>
      <c r="BX27" s="17">
        <v>1087.308</v>
      </c>
      <c r="BY27" s="17">
        <v>1013.723</v>
      </c>
      <c r="BZ27" s="17">
        <v>939.43499999999995</v>
      </c>
      <c r="CA27" s="17">
        <v>869.76499999999999</v>
      </c>
      <c r="CB27" s="17">
        <v>806.43</v>
      </c>
      <c r="CC27" s="17">
        <v>747.36199999999997</v>
      </c>
      <c r="CD27" s="17">
        <v>689.89400000000001</v>
      </c>
      <c r="CE27" s="17">
        <v>635.899</v>
      </c>
      <c r="CF27" s="17">
        <v>577.22799999999995</v>
      </c>
      <c r="CG27" s="17">
        <v>509.98399999999998</v>
      </c>
      <c r="CH27" s="17">
        <v>438.62400000000002</v>
      </c>
      <c r="CI27" s="17">
        <v>371.29899999999998</v>
      </c>
      <c r="CJ27" s="17">
        <v>306.137</v>
      </c>
      <c r="CK27" s="17">
        <v>249.172</v>
      </c>
      <c r="CL27" s="17">
        <v>204.15899999999999</v>
      </c>
      <c r="CM27" s="17">
        <v>168.25800000000001</v>
      </c>
      <c r="CN27" s="17">
        <v>129.995</v>
      </c>
      <c r="CO27" s="17">
        <v>101.35599999999999</v>
      </c>
      <c r="CP27" s="17">
        <v>83.759</v>
      </c>
      <c r="CQ27" s="17">
        <v>62.807000000000002</v>
      </c>
      <c r="CR27" s="17">
        <v>38.502000000000002</v>
      </c>
      <c r="CS27" s="17">
        <v>24.273</v>
      </c>
      <c r="CT27" s="17">
        <v>20.291</v>
      </c>
      <c r="CU27" s="17">
        <v>15.904999999999999</v>
      </c>
      <c r="CV27" s="17">
        <v>11.112</v>
      </c>
      <c r="CW27" s="17">
        <v>5.9160000000000004</v>
      </c>
      <c r="CX27" s="17">
        <v>8.8659999999999997</v>
      </c>
      <c r="CY27" s="3">
        <f t="shared" si="87"/>
        <v>219081.24999999991</v>
      </c>
      <c r="CZ27" s="21">
        <f t="shared" si="3"/>
        <v>151526.24099999998</v>
      </c>
      <c r="DA27">
        <f t="shared" si="4"/>
        <v>2.787813498257375E-2</v>
      </c>
      <c r="DB27">
        <f t="shared" si="5"/>
        <v>2.7482718323356286E-2</v>
      </c>
      <c r="DC27">
        <f t="shared" si="6"/>
        <v>2.7021174504025348E-2</v>
      </c>
      <c r="DD27">
        <f t="shared" si="7"/>
        <v>2.6473361798765936E-2</v>
      </c>
      <c r="DE27">
        <f t="shared" si="8"/>
        <v>2.5926492824434287E-2</v>
      </c>
      <c r="DF27">
        <f t="shared" si="9"/>
        <v>2.5432090010072912E-2</v>
      </c>
      <c r="DG27">
        <f t="shared" si="10"/>
        <v>2.4952219332095758E-2</v>
      </c>
      <c r="DH27">
        <f t="shared" si="11"/>
        <v>2.4414253106166611E-2</v>
      </c>
      <c r="DI27">
        <f t="shared" si="12"/>
        <v>2.3852884993035634E-2</v>
      </c>
      <c r="DJ27">
        <f t="shared" si="13"/>
        <v>2.3189013182211789E-2</v>
      </c>
      <c r="DK27">
        <f t="shared" si="14"/>
        <v>2.2382552207574399E-2</v>
      </c>
      <c r="DL27">
        <f t="shared" si="15"/>
        <v>2.1488271460518845E-2</v>
      </c>
      <c r="DM27">
        <f t="shared" si="16"/>
        <v>2.0614264429617838E-2</v>
      </c>
      <c r="DN27">
        <f t="shared" si="17"/>
        <v>1.9754809333651986E-2</v>
      </c>
      <c r="DO27">
        <f t="shared" si="18"/>
        <v>1.8925566826408637E-2</v>
      </c>
      <c r="DP27">
        <f t="shared" si="19"/>
        <v>1.8150473355964796E-2</v>
      </c>
      <c r="DQ27">
        <f t="shared" si="20"/>
        <v>1.743565327407548E-2</v>
      </c>
      <c r="DR27">
        <f t="shared" si="21"/>
        <v>1.6754193750506886E-2</v>
      </c>
      <c r="DS27">
        <f t="shared" si="22"/>
        <v>1.610050499437916E-2</v>
      </c>
      <c r="DT27">
        <f t="shared" si="23"/>
        <v>1.5603389778540077E-2</v>
      </c>
      <c r="DU27">
        <f t="shared" si="24"/>
        <v>1.5320923852390691E-2</v>
      </c>
      <c r="DV27">
        <f t="shared" si="25"/>
        <v>1.5199156164640818E-2</v>
      </c>
      <c r="DW27">
        <f t="shared" si="26"/>
        <v>1.51086371897789E-2</v>
      </c>
      <c r="DX27">
        <f t="shared" si="27"/>
        <v>1.5054309966021003E-2</v>
      </c>
      <c r="DY27">
        <f t="shared" si="28"/>
        <v>1.509102307896624E-2</v>
      </c>
      <c r="DZ27">
        <f t="shared" si="29"/>
        <v>1.5226247181833016E-2</v>
      </c>
      <c r="EA27">
        <f t="shared" si="30"/>
        <v>1.5425922167501008E-2</v>
      </c>
      <c r="EB27">
        <f t="shared" si="31"/>
        <v>1.5640307476511611E-2</v>
      </c>
      <c r="EC27">
        <f t="shared" si="32"/>
        <v>1.5869614293408101E-2</v>
      </c>
      <c r="ED27">
        <f t="shared" si="33"/>
        <v>1.6058056901180572E-2</v>
      </c>
      <c r="EE27">
        <f t="shared" si="34"/>
        <v>1.6169542541479665E-2</v>
      </c>
      <c r="EF27">
        <f t="shared" si="35"/>
        <v>1.621458424485037E-2</v>
      </c>
      <c r="EG27">
        <f t="shared" si="36"/>
        <v>1.6253824972797946E-2</v>
      </c>
      <c r="EH27">
        <f t="shared" si="37"/>
        <v>1.6291963581410298E-2</v>
      </c>
      <c r="EI27">
        <f t="shared" si="38"/>
        <v>1.6200784654850642E-2</v>
      </c>
      <c r="EJ27">
        <f t="shared" si="39"/>
        <v>1.5927868229767543E-2</v>
      </c>
      <c r="EK27">
        <f t="shared" si="40"/>
        <v>1.5531534237690225E-2</v>
      </c>
      <c r="EL27">
        <f t="shared" si="41"/>
        <v>1.5123301316502668E-2</v>
      </c>
      <c r="EM27">
        <f t="shared" si="42"/>
        <v>1.4681793630715095E-2</v>
      </c>
      <c r="EN27">
        <f t="shared" si="43"/>
        <v>1.4265100128762516E-2</v>
      </c>
      <c r="EO27">
        <f t="shared" si="44"/>
        <v>1.3913715446818221E-2</v>
      </c>
      <c r="EP27">
        <f t="shared" si="45"/>
        <v>1.3601941065772232E-2</v>
      </c>
      <c r="EQ27">
        <f t="shared" si="46"/>
        <v>1.3254832870829285E-2</v>
      </c>
      <c r="ER27">
        <f t="shared" si="47"/>
        <v>1.2876904931601915E-2</v>
      </c>
      <c r="ES27">
        <f t="shared" si="48"/>
        <v>1.2529710942938262E-2</v>
      </c>
      <c r="ET27">
        <f t="shared" si="49"/>
        <v>1.2233049455770504E-2</v>
      </c>
      <c r="EU27">
        <f t="shared" si="50"/>
        <v>1.1959176100725683E-2</v>
      </c>
      <c r="EV27">
        <f t="shared" si="51"/>
        <v>1.1670717813160826E-2</v>
      </c>
      <c r="EW27">
        <f t="shared" si="52"/>
        <v>1.1387341153668559E-2</v>
      </c>
      <c r="EX27">
        <f t="shared" si="53"/>
        <v>1.101533298116991E-2</v>
      </c>
      <c r="EY27">
        <f t="shared" si="54"/>
        <v>1.0508179900008213E-2</v>
      </c>
      <c r="EZ27">
        <f t="shared" si="55"/>
        <v>9.9138274010242226E-3</v>
      </c>
      <c r="FA27">
        <f t="shared" si="56"/>
        <v>9.3281136697636428E-3</v>
      </c>
      <c r="FB27">
        <f t="shared" si="57"/>
        <v>8.7334641925156716E-3</v>
      </c>
      <c r="FC27">
        <f t="shared" si="58"/>
        <v>8.1653183754489111E-3</v>
      </c>
      <c r="FD27">
        <f t="shared" si="59"/>
        <v>7.6515129811740006E-3</v>
      </c>
      <c r="FE27">
        <f t="shared" si="60"/>
        <v>7.1757076056549185E-3</v>
      </c>
      <c r="FF27">
        <f t="shared" si="61"/>
        <v>6.6900821488734752E-3</v>
      </c>
      <c r="FG27">
        <f t="shared" si="62"/>
        <v>6.1998172316569252E-3</v>
      </c>
      <c r="FH27">
        <f t="shared" si="63"/>
        <v>5.7400288838419748E-3</v>
      </c>
      <c r="FI27">
        <f t="shared" si="64"/>
        <v>5.3220484760788068E-3</v>
      </c>
      <c r="FJ27">
        <f t="shared" si="65"/>
        <v>4.9322282072581745E-3</v>
      </c>
      <c r="FK27">
        <f t="shared" si="66"/>
        <v>4.5529671656013701E-3</v>
      </c>
      <c r="FL27">
        <f t="shared" si="67"/>
        <v>4.1966262464070503E-3</v>
      </c>
      <c r="FM27">
        <f t="shared" si="68"/>
        <v>3.8094259858264421E-3</v>
      </c>
      <c r="FN27">
        <f t="shared" si="69"/>
        <v>3.3656480661986466E-3</v>
      </c>
      <c r="FO27">
        <f t="shared" si="70"/>
        <v>2.8947065346919027E-3</v>
      </c>
      <c r="FP27">
        <f t="shared" si="71"/>
        <v>2.4503940541889375E-3</v>
      </c>
      <c r="FQ27">
        <f t="shared" si="72"/>
        <v>2.0203563289080736E-3</v>
      </c>
      <c r="FR27">
        <f t="shared" si="73"/>
        <v>1.6444148442908977E-3</v>
      </c>
      <c r="FS27">
        <f t="shared" si="74"/>
        <v>1.3473507865875193E-3</v>
      </c>
      <c r="FT27">
        <f t="shared" si="75"/>
        <v>1.1104215275821437E-3</v>
      </c>
      <c r="FU27">
        <f t="shared" si="76"/>
        <v>8.5790420947616606E-4</v>
      </c>
      <c r="FV27">
        <f t="shared" si="77"/>
        <v>6.6890064276061605E-4</v>
      </c>
      <c r="FW27">
        <f t="shared" si="78"/>
        <v>5.5276894250943641E-4</v>
      </c>
      <c r="FX27">
        <f t="shared" si="79"/>
        <v>4.1449586279910427E-4</v>
      </c>
      <c r="FY27">
        <f t="shared" si="80"/>
        <v>2.5409460266357433E-4</v>
      </c>
      <c r="FZ27">
        <f t="shared" si="81"/>
        <v>1.6019007559225337E-4</v>
      </c>
      <c r="GA27">
        <f t="shared" si="82"/>
        <v>1.3391079898827558E-4</v>
      </c>
      <c r="GB27">
        <f t="shared" si="83"/>
        <v>1.0496531752543113E-4</v>
      </c>
      <c r="GC27">
        <f t="shared" si="84"/>
        <v>7.3333832652787848E-5</v>
      </c>
      <c r="GD27">
        <f t="shared" si="85"/>
        <v>3.9042742438255307E-5</v>
      </c>
      <c r="GE27">
        <f t="shared" si="86"/>
        <v>5.8511317521563813E-5</v>
      </c>
    </row>
    <row r="28" spans="1:187">
      <c r="A28" s="4">
        <v>1976</v>
      </c>
      <c r="B28" s="17">
        <v>3395.1849999999999</v>
      </c>
      <c r="C28" s="17">
        <v>3365.826</v>
      </c>
      <c r="D28" s="17">
        <v>3305.5149999999999</v>
      </c>
      <c r="E28" s="17">
        <v>3283</v>
      </c>
      <c r="F28" s="17">
        <v>3293.7139999999999</v>
      </c>
      <c r="G28" s="17">
        <v>3333.087</v>
      </c>
      <c r="H28" s="17">
        <v>3395.8</v>
      </c>
      <c r="I28" s="17">
        <v>3476.5369999999998</v>
      </c>
      <c r="J28" s="17">
        <v>3574.4740000000002</v>
      </c>
      <c r="K28" s="17">
        <v>3686.5390000000002</v>
      </c>
      <c r="L28" s="17">
        <v>3805.9180000000001</v>
      </c>
      <c r="M28" s="17">
        <v>3928.663</v>
      </c>
      <c r="N28" s="17">
        <v>4055.3249999999998</v>
      </c>
      <c r="O28" s="17">
        <v>4155.7430000000004</v>
      </c>
      <c r="P28" s="17">
        <v>4214.3649999999998</v>
      </c>
      <c r="Q28" s="17">
        <v>4241.2240000000002</v>
      </c>
      <c r="R28" s="17">
        <v>4264.2889999999998</v>
      </c>
      <c r="S28" s="17">
        <v>4280.8180000000002</v>
      </c>
      <c r="T28" s="17">
        <v>4272.6099999999997</v>
      </c>
      <c r="U28" s="17">
        <v>4234.3100000000004</v>
      </c>
      <c r="V28" s="17">
        <v>4173.4480000000003</v>
      </c>
      <c r="W28" s="17">
        <v>4102.2870000000003</v>
      </c>
      <c r="X28" s="17">
        <v>4017.627</v>
      </c>
      <c r="Y28" s="17">
        <v>3934.2649999999999</v>
      </c>
      <c r="Z28" s="17">
        <v>3860.5770000000002</v>
      </c>
      <c r="AA28" s="17">
        <v>3789.9430000000002</v>
      </c>
      <c r="AB28" s="17">
        <v>3710.5070000000001</v>
      </c>
      <c r="AC28" s="17">
        <v>3628.415</v>
      </c>
      <c r="AD28" s="17">
        <v>3527.2089999999998</v>
      </c>
      <c r="AE28" s="17">
        <v>3398.7330000000002</v>
      </c>
      <c r="AF28" s="17">
        <v>3253.6640000000002</v>
      </c>
      <c r="AG28" s="17">
        <v>3112.2570000000001</v>
      </c>
      <c r="AH28" s="17">
        <v>2972.16</v>
      </c>
      <c r="AI28" s="17">
        <v>2841.3809999999999</v>
      </c>
      <c r="AJ28" s="17">
        <v>2726.5140000000001</v>
      </c>
      <c r="AK28" s="17">
        <v>2625.529</v>
      </c>
      <c r="AL28" s="17">
        <v>2528.748</v>
      </c>
      <c r="AM28" s="17">
        <v>2436.8519999999999</v>
      </c>
      <c r="AN28" s="17">
        <v>2365.3069999999998</v>
      </c>
      <c r="AO28" s="17">
        <v>2320.4650000000001</v>
      </c>
      <c r="AP28" s="17">
        <v>2296.3470000000002</v>
      </c>
      <c r="AQ28" s="17">
        <v>2277.85</v>
      </c>
      <c r="AR28" s="17">
        <v>2264.6640000000002</v>
      </c>
      <c r="AS28" s="17">
        <v>2266.8620000000001</v>
      </c>
      <c r="AT28" s="17">
        <v>2286.8629999999998</v>
      </c>
      <c r="AU28" s="17">
        <v>2318.4229999999998</v>
      </c>
      <c r="AV28" s="17">
        <v>2351.6909999999998</v>
      </c>
      <c r="AW28" s="17">
        <v>2387.201</v>
      </c>
      <c r="AX28" s="17">
        <v>2415.9960000000001</v>
      </c>
      <c r="AY28" s="17">
        <v>2432.13</v>
      </c>
      <c r="AZ28" s="17">
        <v>2437.5749999999998</v>
      </c>
      <c r="BA28" s="17">
        <v>2442.4079999999999</v>
      </c>
      <c r="BB28" s="17">
        <v>2447.212</v>
      </c>
      <c r="BC28" s="17">
        <v>2432.402</v>
      </c>
      <c r="BD28" s="17">
        <v>2390.0569999999998</v>
      </c>
      <c r="BE28" s="17">
        <v>2329.0680000000002</v>
      </c>
      <c r="BF28" s="17">
        <v>2266.0909999999999</v>
      </c>
      <c r="BG28" s="17">
        <v>2197.6109999999999</v>
      </c>
      <c r="BH28" s="17">
        <v>2134.0219999999999</v>
      </c>
      <c r="BI28" s="17">
        <v>2082.127</v>
      </c>
      <c r="BJ28" s="17">
        <v>2037.136</v>
      </c>
      <c r="BK28" s="17">
        <v>1986.6489999999999</v>
      </c>
      <c r="BL28" s="17">
        <v>1932.175</v>
      </c>
      <c r="BM28" s="17">
        <v>1879.173</v>
      </c>
      <c r="BN28" s="17">
        <v>1828.8119999999999</v>
      </c>
      <c r="BO28" s="17">
        <v>1778.961</v>
      </c>
      <c r="BP28" s="17">
        <v>1727.307</v>
      </c>
      <c r="BQ28" s="17">
        <v>1675.4939999999999</v>
      </c>
      <c r="BR28" s="17">
        <v>1614.3920000000001</v>
      </c>
      <c r="BS28" s="17">
        <v>1539.604</v>
      </c>
      <c r="BT28" s="17">
        <v>1455.702</v>
      </c>
      <c r="BU28" s="17">
        <v>1372.405</v>
      </c>
      <c r="BV28" s="17">
        <v>1288.665</v>
      </c>
      <c r="BW28" s="17">
        <v>1204.8589999999999</v>
      </c>
      <c r="BX28" s="17">
        <v>1122.443</v>
      </c>
      <c r="BY28" s="17">
        <v>1041.69</v>
      </c>
      <c r="BZ28" s="17">
        <v>960.63699999999994</v>
      </c>
      <c r="CA28" s="17">
        <v>878.74400000000003</v>
      </c>
      <c r="CB28" s="17">
        <v>804.60799999999995</v>
      </c>
      <c r="CC28" s="17">
        <v>742.01700000000005</v>
      </c>
      <c r="CD28" s="17">
        <v>687.154</v>
      </c>
      <c r="CE28" s="17">
        <v>633.45600000000002</v>
      </c>
      <c r="CF28" s="17">
        <v>583.50199999999995</v>
      </c>
      <c r="CG28" s="17">
        <v>528.89099999999996</v>
      </c>
      <c r="CH28" s="17">
        <v>465.19099999999997</v>
      </c>
      <c r="CI28" s="17">
        <v>397.11</v>
      </c>
      <c r="CJ28" s="17">
        <v>332.10300000000001</v>
      </c>
      <c r="CK28" s="17">
        <v>271.26900000000001</v>
      </c>
      <c r="CL28" s="17">
        <v>221.27699999999999</v>
      </c>
      <c r="CM28" s="17">
        <v>180.04300000000001</v>
      </c>
      <c r="CN28" s="17">
        <v>145.29599999999999</v>
      </c>
      <c r="CO28" s="17">
        <v>111.273</v>
      </c>
      <c r="CP28" s="17">
        <v>87.26</v>
      </c>
      <c r="CQ28" s="17">
        <v>71.902000000000001</v>
      </c>
      <c r="CR28" s="17">
        <v>53.69</v>
      </c>
      <c r="CS28" s="17">
        <v>32.625</v>
      </c>
      <c r="CT28" s="17">
        <v>22.021000000000001</v>
      </c>
      <c r="CU28" s="17">
        <v>17.292999999999999</v>
      </c>
      <c r="CV28" s="17">
        <v>12.099</v>
      </c>
      <c r="CW28" s="17">
        <v>6.44</v>
      </c>
      <c r="CX28" s="17">
        <v>9.6289999999999996</v>
      </c>
      <c r="CY28" s="3">
        <f t="shared" si="87"/>
        <v>221086.42700000003</v>
      </c>
      <c r="CZ28" s="21">
        <f t="shared" si="3"/>
        <v>154030.405</v>
      </c>
      <c r="DA28">
        <f t="shared" si="4"/>
        <v>2.7738744178462685E-2</v>
      </c>
      <c r="DB28">
        <f t="shared" si="5"/>
        <v>2.7490091972425836E-2</v>
      </c>
      <c r="DC28">
        <f t="shared" si="6"/>
        <v>2.7094962192691762E-2</v>
      </c>
      <c r="DD28">
        <f t="shared" si="7"/>
        <v>2.6632968990765168E-2</v>
      </c>
      <c r="DE28">
        <f t="shared" si="8"/>
        <v>2.6083337247603811E-2</v>
      </c>
      <c r="DF28">
        <f t="shared" si="9"/>
        <v>2.5542132412103961E-2</v>
      </c>
      <c r="DG28">
        <f t="shared" si="10"/>
        <v>2.5063733358358698E-2</v>
      </c>
      <c r="DH28">
        <f t="shared" si="11"/>
        <v>2.4605161558849373E-2</v>
      </c>
      <c r="DI28">
        <f t="shared" si="12"/>
        <v>2.4089445197524477E-2</v>
      </c>
      <c r="DJ28">
        <f t="shared" si="13"/>
        <v>2.3556485487394519E-2</v>
      </c>
      <c r="DK28">
        <f t="shared" si="14"/>
        <v>2.2899433394335356E-2</v>
      </c>
      <c r="DL28">
        <f t="shared" si="15"/>
        <v>2.2065338333688081E-2</v>
      </c>
      <c r="DM28">
        <f t="shared" si="16"/>
        <v>2.1123517788582069E-2</v>
      </c>
      <c r="DN28">
        <f t="shared" si="17"/>
        <v>2.0205471770330021E-2</v>
      </c>
      <c r="DO28">
        <f t="shared" si="18"/>
        <v>1.9295930566435891E-2</v>
      </c>
      <c r="DP28">
        <f t="shared" si="19"/>
        <v>1.8446883912302897E-2</v>
      </c>
      <c r="DQ28">
        <f t="shared" si="20"/>
        <v>1.7701141537607462E-2</v>
      </c>
      <c r="DR28">
        <f t="shared" si="21"/>
        <v>1.7045524226207157E-2</v>
      </c>
      <c r="DS28">
        <f t="shared" si="22"/>
        <v>1.6417200227448601E-2</v>
      </c>
      <c r="DT28">
        <f t="shared" si="23"/>
        <v>1.5820590746352968E-2</v>
      </c>
      <c r="DU28">
        <f t="shared" si="24"/>
        <v>1.5356104530141305E-2</v>
      </c>
      <c r="DV28">
        <f t="shared" si="25"/>
        <v>1.5064980190112466E-2</v>
      </c>
      <c r="DW28">
        <f t="shared" si="26"/>
        <v>1.4908400714780957E-2</v>
      </c>
      <c r="DX28">
        <f t="shared" si="27"/>
        <v>1.4788314034492085E-2</v>
      </c>
      <c r="DY28">
        <f t="shared" si="28"/>
        <v>1.4702707559588642E-2</v>
      </c>
      <c r="DZ28">
        <f t="shared" si="29"/>
        <v>1.4716977469480783E-2</v>
      </c>
      <c r="EA28">
        <f t="shared" si="30"/>
        <v>1.4846828455719505E-2</v>
      </c>
      <c r="EB28">
        <f t="shared" si="31"/>
        <v>1.5051723067273632E-2</v>
      </c>
      <c r="EC28">
        <f t="shared" si="32"/>
        <v>1.5267706398616557E-2</v>
      </c>
      <c r="ED28">
        <f t="shared" si="33"/>
        <v>1.5498245297738456E-2</v>
      </c>
      <c r="EE28">
        <f t="shared" si="34"/>
        <v>1.5685188907995147E-2</v>
      </c>
      <c r="EF28">
        <f t="shared" si="35"/>
        <v>1.5789934461316258E-2</v>
      </c>
      <c r="EG28">
        <f t="shared" si="36"/>
        <v>1.5825284624811576E-2</v>
      </c>
      <c r="EH28">
        <f t="shared" si="37"/>
        <v>1.5856661546790062E-2</v>
      </c>
      <c r="EI28">
        <f t="shared" si="38"/>
        <v>1.5887850194252231E-2</v>
      </c>
      <c r="EJ28">
        <f t="shared" si="39"/>
        <v>1.5791700346434848E-2</v>
      </c>
      <c r="EK28">
        <f t="shared" si="40"/>
        <v>1.5516787091483658E-2</v>
      </c>
      <c r="EL28">
        <f t="shared" si="41"/>
        <v>1.5120832799212598E-2</v>
      </c>
      <c r="EM28">
        <f t="shared" si="42"/>
        <v>1.471197196423654E-2</v>
      </c>
      <c r="EN28">
        <f t="shared" si="43"/>
        <v>1.4267384416732526E-2</v>
      </c>
      <c r="EO28">
        <f t="shared" si="44"/>
        <v>1.3854550340239642E-2</v>
      </c>
      <c r="EP28">
        <f t="shared" si="45"/>
        <v>1.3517636339396757E-2</v>
      </c>
      <c r="EQ28">
        <f t="shared" si="46"/>
        <v>1.3225544657887512E-2</v>
      </c>
      <c r="ER28">
        <f t="shared" si="47"/>
        <v>1.2897771709423213E-2</v>
      </c>
      <c r="ES28">
        <f t="shared" si="48"/>
        <v>1.2544114261077221E-2</v>
      </c>
      <c r="ET28">
        <f t="shared" si="49"/>
        <v>1.2200013367490659E-2</v>
      </c>
      <c r="EU28">
        <f t="shared" si="50"/>
        <v>1.1873058439338648E-2</v>
      </c>
      <c r="EV28">
        <f t="shared" si="51"/>
        <v>1.1549414545783997E-2</v>
      </c>
      <c r="EW28">
        <f t="shared" si="52"/>
        <v>1.121406517109398E-2</v>
      </c>
      <c r="EX28">
        <f t="shared" si="53"/>
        <v>1.0877683532676551E-2</v>
      </c>
      <c r="EY28">
        <f t="shared" si="54"/>
        <v>1.0480995619014312E-2</v>
      </c>
      <c r="EZ28">
        <f t="shared" si="55"/>
        <v>9.9954551180982745E-3</v>
      </c>
      <c r="FA28">
        <f t="shared" si="56"/>
        <v>9.4507444812600479E-3</v>
      </c>
      <c r="FB28">
        <f t="shared" si="57"/>
        <v>8.909961640365744E-3</v>
      </c>
      <c r="FC28">
        <f t="shared" si="58"/>
        <v>8.366302743929032E-3</v>
      </c>
      <c r="FD28">
        <f t="shared" si="59"/>
        <v>7.8222153606620718E-3</v>
      </c>
      <c r="FE28">
        <f t="shared" si="60"/>
        <v>7.2871521697290866E-3</v>
      </c>
      <c r="FF28">
        <f t="shared" si="61"/>
        <v>6.762885548473368E-3</v>
      </c>
      <c r="FG28">
        <f t="shared" si="62"/>
        <v>6.2366712598074386E-3</v>
      </c>
      <c r="FH28">
        <f t="shared" si="63"/>
        <v>5.7050035023929208E-3</v>
      </c>
      <c r="FI28">
        <f t="shared" si="64"/>
        <v>5.2236959319817405E-3</v>
      </c>
      <c r="FJ28">
        <f t="shared" si="65"/>
        <v>4.8173410957401564E-3</v>
      </c>
      <c r="FK28">
        <f t="shared" si="66"/>
        <v>4.4611581719855896E-3</v>
      </c>
      <c r="FL28">
        <f t="shared" si="67"/>
        <v>4.1125386900073401E-3</v>
      </c>
      <c r="FM28">
        <f t="shared" si="68"/>
        <v>3.788226097308515E-3</v>
      </c>
      <c r="FN28">
        <f t="shared" si="69"/>
        <v>3.433679214178525E-3</v>
      </c>
      <c r="FO28">
        <f t="shared" si="70"/>
        <v>3.0201245007438629E-3</v>
      </c>
      <c r="FP28">
        <f t="shared" si="71"/>
        <v>2.578127350895429E-3</v>
      </c>
      <c r="FQ28">
        <f t="shared" si="72"/>
        <v>2.1560872997769499E-3</v>
      </c>
      <c r="FR28">
        <f t="shared" si="73"/>
        <v>1.761139302334497E-3</v>
      </c>
      <c r="FS28">
        <f t="shared" si="74"/>
        <v>1.4365800050970456E-3</v>
      </c>
      <c r="FT28">
        <f t="shared" si="75"/>
        <v>1.1688796117883349E-3</v>
      </c>
      <c r="FU28">
        <f t="shared" si="76"/>
        <v>9.432942801130724E-4</v>
      </c>
      <c r="FV28">
        <f t="shared" si="77"/>
        <v>7.2240931912111769E-4</v>
      </c>
      <c r="FW28">
        <f t="shared" si="78"/>
        <v>5.665115273831813E-4</v>
      </c>
      <c r="FX28">
        <f t="shared" si="79"/>
        <v>4.6680394042981319E-4</v>
      </c>
      <c r="FY28">
        <f t="shared" si="80"/>
        <v>3.4856754418064405E-4</v>
      </c>
      <c r="FZ28">
        <f t="shared" si="81"/>
        <v>2.118088308603746E-4</v>
      </c>
      <c r="GA28">
        <f t="shared" si="82"/>
        <v>1.4296528013413976E-4</v>
      </c>
      <c r="GB28">
        <f t="shared" si="83"/>
        <v>1.1227004174922477E-4</v>
      </c>
      <c r="GC28">
        <f t="shared" si="84"/>
        <v>7.854942665378306E-5</v>
      </c>
      <c r="GD28">
        <f t="shared" si="85"/>
        <v>4.1809927072515326E-5</v>
      </c>
      <c r="GE28">
        <f t="shared" si="86"/>
        <v>6.2513631643051248E-5</v>
      </c>
    </row>
    <row r="29" spans="1:187">
      <c r="A29" s="4">
        <v>1977</v>
      </c>
      <c r="B29" s="17">
        <v>3387.973</v>
      </c>
      <c r="C29" s="17">
        <v>3295.8150000000001</v>
      </c>
      <c r="D29" s="17">
        <v>3346.0540000000001</v>
      </c>
      <c r="E29" s="17">
        <v>3307.5509999999999</v>
      </c>
      <c r="F29" s="17">
        <v>3300.6840000000002</v>
      </c>
      <c r="G29" s="17">
        <v>3321.7489999999998</v>
      </c>
      <c r="H29" s="17">
        <v>3367.0459999999998</v>
      </c>
      <c r="I29" s="17">
        <v>3431.3690000000001</v>
      </c>
      <c r="J29" s="17">
        <v>3509.5160000000001</v>
      </c>
      <c r="K29" s="17">
        <v>3605.277</v>
      </c>
      <c r="L29" s="17">
        <v>3717.944</v>
      </c>
      <c r="M29" s="17">
        <v>3839.319</v>
      </c>
      <c r="N29" s="17">
        <v>3961.8490000000002</v>
      </c>
      <c r="O29" s="17">
        <v>4086.9740000000002</v>
      </c>
      <c r="P29" s="17">
        <v>4185.2780000000002</v>
      </c>
      <c r="Q29" s="17">
        <v>4241.2740000000003</v>
      </c>
      <c r="R29" s="17">
        <v>4265.1869999999999</v>
      </c>
      <c r="S29" s="17">
        <v>4285.1000000000004</v>
      </c>
      <c r="T29" s="17">
        <v>4298.2380000000003</v>
      </c>
      <c r="U29" s="17">
        <v>4287.2510000000002</v>
      </c>
      <c r="V29" s="17">
        <v>4247.2190000000001</v>
      </c>
      <c r="W29" s="17">
        <v>4185.3710000000001</v>
      </c>
      <c r="X29" s="17">
        <v>4112.9369999999999</v>
      </c>
      <c r="Y29" s="17">
        <v>4026.57</v>
      </c>
      <c r="Z29" s="17">
        <v>3942.6559999999999</v>
      </c>
      <c r="AA29" s="17">
        <v>3870.1469999999999</v>
      </c>
      <c r="AB29" s="17">
        <v>3801.5410000000002</v>
      </c>
      <c r="AC29" s="17">
        <v>3724.1320000000001</v>
      </c>
      <c r="AD29" s="17">
        <v>3644.9540000000002</v>
      </c>
      <c r="AE29" s="17">
        <v>3543.067</v>
      </c>
      <c r="AF29" s="17">
        <v>3408.2310000000002</v>
      </c>
      <c r="AG29" s="17">
        <v>3253.511</v>
      </c>
      <c r="AH29" s="17">
        <v>3103.04</v>
      </c>
      <c r="AI29" s="17">
        <v>2952.9870000000001</v>
      </c>
      <c r="AJ29" s="17">
        <v>2816.9949999999999</v>
      </c>
      <c r="AK29" s="17">
        <v>2704.63</v>
      </c>
      <c r="AL29" s="17">
        <v>2610.8969999999999</v>
      </c>
      <c r="AM29" s="17">
        <v>2520.5230000000001</v>
      </c>
      <c r="AN29" s="17">
        <v>2435.7139999999999</v>
      </c>
      <c r="AO29" s="17">
        <v>2367.8989999999999</v>
      </c>
      <c r="AP29" s="17">
        <v>2320.9870000000001</v>
      </c>
      <c r="AQ29" s="17">
        <v>2291.1889999999999</v>
      </c>
      <c r="AR29" s="17">
        <v>2267.904</v>
      </c>
      <c r="AS29" s="17">
        <v>2249.7570000000001</v>
      </c>
      <c r="AT29" s="17">
        <v>2248.5949999999998</v>
      </c>
      <c r="AU29" s="17">
        <v>2268.1190000000001</v>
      </c>
      <c r="AV29" s="17">
        <v>2301.0079999999998</v>
      </c>
      <c r="AW29" s="17">
        <v>2335.08</v>
      </c>
      <c r="AX29" s="17">
        <v>2371.3809999999999</v>
      </c>
      <c r="AY29" s="17">
        <v>2400.4349999999999</v>
      </c>
      <c r="AZ29" s="17">
        <v>2415.8240000000001</v>
      </c>
      <c r="BA29" s="17">
        <v>2419.8939999999998</v>
      </c>
      <c r="BB29" s="17">
        <v>2423.6179999999999</v>
      </c>
      <c r="BC29" s="17">
        <v>2427.4520000000002</v>
      </c>
      <c r="BD29" s="17">
        <v>2411.6370000000002</v>
      </c>
      <c r="BE29" s="17">
        <v>2368.2759999999998</v>
      </c>
      <c r="BF29" s="17">
        <v>2306.3139999999999</v>
      </c>
      <c r="BG29" s="17">
        <v>2242.1750000000002</v>
      </c>
      <c r="BH29" s="17">
        <v>2172.0700000000002</v>
      </c>
      <c r="BI29" s="17">
        <v>2107.991</v>
      </c>
      <c r="BJ29" s="17">
        <v>2057.4070000000002</v>
      </c>
      <c r="BK29" s="17">
        <v>2014.636</v>
      </c>
      <c r="BL29" s="17">
        <v>1966.2239999999999</v>
      </c>
      <c r="BM29" s="17">
        <v>1914.501</v>
      </c>
      <c r="BN29" s="17">
        <v>1861.0730000000001</v>
      </c>
      <c r="BO29" s="17">
        <v>1805.2729999999999</v>
      </c>
      <c r="BP29" s="17">
        <v>1747.0450000000001</v>
      </c>
      <c r="BQ29" s="17">
        <v>1687.42</v>
      </c>
      <c r="BR29" s="17">
        <v>1626.704</v>
      </c>
      <c r="BS29" s="17">
        <v>1560.835</v>
      </c>
      <c r="BT29" s="17">
        <v>1488.0530000000001</v>
      </c>
      <c r="BU29" s="17">
        <v>1410.2439999999999</v>
      </c>
      <c r="BV29" s="17">
        <v>1332.34</v>
      </c>
      <c r="BW29" s="17">
        <v>1254.904</v>
      </c>
      <c r="BX29" s="17">
        <v>1173.32</v>
      </c>
      <c r="BY29" s="17">
        <v>1086.2919999999999</v>
      </c>
      <c r="BZ29" s="17">
        <v>996.83500000000004</v>
      </c>
      <c r="CA29" s="17">
        <v>908.26400000000001</v>
      </c>
      <c r="CB29" s="17">
        <v>818.71799999999996</v>
      </c>
      <c r="CC29" s="17">
        <v>740.06700000000001</v>
      </c>
      <c r="CD29" s="17">
        <v>678.17700000000002</v>
      </c>
      <c r="CE29" s="17">
        <v>627.47500000000002</v>
      </c>
      <c r="CF29" s="17">
        <v>577.50800000000004</v>
      </c>
      <c r="CG29" s="17">
        <v>531.55600000000004</v>
      </c>
      <c r="CH29" s="17">
        <v>480.96499999999997</v>
      </c>
      <c r="CI29" s="17">
        <v>420.76100000000002</v>
      </c>
      <c r="CJ29" s="17">
        <v>355.90899999999999</v>
      </c>
      <c r="CK29" s="17">
        <v>293.17200000000003</v>
      </c>
      <c r="CL29" s="17">
        <v>236.61799999999999</v>
      </c>
      <c r="CM29" s="17">
        <v>193.559</v>
      </c>
      <c r="CN29" s="17">
        <v>156.072</v>
      </c>
      <c r="CO29" s="17">
        <v>122.456</v>
      </c>
      <c r="CP29" s="17">
        <v>92.644000000000005</v>
      </c>
      <c r="CQ29" s="17">
        <v>73.236999999999995</v>
      </c>
      <c r="CR29" s="17">
        <v>60.106000000000002</v>
      </c>
      <c r="CS29" s="17">
        <v>44.619</v>
      </c>
      <c r="CT29" s="17">
        <v>26.777000000000001</v>
      </c>
      <c r="CU29" s="17">
        <v>18.965</v>
      </c>
      <c r="CV29" s="17">
        <v>13.285</v>
      </c>
      <c r="CW29" s="17">
        <v>7.048</v>
      </c>
      <c r="CX29" s="17">
        <v>10.42</v>
      </c>
      <c r="CY29" s="3">
        <f t="shared" si="87"/>
        <v>223135.65900000001</v>
      </c>
      <c r="CZ29" s="21">
        <f t="shared" si="3"/>
        <v>156679.70000000004</v>
      </c>
      <c r="DA29">
        <f t="shared" si="4"/>
        <v>2.7433279486749076E-2</v>
      </c>
      <c r="DB29">
        <f t="shared" si="5"/>
        <v>2.7363155533231164E-2</v>
      </c>
      <c r="DC29">
        <f t="shared" si="6"/>
        <v>2.7107653384580127E-2</v>
      </c>
      <c r="DD29">
        <f t="shared" si="7"/>
        <v>2.6712911755639047E-2</v>
      </c>
      <c r="DE29">
        <f t="shared" si="8"/>
        <v>2.625060553473104E-2</v>
      </c>
      <c r="DF29">
        <f t="shared" si="9"/>
        <v>2.5699372669209852E-2</v>
      </c>
      <c r="DG29">
        <f t="shared" si="10"/>
        <v>2.5163795948039209E-2</v>
      </c>
      <c r="DH29">
        <f t="shared" si="11"/>
        <v>2.470101104354935E-2</v>
      </c>
      <c r="DI29">
        <f t="shared" si="12"/>
        <v>2.4263136832659234E-2</v>
      </c>
      <c r="DJ29">
        <f t="shared" si="13"/>
        <v>2.3769077934154833E-2</v>
      </c>
      <c r="DK29">
        <f t="shared" si="14"/>
        <v>2.3263728485566407E-2</v>
      </c>
      <c r="DL29">
        <f t="shared" si="15"/>
        <v>2.2613440030839982E-2</v>
      </c>
      <c r="DM29">
        <f t="shared" si="16"/>
        <v>2.1752856304932927E-2</v>
      </c>
      <c r="DN29">
        <f t="shared" si="17"/>
        <v>2.0765363987804413E-2</v>
      </c>
      <c r="DO29">
        <f t="shared" si="18"/>
        <v>1.9804990691199939E-2</v>
      </c>
      <c r="DP29">
        <f t="shared" si="19"/>
        <v>1.8847285257758341E-2</v>
      </c>
      <c r="DQ29">
        <f t="shared" si="20"/>
        <v>1.7979323422242954E-2</v>
      </c>
      <c r="DR29">
        <f t="shared" si="21"/>
        <v>1.7262159679907477E-2</v>
      </c>
      <c r="DS29">
        <f t="shared" si="22"/>
        <v>1.6663913704200346E-2</v>
      </c>
      <c r="DT29">
        <f t="shared" si="23"/>
        <v>1.6087106370512576E-2</v>
      </c>
      <c r="DU29">
        <f t="shared" si="24"/>
        <v>1.5545817358598462E-2</v>
      </c>
      <c r="DV29">
        <f t="shared" si="25"/>
        <v>1.5112991663884979E-2</v>
      </c>
      <c r="DW29">
        <f t="shared" si="26"/>
        <v>1.4813578274658424E-2</v>
      </c>
      <c r="DX29">
        <f t="shared" si="27"/>
        <v>1.4623394096363467E-2</v>
      </c>
      <c r="DY29">
        <f t="shared" si="28"/>
        <v>1.447477880031682E-2</v>
      </c>
      <c r="DZ29">
        <f t="shared" si="29"/>
        <v>1.4358956520851134E-2</v>
      </c>
      <c r="EA29">
        <f t="shared" si="30"/>
        <v>1.4351540116556255E-2</v>
      </c>
      <c r="EB29">
        <f t="shared" si="31"/>
        <v>1.4476151026584807E-2</v>
      </c>
      <c r="EC29">
        <f t="shared" si="32"/>
        <v>1.4686063350899952E-2</v>
      </c>
      <c r="ED29">
        <f t="shared" si="33"/>
        <v>1.4903526110912895E-2</v>
      </c>
      <c r="EE29">
        <f t="shared" si="34"/>
        <v>1.5135215346978577E-2</v>
      </c>
      <c r="EF29">
        <f t="shared" si="35"/>
        <v>1.5320650984141529E-2</v>
      </c>
      <c r="EG29">
        <f t="shared" si="36"/>
        <v>1.5418870472690459E-2</v>
      </c>
      <c r="EH29">
        <f t="shared" si="37"/>
        <v>1.54448470350658E-2</v>
      </c>
      <c r="EI29">
        <f t="shared" si="38"/>
        <v>1.5468615270516852E-2</v>
      </c>
      <c r="EJ29">
        <f t="shared" si="39"/>
        <v>1.5493085575221293E-2</v>
      </c>
      <c r="EK29">
        <f t="shared" si="40"/>
        <v>1.5392147163927424E-2</v>
      </c>
      <c r="EL29">
        <f t="shared" si="41"/>
        <v>1.5115397846689771E-2</v>
      </c>
      <c r="EM29">
        <f t="shared" si="42"/>
        <v>1.4719928618704269E-2</v>
      </c>
      <c r="EN29">
        <f t="shared" si="43"/>
        <v>1.4310564801949453E-2</v>
      </c>
      <c r="EO29">
        <f t="shared" si="44"/>
        <v>1.3863123301869991E-2</v>
      </c>
      <c r="EP29">
        <f t="shared" si="45"/>
        <v>1.3454142431980655E-2</v>
      </c>
      <c r="EQ29">
        <f t="shared" si="46"/>
        <v>1.3131292694586469E-2</v>
      </c>
      <c r="ER29">
        <f t="shared" si="47"/>
        <v>1.2858309021526078E-2</v>
      </c>
      <c r="ES29">
        <f t="shared" si="48"/>
        <v>1.2549321960662418E-2</v>
      </c>
      <c r="ET29">
        <f t="shared" si="49"/>
        <v>1.221920261527179E-2</v>
      </c>
      <c r="EU29">
        <f t="shared" si="50"/>
        <v>1.1878201196453653E-2</v>
      </c>
      <c r="EV29">
        <f t="shared" si="51"/>
        <v>1.1522060611553376E-2</v>
      </c>
      <c r="EW29">
        <f t="shared" si="52"/>
        <v>1.1150423443496506E-2</v>
      </c>
      <c r="EX29">
        <f t="shared" si="53"/>
        <v>1.0769869995921614E-2</v>
      </c>
      <c r="EY29">
        <f t="shared" si="54"/>
        <v>1.0382353297842666E-2</v>
      </c>
      <c r="EZ29">
        <f t="shared" si="55"/>
        <v>9.9619478464663871E-3</v>
      </c>
      <c r="FA29">
        <f t="shared" si="56"/>
        <v>9.4974205337385736E-3</v>
      </c>
      <c r="FB29">
        <f t="shared" si="57"/>
        <v>9.0008086561309437E-3</v>
      </c>
      <c r="FC29">
        <f t="shared" si="58"/>
        <v>8.5035904459863001E-3</v>
      </c>
      <c r="FD29">
        <f t="shared" si="59"/>
        <v>8.009359221392431E-3</v>
      </c>
      <c r="FE29">
        <f t="shared" si="60"/>
        <v>7.4886536034980897E-3</v>
      </c>
      <c r="FF29">
        <f t="shared" si="61"/>
        <v>6.9332019400088181E-3</v>
      </c>
      <c r="FG29">
        <f t="shared" si="62"/>
        <v>6.3622473109151969E-3</v>
      </c>
      <c r="FH29">
        <f t="shared" si="63"/>
        <v>5.7969475305352245E-3</v>
      </c>
      <c r="FI29">
        <f t="shared" si="64"/>
        <v>5.2254248635911337E-3</v>
      </c>
      <c r="FJ29">
        <f t="shared" si="65"/>
        <v>4.7234389649712105E-3</v>
      </c>
      <c r="FK29">
        <f t="shared" si="66"/>
        <v>4.3284292732242904E-3</v>
      </c>
      <c r="FL29">
        <f t="shared" si="67"/>
        <v>4.004826406994651E-3</v>
      </c>
      <c r="FM29">
        <f t="shared" si="68"/>
        <v>3.6859146398671933E-3</v>
      </c>
      <c r="FN29">
        <f t="shared" si="69"/>
        <v>3.3926284004883842E-3</v>
      </c>
      <c r="FO29">
        <f t="shared" si="70"/>
        <v>3.0697339859598904E-3</v>
      </c>
      <c r="FP29">
        <f t="shared" si="71"/>
        <v>2.6854851011330755E-3</v>
      </c>
      <c r="FQ29">
        <f t="shared" si="72"/>
        <v>2.2715705991267526E-3</v>
      </c>
      <c r="FR29">
        <f t="shared" si="73"/>
        <v>1.8711549741287476E-3</v>
      </c>
      <c r="FS29">
        <f t="shared" si="74"/>
        <v>1.5102020236188857E-3</v>
      </c>
      <c r="FT29">
        <f t="shared" si="75"/>
        <v>1.2353802056041718E-3</v>
      </c>
      <c r="FU29">
        <f t="shared" si="76"/>
        <v>9.9612138649742086E-4</v>
      </c>
      <c r="FV29">
        <f t="shared" si="77"/>
        <v>7.8156902266215706E-4</v>
      </c>
      <c r="FW29">
        <f t="shared" si="78"/>
        <v>5.9129549009858957E-4</v>
      </c>
      <c r="FX29">
        <f t="shared" si="79"/>
        <v>4.6743132645773495E-4</v>
      </c>
      <c r="FY29">
        <f t="shared" si="80"/>
        <v>3.8362340494652459E-4</v>
      </c>
      <c r="FZ29">
        <f t="shared" si="81"/>
        <v>2.8477843651730241E-4</v>
      </c>
      <c r="GA29">
        <f t="shared" si="82"/>
        <v>1.7090280361782665E-4</v>
      </c>
      <c r="GB29">
        <f t="shared" si="83"/>
        <v>1.2104312173178782E-4</v>
      </c>
      <c r="GC29">
        <f t="shared" si="84"/>
        <v>8.4790818465953126E-5</v>
      </c>
      <c r="GD29">
        <f t="shared" si="85"/>
        <v>4.498349179887374E-5</v>
      </c>
      <c r="GE29">
        <f t="shared" si="86"/>
        <v>6.6505105639084056E-5</v>
      </c>
    </row>
    <row r="30" spans="1:187">
      <c r="A30" s="4">
        <v>1978</v>
      </c>
      <c r="B30" s="17">
        <v>3375.855</v>
      </c>
      <c r="C30" s="17">
        <v>3297.8739999999998</v>
      </c>
      <c r="D30" s="17">
        <v>3251.998</v>
      </c>
      <c r="E30" s="17">
        <v>3327.5680000000002</v>
      </c>
      <c r="F30" s="17">
        <v>3310.864</v>
      </c>
      <c r="G30" s="17">
        <v>3319.6480000000001</v>
      </c>
      <c r="H30" s="17">
        <v>3351.078</v>
      </c>
      <c r="I30" s="17">
        <v>3402.3159999999998</v>
      </c>
      <c r="J30" s="17">
        <v>3468.2719999999999</v>
      </c>
      <c r="K30" s="17">
        <v>3543.86</v>
      </c>
      <c r="L30" s="17">
        <v>3637.482</v>
      </c>
      <c r="M30" s="17">
        <v>3750.7939999999999</v>
      </c>
      <c r="N30" s="17">
        <v>3874.2130000000002</v>
      </c>
      <c r="O30" s="17">
        <v>3996.576</v>
      </c>
      <c r="P30" s="17">
        <v>4120.2110000000002</v>
      </c>
      <c r="Q30" s="17">
        <v>4216.4380000000001</v>
      </c>
      <c r="R30" s="17">
        <v>4269.8310000000001</v>
      </c>
      <c r="S30" s="17">
        <v>4290.8069999999998</v>
      </c>
      <c r="T30" s="17">
        <v>4307.5739999999996</v>
      </c>
      <c r="U30" s="17">
        <v>4317.326</v>
      </c>
      <c r="V30" s="17">
        <v>4303.5550000000003</v>
      </c>
      <c r="W30" s="17">
        <v>4261.7759999999998</v>
      </c>
      <c r="X30" s="17">
        <v>4198.9170000000004</v>
      </c>
      <c r="Y30" s="17">
        <v>4125.1840000000002</v>
      </c>
      <c r="Z30" s="17">
        <v>4037.0749999999998</v>
      </c>
      <c r="AA30" s="17">
        <v>3952.5770000000002</v>
      </c>
      <c r="AB30" s="17">
        <v>3881.2170000000001</v>
      </c>
      <c r="AC30" s="17">
        <v>3814.616</v>
      </c>
      <c r="AD30" s="17">
        <v>3739.2049999999999</v>
      </c>
      <c r="AE30" s="17">
        <v>3662.91</v>
      </c>
      <c r="AF30" s="17">
        <v>3560.3029999999999</v>
      </c>
      <c r="AG30" s="17">
        <v>3419.0540000000001</v>
      </c>
      <c r="AH30" s="17">
        <v>3254.6179999999999</v>
      </c>
      <c r="AI30" s="17">
        <v>3095.0250000000001</v>
      </c>
      <c r="AJ30" s="17">
        <v>2934.9549999999999</v>
      </c>
      <c r="AK30" s="17">
        <v>2793.6959999999999</v>
      </c>
      <c r="AL30" s="17">
        <v>2683.79</v>
      </c>
      <c r="AM30" s="17">
        <v>2597.2739999999999</v>
      </c>
      <c r="AN30" s="17">
        <v>2513.2730000000001</v>
      </c>
      <c r="AO30" s="17">
        <v>2435.5189999999998</v>
      </c>
      <c r="AP30" s="17">
        <v>2371.4090000000001</v>
      </c>
      <c r="AQ30" s="17">
        <v>2322.4070000000002</v>
      </c>
      <c r="AR30" s="17">
        <v>2286.9180000000001</v>
      </c>
      <c r="AS30" s="17">
        <v>2258.8339999999998</v>
      </c>
      <c r="AT30" s="17">
        <v>2235.7170000000001</v>
      </c>
      <c r="AU30" s="17">
        <v>2231.1950000000002</v>
      </c>
      <c r="AV30" s="17">
        <v>2250.252</v>
      </c>
      <c r="AW30" s="17">
        <v>2284.4810000000002</v>
      </c>
      <c r="AX30" s="17">
        <v>2319.3719999999998</v>
      </c>
      <c r="AY30" s="17">
        <v>2356.4749999999999</v>
      </c>
      <c r="AZ30" s="17">
        <v>2385.8009999999999</v>
      </c>
      <c r="BA30" s="17">
        <v>2400.451</v>
      </c>
      <c r="BB30" s="17">
        <v>2403.1469999999999</v>
      </c>
      <c r="BC30" s="17">
        <v>2405.7640000000001</v>
      </c>
      <c r="BD30" s="17">
        <v>2408.6289999999999</v>
      </c>
      <c r="BE30" s="17">
        <v>2391.8040000000001</v>
      </c>
      <c r="BF30" s="17">
        <v>2347.4070000000002</v>
      </c>
      <c r="BG30" s="17">
        <v>2284.4470000000001</v>
      </c>
      <c r="BH30" s="17">
        <v>2219.1219999999998</v>
      </c>
      <c r="BI30" s="17">
        <v>2147.364</v>
      </c>
      <c r="BJ30" s="17">
        <v>2082.7689999999998</v>
      </c>
      <c r="BK30" s="17">
        <v>2033.4780000000001</v>
      </c>
      <c r="BL30" s="17">
        <v>1992.91</v>
      </c>
      <c r="BM30" s="17">
        <v>1946.5550000000001</v>
      </c>
      <c r="BN30" s="17">
        <v>1897.566</v>
      </c>
      <c r="BO30" s="17">
        <v>1843.6880000000001</v>
      </c>
      <c r="BP30" s="17">
        <v>1782.4280000000001</v>
      </c>
      <c r="BQ30" s="17">
        <v>1715.797</v>
      </c>
      <c r="BR30" s="17">
        <v>1648.175</v>
      </c>
      <c r="BS30" s="17">
        <v>1578.5319999999999</v>
      </c>
      <c r="BT30" s="17">
        <v>1507.867</v>
      </c>
      <c r="BU30" s="17">
        <v>1437.0640000000001</v>
      </c>
      <c r="BV30" s="17">
        <v>1365.3209999999999</v>
      </c>
      <c r="BW30" s="17">
        <v>1292.7809999999999</v>
      </c>
      <c r="BX30" s="17">
        <v>1221.6179999999999</v>
      </c>
      <c r="BY30" s="17">
        <v>1142.2270000000001</v>
      </c>
      <c r="BZ30" s="17">
        <v>1050.55</v>
      </c>
      <c r="CA30" s="17">
        <v>952.351</v>
      </c>
      <c r="CB30" s="17">
        <v>856.22500000000002</v>
      </c>
      <c r="CC30" s="17">
        <v>758.98800000000006</v>
      </c>
      <c r="CD30" s="17">
        <v>675.78899999999999</v>
      </c>
      <c r="CE30" s="17">
        <v>614.57799999999997</v>
      </c>
      <c r="CF30" s="17">
        <v>568.01800000000003</v>
      </c>
      <c r="CG30" s="17">
        <v>521.76300000000003</v>
      </c>
      <c r="CH30" s="17">
        <v>479.79700000000003</v>
      </c>
      <c r="CI30" s="17">
        <v>433.20699999999999</v>
      </c>
      <c r="CJ30" s="17">
        <v>376.476</v>
      </c>
      <c r="CK30" s="17">
        <v>314.82900000000001</v>
      </c>
      <c r="CL30" s="17">
        <v>254.339</v>
      </c>
      <c r="CM30" s="17">
        <v>202.047</v>
      </c>
      <c r="CN30" s="17">
        <v>165.90600000000001</v>
      </c>
      <c r="CO30" s="17">
        <v>132.15299999999999</v>
      </c>
      <c r="CP30" s="17">
        <v>99.653000000000006</v>
      </c>
      <c r="CQ30" s="17">
        <v>74.043999999999997</v>
      </c>
      <c r="CR30" s="17">
        <v>59.235999999999997</v>
      </c>
      <c r="CS30" s="17">
        <v>48.326999999999998</v>
      </c>
      <c r="CT30" s="17">
        <v>35.56</v>
      </c>
      <c r="CU30" s="17">
        <v>20.936</v>
      </c>
      <c r="CV30" s="17">
        <v>14.619</v>
      </c>
      <c r="CW30" s="17">
        <v>7.7290000000000001</v>
      </c>
      <c r="CX30" s="17">
        <v>11.291</v>
      </c>
      <c r="CY30" s="3">
        <f t="shared" si="87"/>
        <v>225223.307</v>
      </c>
      <c r="CZ30" s="21">
        <f t="shared" si="3"/>
        <v>159417.62199999997</v>
      </c>
      <c r="DA30">
        <f t="shared" si="4"/>
        <v>2.7020689092953604E-2</v>
      </c>
      <c r="DB30">
        <f t="shared" si="5"/>
        <v>2.7081861753025023E-2</v>
      </c>
      <c r="DC30">
        <f t="shared" si="6"/>
        <v>2.699547858015346E-2</v>
      </c>
      <c r="DD30">
        <f t="shared" si="7"/>
        <v>2.6733405921711719E-2</v>
      </c>
      <c r="DE30">
        <f t="shared" si="8"/>
        <v>2.6339101959506089E-2</v>
      </c>
      <c r="DF30">
        <f t="shared" si="9"/>
        <v>2.5876587219448053E-2</v>
      </c>
      <c r="DG30">
        <f t="shared" si="10"/>
        <v>2.5323894243009099E-2</v>
      </c>
      <c r="DH30">
        <f t="shared" si="11"/>
        <v>2.4793852463813573E-2</v>
      </c>
      <c r="DI30">
        <f t="shared" si="12"/>
        <v>2.4346223154677347E-2</v>
      </c>
      <c r="DJ30">
        <f t="shared" si="13"/>
        <v>2.3928446254203945E-2</v>
      </c>
      <c r="DK30">
        <f t="shared" si="14"/>
        <v>2.3455405701635672E-2</v>
      </c>
      <c r="DL30">
        <f t="shared" si="15"/>
        <v>2.2976819965361172E-2</v>
      </c>
      <c r="DM30">
        <f t="shared" si="16"/>
        <v>2.2333183467007182E-2</v>
      </c>
      <c r="DN30">
        <f t="shared" si="17"/>
        <v>2.144715218496987E-2</v>
      </c>
      <c r="DO30">
        <f t="shared" si="18"/>
        <v>2.0415672741624515E-2</v>
      </c>
      <c r="DP30">
        <f t="shared" si="19"/>
        <v>1.9414572624850725E-2</v>
      </c>
      <c r="DQ30">
        <f t="shared" si="20"/>
        <v>1.8410480367095177E-2</v>
      </c>
      <c r="DR30">
        <f t="shared" si="21"/>
        <v>1.7524386356735394E-2</v>
      </c>
      <c r="DS30">
        <f t="shared" si="22"/>
        <v>1.6834964455811542E-2</v>
      </c>
      <c r="DT30">
        <f t="shared" si="23"/>
        <v>1.6292264101141846E-2</v>
      </c>
      <c r="DU30">
        <f t="shared" si="24"/>
        <v>1.5765339919573011E-2</v>
      </c>
      <c r="DV30">
        <f t="shared" si="25"/>
        <v>1.5277602121050332E-2</v>
      </c>
      <c r="DW30">
        <f t="shared" si="26"/>
        <v>1.4875450845703873E-2</v>
      </c>
      <c r="DX30">
        <f t="shared" si="27"/>
        <v>1.4568069519943038E-2</v>
      </c>
      <c r="DY30">
        <f t="shared" si="28"/>
        <v>1.4345452976334074E-2</v>
      </c>
      <c r="DZ30">
        <f t="shared" si="29"/>
        <v>1.416928675551314E-2</v>
      </c>
      <c r="EA30">
        <f t="shared" si="30"/>
        <v>1.4024277692462382E-2</v>
      </c>
      <c r="EB30">
        <f t="shared" si="31"/>
        <v>1.3995911945042063E-2</v>
      </c>
      <c r="EC30">
        <f t="shared" si="32"/>
        <v>1.4115453309170552E-2</v>
      </c>
      <c r="ED30">
        <f t="shared" si="33"/>
        <v>1.4330166084148468E-2</v>
      </c>
      <c r="EE30">
        <f t="shared" si="34"/>
        <v>1.4549031474073802E-2</v>
      </c>
      <c r="EF30">
        <f t="shared" si="35"/>
        <v>1.4781772368929203E-2</v>
      </c>
      <c r="EG30">
        <f t="shared" si="36"/>
        <v>1.4965729447400742E-2</v>
      </c>
      <c r="EH30">
        <f t="shared" si="37"/>
        <v>1.5057626439817302E-2</v>
      </c>
      <c r="EI30">
        <f t="shared" si="38"/>
        <v>1.5074537995554848E-2</v>
      </c>
      <c r="EJ30">
        <f t="shared" si="39"/>
        <v>1.5090953997544891E-2</v>
      </c>
      <c r="EK30">
        <f t="shared" si="40"/>
        <v>1.5108925661932157E-2</v>
      </c>
      <c r="EL30">
        <f t="shared" si="41"/>
        <v>1.5003385259378669E-2</v>
      </c>
      <c r="EM30">
        <f t="shared" si="42"/>
        <v>1.4724890326114641E-2</v>
      </c>
      <c r="EN30">
        <f t="shared" si="43"/>
        <v>1.4329952807852073E-2</v>
      </c>
      <c r="EO30">
        <f t="shared" si="44"/>
        <v>1.3920180041325671E-2</v>
      </c>
      <c r="EP30">
        <f t="shared" si="45"/>
        <v>1.3470054144955194E-2</v>
      </c>
      <c r="EQ30">
        <f t="shared" si="46"/>
        <v>1.3064860545969004E-2</v>
      </c>
      <c r="ER30">
        <f t="shared" si="47"/>
        <v>1.2755666371688824E-2</v>
      </c>
      <c r="ES30">
        <f t="shared" si="48"/>
        <v>1.2501190113098038E-2</v>
      </c>
      <c r="ET30">
        <f t="shared" si="49"/>
        <v>1.2210412974294651E-2</v>
      </c>
      <c r="EU30">
        <f t="shared" si="50"/>
        <v>1.1903113195353024E-2</v>
      </c>
      <c r="EV30">
        <f t="shared" si="51"/>
        <v>1.1565145539556477E-2</v>
      </c>
      <c r="EW30">
        <f t="shared" si="52"/>
        <v>1.1180871836113578E-2</v>
      </c>
      <c r="EX30">
        <f t="shared" si="53"/>
        <v>1.0762906750672773E-2</v>
      </c>
      <c r="EY30">
        <f t="shared" si="54"/>
        <v>1.0338725288475325E-2</v>
      </c>
      <c r="EZ30">
        <f t="shared" si="55"/>
        <v>9.9018664323069633E-3</v>
      </c>
      <c r="FA30">
        <f t="shared" si="56"/>
        <v>9.4585967415823091E-3</v>
      </c>
      <c r="FB30">
        <f t="shared" si="57"/>
        <v>9.0144614000075875E-3</v>
      </c>
      <c r="FC30">
        <f t="shared" si="58"/>
        <v>8.5644295961208108E-3</v>
      </c>
      <c r="FD30">
        <f t="shared" si="59"/>
        <v>8.1093983449332854E-3</v>
      </c>
      <c r="FE30">
        <f t="shared" si="60"/>
        <v>7.6630047837496921E-3</v>
      </c>
      <c r="FF30">
        <f t="shared" si="61"/>
        <v>7.164998358838901E-3</v>
      </c>
      <c r="FG30">
        <f t="shared" si="62"/>
        <v>6.5899239169431353E-3</v>
      </c>
      <c r="FH30">
        <f t="shared" si="63"/>
        <v>5.9739380631333222E-3</v>
      </c>
      <c r="FI30">
        <f t="shared" si="64"/>
        <v>5.3709557905712588E-3</v>
      </c>
      <c r="FJ30">
        <f t="shared" si="65"/>
        <v>4.7610044013829296E-3</v>
      </c>
      <c r="FK30">
        <f t="shared" si="66"/>
        <v>4.2391110312760783E-3</v>
      </c>
      <c r="FL30">
        <f t="shared" si="67"/>
        <v>3.8551446966132771E-3</v>
      </c>
      <c r="FM30">
        <f t="shared" si="68"/>
        <v>3.5630816271992826E-3</v>
      </c>
      <c r="FN30">
        <f t="shared" si="69"/>
        <v>3.272931771620581E-3</v>
      </c>
      <c r="FO30">
        <f t="shared" si="70"/>
        <v>3.0096860935486798E-3</v>
      </c>
      <c r="FP30">
        <f t="shared" si="71"/>
        <v>2.717434839167279E-3</v>
      </c>
      <c r="FQ30">
        <f t="shared" si="72"/>
        <v>2.3615707929704288E-3</v>
      </c>
      <c r="FR30">
        <f t="shared" si="73"/>
        <v>1.9748695034479944E-3</v>
      </c>
      <c r="FS30">
        <f t="shared" si="74"/>
        <v>1.5954258808351816E-3</v>
      </c>
      <c r="FT30">
        <f t="shared" si="75"/>
        <v>1.2674069369821613E-3</v>
      </c>
      <c r="FU30">
        <f t="shared" si="76"/>
        <v>1.0407005067482441E-3</v>
      </c>
      <c r="FV30">
        <f t="shared" si="77"/>
        <v>8.289735999198383E-4</v>
      </c>
      <c r="FW30">
        <f t="shared" si="78"/>
        <v>6.251065518967534E-4</v>
      </c>
      <c r="FX30">
        <f t="shared" si="79"/>
        <v>4.6446559088680927E-4</v>
      </c>
      <c r="FY30">
        <f t="shared" si="80"/>
        <v>3.7157749097524494E-4</v>
      </c>
      <c r="FZ30">
        <f t="shared" si="81"/>
        <v>3.0314716399420388E-4</v>
      </c>
      <c r="GA30">
        <f t="shared" si="82"/>
        <v>2.2306191469848927E-4</v>
      </c>
      <c r="GB30">
        <f t="shared" si="83"/>
        <v>1.3132801592034789E-4</v>
      </c>
      <c r="GC30">
        <f t="shared" si="84"/>
        <v>9.1702534616907043E-5</v>
      </c>
      <c r="GD30">
        <f t="shared" si="85"/>
        <v>4.8482720436013039E-5</v>
      </c>
      <c r="GE30">
        <f t="shared" si="86"/>
        <v>7.0826548899343149E-5</v>
      </c>
    </row>
    <row r="31" spans="1:187">
      <c r="A31" s="4">
        <v>1979</v>
      </c>
      <c r="B31" s="17">
        <v>3373.3270000000002</v>
      </c>
      <c r="C31" s="17">
        <v>3309.9760000000001</v>
      </c>
      <c r="D31" s="17">
        <v>3271.0770000000002</v>
      </c>
      <c r="E31" s="17">
        <v>3254.6610000000001</v>
      </c>
      <c r="F31" s="17">
        <v>3308.8510000000001</v>
      </c>
      <c r="G31" s="17">
        <v>3313.9630000000002</v>
      </c>
      <c r="H31" s="17">
        <v>3338.4070000000002</v>
      </c>
      <c r="I31" s="17">
        <v>3380.2049999999999</v>
      </c>
      <c r="J31" s="17">
        <v>3437.386</v>
      </c>
      <c r="K31" s="17">
        <v>3504.973</v>
      </c>
      <c r="L31" s="17">
        <v>3577.9949999999999</v>
      </c>
      <c r="M31" s="17">
        <v>3669.47</v>
      </c>
      <c r="N31" s="17">
        <v>3783.4209999999998</v>
      </c>
      <c r="O31" s="17">
        <v>3908.877</v>
      </c>
      <c r="P31" s="17">
        <v>4031.0650000000001</v>
      </c>
      <c r="Q31" s="17">
        <v>4153.2020000000002</v>
      </c>
      <c r="R31" s="17">
        <v>4247.3440000000001</v>
      </c>
      <c r="S31" s="17">
        <v>4298.1270000000004</v>
      </c>
      <c r="T31" s="17">
        <v>4316.1620000000003</v>
      </c>
      <c r="U31" s="17">
        <v>4329.7780000000002</v>
      </c>
      <c r="V31" s="17">
        <v>4336.1400000000003</v>
      </c>
      <c r="W31" s="17">
        <v>4319.5829999999996</v>
      </c>
      <c r="X31" s="17">
        <v>4276.0550000000003</v>
      </c>
      <c r="Y31" s="17">
        <v>4212.1899999999996</v>
      </c>
      <c r="Z31" s="17">
        <v>4137.1610000000001</v>
      </c>
      <c r="AA31" s="17">
        <v>4047.3139999999999</v>
      </c>
      <c r="AB31" s="17">
        <v>3962.2359999999999</v>
      </c>
      <c r="AC31" s="17">
        <v>3892.03</v>
      </c>
      <c r="AD31" s="17">
        <v>3827.4369999999999</v>
      </c>
      <c r="AE31" s="17">
        <v>3754.029</v>
      </c>
      <c r="AF31" s="17">
        <v>3680.6239999999998</v>
      </c>
      <c r="AG31" s="17">
        <v>3577.3029999999999</v>
      </c>
      <c r="AH31" s="17">
        <v>3429.6460000000002</v>
      </c>
      <c r="AI31" s="17">
        <v>3255.5</v>
      </c>
      <c r="AJ31" s="17">
        <v>3086.7869999999998</v>
      </c>
      <c r="AK31" s="17">
        <v>2916.7049999999999</v>
      </c>
      <c r="AL31" s="17">
        <v>2770.1849999999999</v>
      </c>
      <c r="AM31" s="17">
        <v>2662.7460000000001</v>
      </c>
      <c r="AN31" s="17">
        <v>2583.4589999999998</v>
      </c>
      <c r="AO31" s="17">
        <v>2505.8440000000001</v>
      </c>
      <c r="AP31" s="17">
        <v>2435.1559999999999</v>
      </c>
      <c r="AQ31" s="17">
        <v>2374.7579999999998</v>
      </c>
      <c r="AR31" s="17">
        <v>2323.6689999999999</v>
      </c>
      <c r="AS31" s="17">
        <v>2282.4870000000001</v>
      </c>
      <c r="AT31" s="17">
        <v>2249.6019999999999</v>
      </c>
      <c r="AU31" s="17">
        <v>2221.5140000000001</v>
      </c>
      <c r="AV31" s="17">
        <v>2213.6280000000002</v>
      </c>
      <c r="AW31" s="17">
        <v>2232.2130000000002</v>
      </c>
      <c r="AX31" s="17">
        <v>2267.7809999999999</v>
      </c>
      <c r="AY31" s="17">
        <v>2303.4870000000001</v>
      </c>
      <c r="AZ31" s="17">
        <v>2341.3919999999998</v>
      </c>
      <c r="BA31" s="17">
        <v>2370.9859999999999</v>
      </c>
      <c r="BB31" s="17">
        <v>2384.8939999999998</v>
      </c>
      <c r="BC31" s="17">
        <v>2386.2139999999999</v>
      </c>
      <c r="BD31" s="17">
        <v>2387.7220000000002</v>
      </c>
      <c r="BE31" s="17">
        <v>2389.6170000000002</v>
      </c>
      <c r="BF31" s="17">
        <v>2371.7800000000002</v>
      </c>
      <c r="BG31" s="17">
        <v>2326.35</v>
      </c>
      <c r="BH31" s="17">
        <v>2262.3960000000002</v>
      </c>
      <c r="BI31" s="17">
        <v>2195.8890000000001</v>
      </c>
      <c r="BJ31" s="17">
        <v>2122.48</v>
      </c>
      <c r="BK31" s="17">
        <v>2057.3719999999998</v>
      </c>
      <c r="BL31" s="17">
        <v>2009.3779999999999</v>
      </c>
      <c r="BM31" s="17">
        <v>1971.018</v>
      </c>
      <c r="BN31" s="17">
        <v>1926.7239999999999</v>
      </c>
      <c r="BO31" s="17">
        <v>1880.473</v>
      </c>
      <c r="BP31" s="17">
        <v>1826.1489999999999</v>
      </c>
      <c r="BQ31" s="17">
        <v>1759.425</v>
      </c>
      <c r="BR31" s="17">
        <v>1684.3879999999999</v>
      </c>
      <c r="BS31" s="17">
        <v>1608.7650000000001</v>
      </c>
      <c r="BT31" s="17">
        <v>1530.19</v>
      </c>
      <c r="BU31" s="17">
        <v>1454.7280000000001</v>
      </c>
      <c r="BV31" s="17">
        <v>1385.9110000000001</v>
      </c>
      <c r="BW31" s="17">
        <v>1320.2439999999999</v>
      </c>
      <c r="BX31" s="17">
        <v>1253.078</v>
      </c>
      <c r="BY31" s="17">
        <v>1188.201</v>
      </c>
      <c r="BZ31" s="17">
        <v>1111.009</v>
      </c>
      <c r="CA31" s="17">
        <v>1014.686</v>
      </c>
      <c r="CB31" s="17">
        <v>907.745</v>
      </c>
      <c r="CC31" s="17">
        <v>804.06500000000005</v>
      </c>
      <c r="CD31" s="17">
        <v>699.13699999999994</v>
      </c>
      <c r="CE31" s="17">
        <v>611.39499999999998</v>
      </c>
      <c r="CF31" s="17">
        <v>550.86500000000001</v>
      </c>
      <c r="CG31" s="17">
        <v>508.45600000000002</v>
      </c>
      <c r="CH31" s="17">
        <v>465.92099999999999</v>
      </c>
      <c r="CI31" s="17">
        <v>427.947</v>
      </c>
      <c r="CJ31" s="17">
        <v>385.36700000000002</v>
      </c>
      <c r="CK31" s="17">
        <v>332.11799999999999</v>
      </c>
      <c r="CL31" s="17">
        <v>273.685</v>
      </c>
      <c r="CM31" s="17">
        <v>215.44800000000001</v>
      </c>
      <c r="CN31" s="17">
        <v>167.42599999999999</v>
      </c>
      <c r="CO31" s="17">
        <v>138.21199999999999</v>
      </c>
      <c r="CP31" s="17">
        <v>108.199</v>
      </c>
      <c r="CQ31" s="17">
        <v>76.819999999999993</v>
      </c>
      <c r="CR31" s="17">
        <v>55.42</v>
      </c>
      <c r="CS31" s="17">
        <v>45.218000000000004</v>
      </c>
      <c r="CT31" s="17">
        <v>36.533999999999999</v>
      </c>
      <c r="CU31" s="17">
        <v>26.491</v>
      </c>
      <c r="CV31" s="17">
        <v>15.087</v>
      </c>
      <c r="CW31" s="17">
        <v>8.4619999999999997</v>
      </c>
      <c r="CX31" s="17">
        <v>12.308</v>
      </c>
      <c r="CY31" s="3">
        <f t="shared" si="87"/>
        <v>227339.32099999997</v>
      </c>
      <c r="CZ31" s="21">
        <f t="shared" si="3"/>
        <v>162176.99399999998</v>
      </c>
      <c r="DA31">
        <f t="shared" si="4"/>
        <v>2.6613898146367179E-2</v>
      </c>
      <c r="DB31">
        <f t="shared" si="5"/>
        <v>2.6697855800681573E-2</v>
      </c>
      <c r="DC31">
        <f t="shared" si="6"/>
        <v>2.6737084546036172E-2</v>
      </c>
      <c r="DD31">
        <f t="shared" si="7"/>
        <v>2.6634992383691613E-2</v>
      </c>
      <c r="DE31">
        <f t="shared" si="8"/>
        <v>2.6366594265522032E-2</v>
      </c>
      <c r="DF31">
        <f t="shared" si="9"/>
        <v>2.5972796116815435E-2</v>
      </c>
      <c r="DG31">
        <f t="shared" si="10"/>
        <v>2.5510159597606063E-2</v>
      </c>
      <c r="DH31">
        <f t="shared" si="11"/>
        <v>2.4956153768641194E-2</v>
      </c>
      <c r="DI31">
        <f t="shared" si="12"/>
        <v>2.4431554083435537E-2</v>
      </c>
      <c r="DJ31">
        <f t="shared" si="13"/>
        <v>2.3998656677530976E-2</v>
      </c>
      <c r="DK31">
        <f t="shared" si="14"/>
        <v>2.3600369606061392E-2</v>
      </c>
      <c r="DL31">
        <f t="shared" si="15"/>
        <v>2.3147728339322902E-2</v>
      </c>
      <c r="DM31">
        <f t="shared" si="16"/>
        <v>2.2695105570892504E-2</v>
      </c>
      <c r="DN31">
        <f t="shared" si="17"/>
        <v>2.2058017674196136E-2</v>
      </c>
      <c r="DO31">
        <f t="shared" si="18"/>
        <v>2.1147549448351476E-2</v>
      </c>
      <c r="DP31">
        <f t="shared" si="19"/>
        <v>2.0073747328181457E-2</v>
      </c>
      <c r="DQ31">
        <f t="shared" si="20"/>
        <v>1.9033445643961068E-2</v>
      </c>
      <c r="DR31">
        <f t="shared" si="21"/>
        <v>1.7984702565149287E-2</v>
      </c>
      <c r="DS31">
        <f t="shared" si="22"/>
        <v>1.7081245198070451E-2</v>
      </c>
      <c r="DT31">
        <f t="shared" si="23"/>
        <v>1.641876529047024E-2</v>
      </c>
      <c r="DU31">
        <f t="shared" si="24"/>
        <v>1.5929873505979523E-2</v>
      </c>
      <c r="DV31">
        <f t="shared" si="25"/>
        <v>1.5451291445197217E-2</v>
      </c>
      <c r="DW31">
        <f t="shared" si="26"/>
        <v>1.501542197779298E-2</v>
      </c>
      <c r="DX31">
        <f t="shared" si="27"/>
        <v>1.4643001707134862E-2</v>
      </c>
      <c r="DY31">
        <f t="shared" si="28"/>
        <v>1.4327981686477677E-2</v>
      </c>
      <c r="DZ31">
        <f t="shared" si="29"/>
        <v>1.4074049245233885E-2</v>
      </c>
      <c r="EA31">
        <f t="shared" si="30"/>
        <v>1.3871276958062253E-2</v>
      </c>
      <c r="EB31">
        <f t="shared" si="31"/>
        <v>1.3698083465525328E-2</v>
      </c>
      <c r="EC31">
        <f t="shared" si="32"/>
        <v>1.3649457579661394E-2</v>
      </c>
      <c r="ED31">
        <f t="shared" si="33"/>
        <v>1.376405459827428E-2</v>
      </c>
      <c r="EE31">
        <f t="shared" si="34"/>
        <v>1.3983370538980395E-2</v>
      </c>
      <c r="EF31">
        <f t="shared" si="35"/>
        <v>1.4203537401858616E-2</v>
      </c>
      <c r="EG31">
        <f t="shared" si="36"/>
        <v>1.4437263524566254E-2</v>
      </c>
      <c r="EH31">
        <f t="shared" si="37"/>
        <v>1.4619743167763981E-2</v>
      </c>
      <c r="EI31">
        <f t="shared" si="38"/>
        <v>1.4705501324065732E-2</v>
      </c>
      <c r="EJ31">
        <f t="shared" si="39"/>
        <v>1.4713640579625001E-2</v>
      </c>
      <c r="EK31">
        <f t="shared" si="40"/>
        <v>1.4722939062491197E-2</v>
      </c>
      <c r="EL31">
        <f t="shared" si="41"/>
        <v>1.4734623827100906E-2</v>
      </c>
      <c r="EM31">
        <f t="shared" si="42"/>
        <v>1.4624639053304937E-2</v>
      </c>
      <c r="EN31">
        <f t="shared" si="43"/>
        <v>1.4344513007806769E-2</v>
      </c>
      <c r="EO31">
        <f t="shared" si="44"/>
        <v>1.3950166075960198E-2</v>
      </c>
      <c r="EP31">
        <f t="shared" si="45"/>
        <v>1.3540077083929675E-2</v>
      </c>
      <c r="EQ31">
        <f t="shared" si="46"/>
        <v>1.3087429651088492E-2</v>
      </c>
      <c r="ER31">
        <f t="shared" si="47"/>
        <v>1.2685967036730254E-2</v>
      </c>
      <c r="ES31">
        <f t="shared" si="48"/>
        <v>1.2390031103918477E-2</v>
      </c>
      <c r="ET31">
        <f t="shared" si="49"/>
        <v>1.2153499404483969E-2</v>
      </c>
      <c r="EU31">
        <f t="shared" si="50"/>
        <v>1.188037805164893E-2</v>
      </c>
      <c r="EV31">
        <f t="shared" si="51"/>
        <v>1.1595189635837005E-2</v>
      </c>
      <c r="EW31">
        <f t="shared" si="52"/>
        <v>1.1260222272956916E-2</v>
      </c>
      <c r="EX31">
        <f t="shared" si="53"/>
        <v>1.0848795236641272E-2</v>
      </c>
      <c r="EY31">
        <f t="shared" si="54"/>
        <v>1.0386109388610324E-2</v>
      </c>
      <c r="EZ31">
        <f t="shared" si="55"/>
        <v>9.9198102043992764E-3</v>
      </c>
      <c r="FA31">
        <f t="shared" si="56"/>
        <v>9.4353086850284089E-3</v>
      </c>
      <c r="FB31">
        <f t="shared" si="57"/>
        <v>8.9700022433514843E-3</v>
      </c>
      <c r="FC31">
        <f t="shared" si="58"/>
        <v>8.5456695540922431E-3</v>
      </c>
      <c r="FD31">
        <f t="shared" si="59"/>
        <v>8.1407600883267092E-3</v>
      </c>
      <c r="FE31">
        <f t="shared" si="60"/>
        <v>7.7266076346192494E-3</v>
      </c>
      <c r="FF31">
        <f t="shared" si="61"/>
        <v>7.3265693899838853E-3</v>
      </c>
      <c r="FG31">
        <f t="shared" si="62"/>
        <v>6.8505955906421612E-3</v>
      </c>
      <c r="FH31">
        <f t="shared" si="63"/>
        <v>6.256658080615307E-3</v>
      </c>
      <c r="FI31">
        <f t="shared" si="64"/>
        <v>5.5972488921579109E-3</v>
      </c>
      <c r="FJ31">
        <f t="shared" si="65"/>
        <v>4.9579473645935263E-3</v>
      </c>
      <c r="FK31">
        <f t="shared" si="66"/>
        <v>4.3109505408640142E-3</v>
      </c>
      <c r="FL31">
        <f t="shared" si="67"/>
        <v>3.7699243580751043E-3</v>
      </c>
      <c r="FM31">
        <f t="shared" si="68"/>
        <v>3.3966901618610597E-3</v>
      </c>
      <c r="FN31">
        <f t="shared" si="69"/>
        <v>3.1351919126087644E-3</v>
      </c>
      <c r="FO31">
        <f t="shared" si="70"/>
        <v>2.8729167344167202E-3</v>
      </c>
      <c r="FP31">
        <f t="shared" si="71"/>
        <v>2.6387651506230288E-3</v>
      </c>
      <c r="FQ31">
        <f t="shared" si="72"/>
        <v>2.3762124978096467E-3</v>
      </c>
      <c r="FR31">
        <f t="shared" si="73"/>
        <v>2.0478736953282043E-3</v>
      </c>
      <c r="FS31">
        <f t="shared" si="74"/>
        <v>1.6875698164685433E-3</v>
      </c>
      <c r="FT31">
        <f t="shared" si="75"/>
        <v>1.3284744937373796E-3</v>
      </c>
      <c r="FU31">
        <f t="shared" si="76"/>
        <v>1.0323659100501025E-3</v>
      </c>
      <c r="FV31">
        <f t="shared" si="77"/>
        <v>8.5222938587701288E-4</v>
      </c>
      <c r="FW31">
        <f t="shared" si="78"/>
        <v>6.6716614564948722E-4</v>
      </c>
      <c r="FX31">
        <f t="shared" si="79"/>
        <v>4.7368000913865753E-4</v>
      </c>
      <c r="FY31">
        <f t="shared" si="80"/>
        <v>3.4172541143536063E-4</v>
      </c>
      <c r="FZ31">
        <f t="shared" si="81"/>
        <v>2.7881883172652718E-4</v>
      </c>
      <c r="GA31">
        <f t="shared" si="82"/>
        <v>2.2527239591085284E-4</v>
      </c>
      <c r="GB31">
        <f t="shared" si="83"/>
        <v>1.6334622653074951E-4</v>
      </c>
      <c r="GC31">
        <f t="shared" si="84"/>
        <v>9.3027991380824346E-5</v>
      </c>
      <c r="GD31">
        <f t="shared" si="85"/>
        <v>5.2177561017070038E-5</v>
      </c>
      <c r="GE31">
        <f t="shared" si="86"/>
        <v>7.589239198748499E-5</v>
      </c>
    </row>
    <row r="32" spans="1:187">
      <c r="A32" s="4">
        <v>1980</v>
      </c>
      <c r="B32" s="17">
        <v>3390.7179999999998</v>
      </c>
      <c r="C32" s="17">
        <v>3335.1779999999999</v>
      </c>
      <c r="D32" s="17">
        <v>3298.3510000000001</v>
      </c>
      <c r="E32" s="17">
        <v>3279.1289999999999</v>
      </c>
      <c r="F32" s="17">
        <v>3276.4009999999998</v>
      </c>
      <c r="G32" s="17">
        <v>3289.0590000000002</v>
      </c>
      <c r="H32" s="17">
        <v>3315.9929999999999</v>
      </c>
      <c r="I32" s="17">
        <v>3356.0949999999998</v>
      </c>
      <c r="J32" s="17">
        <v>3408.2550000000001</v>
      </c>
      <c r="K32" s="17">
        <v>3471.3629999999998</v>
      </c>
      <c r="L32" s="17">
        <v>3540.5630000000001</v>
      </c>
      <c r="M32" s="17">
        <v>3610.9949999999999</v>
      </c>
      <c r="N32" s="17">
        <v>3700.2939999999999</v>
      </c>
      <c r="O32" s="17">
        <v>3814.8490000000002</v>
      </c>
      <c r="P32" s="17">
        <v>3942.3020000000001</v>
      </c>
      <c r="Q32" s="17">
        <v>4064.2730000000001</v>
      </c>
      <c r="R32" s="17">
        <v>4184.8729999999996</v>
      </c>
      <c r="S32" s="17">
        <v>4276.8969999999999</v>
      </c>
      <c r="T32" s="17">
        <v>4325.05</v>
      </c>
      <c r="U32" s="17">
        <v>4340.1310000000003</v>
      </c>
      <c r="V32" s="17">
        <v>4350.5860000000002</v>
      </c>
      <c r="W32" s="17">
        <v>4353.5460000000003</v>
      </c>
      <c r="X32" s="17">
        <v>4334.2039999999997</v>
      </c>
      <c r="Y32" s="17">
        <v>4288.9399999999996</v>
      </c>
      <c r="Z32" s="17">
        <v>4224.0879999999997</v>
      </c>
      <c r="AA32" s="17">
        <v>4147.7839999999997</v>
      </c>
      <c r="AB32" s="17">
        <v>4056.2269999999999</v>
      </c>
      <c r="AC32" s="17">
        <v>3970.5949999999998</v>
      </c>
      <c r="AD32" s="17">
        <v>3901.5650000000001</v>
      </c>
      <c r="AE32" s="17">
        <v>3838.9989999999998</v>
      </c>
      <c r="AF32" s="17">
        <v>3767.6190000000001</v>
      </c>
      <c r="AG32" s="17">
        <v>3697.1260000000002</v>
      </c>
      <c r="AH32" s="17">
        <v>3593.1239999999998</v>
      </c>
      <c r="AI32" s="17">
        <v>3439.1</v>
      </c>
      <c r="AJ32" s="17">
        <v>3255.2950000000001</v>
      </c>
      <c r="AK32" s="17">
        <v>3077.5140000000001</v>
      </c>
      <c r="AL32" s="17">
        <v>2897.4690000000001</v>
      </c>
      <c r="AM32" s="17">
        <v>2745.7330000000002</v>
      </c>
      <c r="AN32" s="17">
        <v>2640.8020000000001</v>
      </c>
      <c r="AO32" s="17">
        <v>2568.7779999999998</v>
      </c>
      <c r="AP32" s="17">
        <v>2497.58</v>
      </c>
      <c r="AQ32" s="17">
        <v>2433.989</v>
      </c>
      <c r="AR32" s="17">
        <v>2377.326</v>
      </c>
      <c r="AS32" s="17">
        <v>2324.1660000000002</v>
      </c>
      <c r="AT32" s="17">
        <v>2277.2979999999998</v>
      </c>
      <c r="AU32" s="17">
        <v>2239.6179999999999</v>
      </c>
      <c r="AV32" s="17">
        <v>2206.5639999999999</v>
      </c>
      <c r="AW32" s="17">
        <v>2195.3139999999999</v>
      </c>
      <c r="AX32" s="17">
        <v>2213.42</v>
      </c>
      <c r="AY32" s="17">
        <v>2250.3139999999999</v>
      </c>
      <c r="AZ32" s="17">
        <v>2286.8220000000001</v>
      </c>
      <c r="BA32" s="17">
        <v>2325.5149999999999</v>
      </c>
      <c r="BB32" s="17">
        <v>2355.3649999999998</v>
      </c>
      <c r="BC32" s="17">
        <v>2368.5250000000001</v>
      </c>
      <c r="BD32" s="17">
        <v>2368.4679999999998</v>
      </c>
      <c r="BE32" s="17">
        <v>2368.864</v>
      </c>
      <c r="BF32" s="17">
        <v>2369.7849999999999</v>
      </c>
      <c r="BG32" s="17">
        <v>2350.942</v>
      </c>
      <c r="BH32" s="17">
        <v>2304.4929999999999</v>
      </c>
      <c r="BI32" s="17">
        <v>2239.5639999999999</v>
      </c>
      <c r="BJ32" s="17">
        <v>2171.895</v>
      </c>
      <c r="BK32" s="17">
        <v>2096.8589999999999</v>
      </c>
      <c r="BL32" s="17">
        <v>2031.26</v>
      </c>
      <c r="BM32" s="17">
        <v>1984.577</v>
      </c>
      <c r="BN32" s="17">
        <v>1948.4390000000001</v>
      </c>
      <c r="BO32" s="17">
        <v>1906.22</v>
      </c>
      <c r="BP32" s="17">
        <v>1862.7239999999999</v>
      </c>
      <c r="BQ32" s="17">
        <v>1807.97</v>
      </c>
      <c r="BR32" s="17">
        <v>1735.799</v>
      </c>
      <c r="BS32" s="17">
        <v>1652.3710000000001</v>
      </c>
      <c r="BT32" s="17">
        <v>1568.7650000000001</v>
      </c>
      <c r="BU32" s="17">
        <v>1481.2750000000001</v>
      </c>
      <c r="BV32" s="17">
        <v>1401.0360000000001</v>
      </c>
      <c r="BW32" s="17">
        <v>1334.229</v>
      </c>
      <c r="BX32" s="17">
        <v>1274.6659999999999</v>
      </c>
      <c r="BY32" s="17">
        <v>1212.902</v>
      </c>
      <c r="BZ32" s="17">
        <v>1154.338</v>
      </c>
      <c r="CA32" s="17">
        <v>1079.373</v>
      </c>
      <c r="CB32" s="17">
        <v>978.43600000000004</v>
      </c>
      <c r="CC32" s="17">
        <v>862.78200000000004</v>
      </c>
      <c r="CD32" s="17">
        <v>751.57799999999997</v>
      </c>
      <c r="CE32" s="17">
        <v>638.99199999999996</v>
      </c>
      <c r="CF32" s="17">
        <v>546.73400000000004</v>
      </c>
      <c r="CG32" s="17">
        <v>486.90800000000002</v>
      </c>
      <c r="CH32" s="17">
        <v>448.67</v>
      </c>
      <c r="CI32" s="17">
        <v>409.87200000000001</v>
      </c>
      <c r="CJ32" s="17">
        <v>375.90899999999999</v>
      </c>
      <c r="CK32" s="17">
        <v>337.35700000000003</v>
      </c>
      <c r="CL32" s="17">
        <v>287.61099999999999</v>
      </c>
      <c r="CM32" s="17">
        <v>232.416</v>
      </c>
      <c r="CN32" s="17">
        <v>176.458</v>
      </c>
      <c r="CO32" s="17">
        <v>132.726</v>
      </c>
      <c r="CP32" s="17">
        <v>110.453</v>
      </c>
      <c r="CQ32" s="17">
        <v>84.194000000000003</v>
      </c>
      <c r="CR32" s="17">
        <v>53.95</v>
      </c>
      <c r="CS32" s="17">
        <v>36.768999999999998</v>
      </c>
      <c r="CT32" s="17">
        <v>31.175999999999998</v>
      </c>
      <c r="CU32" s="17">
        <v>24.722000000000001</v>
      </c>
      <c r="CV32" s="17">
        <v>17.408000000000001</v>
      </c>
      <c r="CW32" s="17">
        <v>9.2309999999999999</v>
      </c>
      <c r="CX32" s="17">
        <v>13.515000000000001</v>
      </c>
      <c r="CY32" s="3">
        <f t="shared" si="87"/>
        <v>229476.36000000007</v>
      </c>
      <c r="CZ32" s="21">
        <f t="shared" si="3"/>
        <v>164920.77200000003</v>
      </c>
      <c r="DA32">
        <f t="shared" si="4"/>
        <v>2.6225016700746461E-2</v>
      </c>
      <c r="DB32">
        <f t="shared" si="5"/>
        <v>2.6316460609340342E-2</v>
      </c>
      <c r="DC32">
        <f t="shared" si="6"/>
        <v>2.6379854685618376E-2</v>
      </c>
      <c r="DD32">
        <f t="shared" si="7"/>
        <v>2.6397802697649266E-2</v>
      </c>
      <c r="DE32">
        <f t="shared" si="8"/>
        <v>2.6280522140655509E-2</v>
      </c>
      <c r="DF32">
        <f t="shared" si="9"/>
        <v>2.6006063081004734E-2</v>
      </c>
      <c r="DG32">
        <f t="shared" si="10"/>
        <v>2.5612831839036013E-2</v>
      </c>
      <c r="DH32">
        <f t="shared" si="11"/>
        <v>2.5150161193763992E-2</v>
      </c>
      <c r="DI32">
        <f t="shared" si="12"/>
        <v>2.4595003714874674E-2</v>
      </c>
      <c r="DJ32">
        <f t="shared" si="13"/>
        <v>2.4075772577635029E-2</v>
      </c>
      <c r="DK32">
        <f t="shared" si="14"/>
        <v>2.365720795922541E-2</v>
      </c>
      <c r="DL32">
        <f t="shared" si="15"/>
        <v>2.3277837918440007E-2</v>
      </c>
      <c r="DM32">
        <f t="shared" si="16"/>
        <v>2.2845024033722079E-2</v>
      </c>
      <c r="DN32">
        <f t="shared" si="17"/>
        <v>2.2417588489095839E-2</v>
      </c>
      <c r="DO32">
        <f t="shared" si="18"/>
        <v>2.178697053394826E-2</v>
      </c>
      <c r="DP32">
        <f t="shared" si="19"/>
        <v>2.0853043302513762E-2</v>
      </c>
      <c r="DQ32">
        <f t="shared" si="20"/>
        <v>1.9738538454088728E-2</v>
      </c>
      <c r="DR32">
        <f t="shared" si="21"/>
        <v>1.8660560235553587E-2</v>
      </c>
      <c r="DS32">
        <f t="shared" si="22"/>
        <v>1.7568854213221848E-2</v>
      </c>
      <c r="DT32">
        <f t="shared" si="23"/>
        <v>1.6648800310005825E-2</v>
      </c>
      <c r="DU32">
        <f t="shared" si="24"/>
        <v>1.6012549347028279E-2</v>
      </c>
      <c r="DV32">
        <f t="shared" si="25"/>
        <v>1.5575830556990113E-2</v>
      </c>
      <c r="DW32">
        <f t="shared" si="26"/>
        <v>1.5144120232471381E-2</v>
      </c>
      <c r="DX32">
        <f t="shared" si="27"/>
        <v>1.4758535086168525E-2</v>
      </c>
      <c r="DY32">
        <f t="shared" si="28"/>
        <v>1.4414957989646081E-2</v>
      </c>
      <c r="DZ32">
        <f t="shared" si="29"/>
        <v>1.4092621395199385E-2</v>
      </c>
      <c r="EA32">
        <f t="shared" si="30"/>
        <v>1.3808436453353489E-2</v>
      </c>
      <c r="EB32">
        <f t="shared" si="31"/>
        <v>1.3579963111014297E-2</v>
      </c>
      <c r="EC32">
        <f t="shared" si="32"/>
        <v>1.3379539600990951E-2</v>
      </c>
      <c r="ED32">
        <f t="shared" si="33"/>
        <v>1.3311325028238405E-2</v>
      </c>
      <c r="EE32">
        <f t="shared" si="34"/>
        <v>1.3421111077505748E-2</v>
      </c>
      <c r="EF32">
        <f t="shared" si="35"/>
        <v>1.3644818495028629E-2</v>
      </c>
      <c r="EG32">
        <f t="shared" si="36"/>
        <v>1.3866185394766401E-2</v>
      </c>
      <c r="EH32">
        <f t="shared" si="37"/>
        <v>1.4100801080412111E-2</v>
      </c>
      <c r="EI32">
        <f t="shared" si="38"/>
        <v>1.4281797080115533E-2</v>
      </c>
      <c r="EJ32">
        <f t="shared" si="39"/>
        <v>1.4361592971442067E-2</v>
      </c>
      <c r="EK32">
        <f t="shared" si="40"/>
        <v>1.436124735094012E-2</v>
      </c>
      <c r="EL32">
        <f t="shared" si="41"/>
        <v>1.4363648503901011E-2</v>
      </c>
      <c r="EM32">
        <f t="shared" si="42"/>
        <v>1.4369233003590351E-2</v>
      </c>
      <c r="EN32">
        <f t="shared" si="43"/>
        <v>1.4254978141868022E-2</v>
      </c>
      <c r="EO32">
        <f t="shared" si="44"/>
        <v>1.3973333813887311E-2</v>
      </c>
      <c r="EP32">
        <f t="shared" si="45"/>
        <v>1.3579635681065084E-2</v>
      </c>
      <c r="EQ32">
        <f t="shared" si="46"/>
        <v>1.3169323510079128E-2</v>
      </c>
      <c r="ER32">
        <f t="shared" si="47"/>
        <v>1.2714341405096015E-2</v>
      </c>
      <c r="ES32">
        <f t="shared" si="48"/>
        <v>1.2316580715496527E-2</v>
      </c>
      <c r="ET32">
        <f t="shared" si="49"/>
        <v>1.2033517524402564E-2</v>
      </c>
      <c r="EU32">
        <f t="shared" si="50"/>
        <v>1.1814394126168654E-2</v>
      </c>
      <c r="EV32">
        <f t="shared" si="51"/>
        <v>1.15583984775429E-2</v>
      </c>
      <c r="EW32">
        <f t="shared" si="52"/>
        <v>1.1294659716970034E-2</v>
      </c>
      <c r="EX32">
        <f t="shared" si="53"/>
        <v>1.0962657875504002E-2</v>
      </c>
      <c r="EY32">
        <f t="shared" si="54"/>
        <v>1.052504774838187E-2</v>
      </c>
      <c r="EZ32">
        <f t="shared" si="55"/>
        <v>1.0019180603884148E-2</v>
      </c>
      <c r="FA32">
        <f t="shared" si="56"/>
        <v>9.51223415325754E-3</v>
      </c>
      <c r="FB32">
        <f t="shared" si="57"/>
        <v>8.9817370003579654E-3</v>
      </c>
      <c r="FC32">
        <f t="shared" si="58"/>
        <v>8.4952064134164972E-3</v>
      </c>
      <c r="FD32">
        <f t="shared" si="59"/>
        <v>8.09012099458278E-3</v>
      </c>
      <c r="FE32">
        <f t="shared" si="60"/>
        <v>7.7289596970841227E-3</v>
      </c>
      <c r="FF32">
        <f t="shared" si="61"/>
        <v>7.3544525973962809E-3</v>
      </c>
      <c r="FG32">
        <f t="shared" si="62"/>
        <v>6.9993487539580504E-3</v>
      </c>
      <c r="FH32">
        <f t="shared" si="63"/>
        <v>6.5447971587229772E-3</v>
      </c>
      <c r="FI32">
        <f t="shared" si="64"/>
        <v>5.9327638849519812E-3</v>
      </c>
      <c r="FJ32">
        <f t="shared" si="65"/>
        <v>5.2314938229854994E-3</v>
      </c>
      <c r="FK32">
        <f t="shared" si="66"/>
        <v>4.5572064142411356E-3</v>
      </c>
      <c r="FL32">
        <f t="shared" si="67"/>
        <v>3.8745392242039703E-3</v>
      </c>
      <c r="FM32">
        <f t="shared" si="68"/>
        <v>3.3151312194924722E-3</v>
      </c>
      <c r="FN32">
        <f t="shared" si="69"/>
        <v>2.952375216870801E-3</v>
      </c>
      <c r="FO32">
        <f t="shared" si="70"/>
        <v>2.7205184317230817E-3</v>
      </c>
      <c r="FP32">
        <f t="shared" si="71"/>
        <v>2.4852660767316803E-3</v>
      </c>
      <c r="FQ32">
        <f t="shared" si="72"/>
        <v>2.2793308292299282E-3</v>
      </c>
      <c r="FR32">
        <f t="shared" si="73"/>
        <v>2.0455700995627157E-3</v>
      </c>
      <c r="FS32">
        <f t="shared" si="74"/>
        <v>1.7439343541273257E-3</v>
      </c>
      <c r="FT32">
        <f t="shared" si="75"/>
        <v>1.4092585014093917E-3</v>
      </c>
      <c r="FU32">
        <f t="shared" si="76"/>
        <v>1.0699561847794404E-3</v>
      </c>
      <c r="FV32">
        <f t="shared" si="77"/>
        <v>8.0478643405816695E-4</v>
      </c>
      <c r="FW32">
        <f t="shared" si="78"/>
        <v>6.6973370704328248E-4</v>
      </c>
      <c r="FX32">
        <f t="shared" si="79"/>
        <v>5.1051179896247382E-4</v>
      </c>
      <c r="FY32">
        <f t="shared" si="80"/>
        <v>3.2712677333331905E-4</v>
      </c>
      <c r="FZ32">
        <f t="shared" si="81"/>
        <v>2.2294947782563129E-4</v>
      </c>
      <c r="GA32">
        <f t="shared" si="82"/>
        <v>1.8903622401185457E-4</v>
      </c>
      <c r="GB32">
        <f t="shared" si="83"/>
        <v>1.499022815634164E-4</v>
      </c>
      <c r="GC32">
        <f t="shared" si="84"/>
        <v>1.0555371399789469E-4</v>
      </c>
      <c r="GD32">
        <f t="shared" si="85"/>
        <v>5.597233076255548E-5</v>
      </c>
      <c r="GE32">
        <f t="shared" si="86"/>
        <v>8.1948440066724877E-5</v>
      </c>
    </row>
    <row r="33" spans="1:187">
      <c r="A33" s="4">
        <v>1981</v>
      </c>
      <c r="B33" s="17">
        <v>3433.0459999999998</v>
      </c>
      <c r="C33" s="17">
        <v>3392.4560000000001</v>
      </c>
      <c r="D33" s="17">
        <v>3342.9810000000002</v>
      </c>
      <c r="E33" s="17">
        <v>3310.8589999999999</v>
      </c>
      <c r="F33" s="17">
        <v>3295.1439999999998</v>
      </c>
      <c r="G33" s="17">
        <v>3294.8939999999998</v>
      </c>
      <c r="H33" s="17">
        <v>3308.98</v>
      </c>
      <c r="I33" s="17">
        <v>3336.2730000000001</v>
      </c>
      <c r="J33" s="17">
        <v>3376.76</v>
      </c>
      <c r="K33" s="17">
        <v>3429.8679999999999</v>
      </c>
      <c r="L33" s="17">
        <v>3494.098</v>
      </c>
      <c r="M33" s="17">
        <v>3563.8789999999999</v>
      </c>
      <c r="N33" s="17">
        <v>3634.7539999999999</v>
      </c>
      <c r="O33" s="17">
        <v>3723.348</v>
      </c>
      <c r="P33" s="17">
        <v>3835.56</v>
      </c>
      <c r="Q33" s="17">
        <v>3959.72</v>
      </c>
      <c r="R33" s="17">
        <v>4078.4839999999999</v>
      </c>
      <c r="S33" s="17">
        <v>4195.5889999999999</v>
      </c>
      <c r="T33" s="17">
        <v>4285.5789999999997</v>
      </c>
      <c r="U33" s="17">
        <v>4334.0810000000001</v>
      </c>
      <c r="V33" s="17">
        <v>4351.049</v>
      </c>
      <c r="W33" s="17">
        <v>4362.9970000000003</v>
      </c>
      <c r="X33" s="17">
        <v>4367.2430000000004</v>
      </c>
      <c r="Y33" s="17">
        <v>4349.3339999999998</v>
      </c>
      <c r="Z33" s="17">
        <v>4305.57</v>
      </c>
      <c r="AA33" s="17">
        <v>4242.058</v>
      </c>
      <c r="AB33" s="17">
        <v>4167.1880000000001</v>
      </c>
      <c r="AC33" s="17">
        <v>4077.5729999999999</v>
      </c>
      <c r="AD33" s="17">
        <v>3991.4870000000001</v>
      </c>
      <c r="AE33" s="17">
        <v>3918.34</v>
      </c>
      <c r="AF33" s="17">
        <v>3849.4850000000001</v>
      </c>
      <c r="AG33" s="17">
        <v>3772.098</v>
      </c>
      <c r="AH33" s="17">
        <v>3695.018</v>
      </c>
      <c r="AI33" s="17">
        <v>3587.1610000000001</v>
      </c>
      <c r="AJ33" s="17">
        <v>3433.7919999999999</v>
      </c>
      <c r="AK33" s="17">
        <v>3253.45</v>
      </c>
      <c r="AL33" s="17">
        <v>3078.596</v>
      </c>
      <c r="AM33" s="17">
        <v>2901.7689999999998</v>
      </c>
      <c r="AN33" s="17">
        <v>2751.7330000000002</v>
      </c>
      <c r="AO33" s="17">
        <v>2645.7939999999999</v>
      </c>
      <c r="AP33" s="17">
        <v>2571.067</v>
      </c>
      <c r="AQ33" s="17">
        <v>2497.5839999999998</v>
      </c>
      <c r="AR33" s="17">
        <v>2431.6080000000002</v>
      </c>
      <c r="AS33" s="17">
        <v>2373.2060000000001</v>
      </c>
      <c r="AT33" s="17">
        <v>2319.5039999999999</v>
      </c>
      <c r="AU33" s="17">
        <v>2272.79</v>
      </c>
      <c r="AV33" s="17">
        <v>2234.951</v>
      </c>
      <c r="AW33" s="17">
        <v>2201.6729999999998</v>
      </c>
      <c r="AX33" s="17">
        <v>2189.6570000000002</v>
      </c>
      <c r="AY33" s="17">
        <v>2206.1280000000002</v>
      </c>
      <c r="AZ33" s="17">
        <v>2240.8049999999998</v>
      </c>
      <c r="BA33" s="17">
        <v>2275.2040000000002</v>
      </c>
      <c r="BB33" s="17">
        <v>2311.8420000000001</v>
      </c>
      <c r="BC33" s="17">
        <v>2339.4589999999998</v>
      </c>
      <c r="BD33" s="17">
        <v>2350.1790000000001</v>
      </c>
      <c r="BE33" s="17">
        <v>2347.6179999999999</v>
      </c>
      <c r="BF33" s="17">
        <v>2345.3789999999999</v>
      </c>
      <c r="BG33" s="17">
        <v>2343.2759999999998</v>
      </c>
      <c r="BH33" s="17">
        <v>2322.5630000000001</v>
      </c>
      <c r="BI33" s="17">
        <v>2276.0729999999999</v>
      </c>
      <c r="BJ33" s="17">
        <v>2212.105</v>
      </c>
      <c r="BK33" s="17">
        <v>2145.2330000000002</v>
      </c>
      <c r="BL33" s="17">
        <v>2071.4639999999999</v>
      </c>
      <c r="BM33" s="17">
        <v>2004.877</v>
      </c>
      <c r="BN33" s="17">
        <v>1953.607</v>
      </c>
      <c r="BO33" s="17">
        <v>1910.7360000000001</v>
      </c>
      <c r="BP33" s="17">
        <v>1862.19</v>
      </c>
      <c r="BQ33" s="17">
        <v>1811.9690000000001</v>
      </c>
      <c r="BR33" s="17">
        <v>1752.7619999999999</v>
      </c>
      <c r="BS33" s="17">
        <v>1679.9059999999999</v>
      </c>
      <c r="BT33" s="17">
        <v>1598.155</v>
      </c>
      <c r="BU33" s="17">
        <v>1515.9690000000001</v>
      </c>
      <c r="BV33" s="17">
        <v>1430.5039999999999</v>
      </c>
      <c r="BW33" s="17">
        <v>1350.598</v>
      </c>
      <c r="BX33" s="17">
        <v>1281.1310000000001</v>
      </c>
      <c r="BY33" s="17">
        <v>1217.248</v>
      </c>
      <c r="BZ33" s="17">
        <v>1151.884</v>
      </c>
      <c r="CA33" s="17">
        <v>1089.653</v>
      </c>
      <c r="CB33" s="17">
        <v>1013.395</v>
      </c>
      <c r="CC33" s="17">
        <v>914.88699999999994</v>
      </c>
      <c r="CD33" s="17">
        <v>804.05899999999997</v>
      </c>
      <c r="CE33" s="17">
        <v>697.52599999999995</v>
      </c>
      <c r="CF33" s="17">
        <v>590.12199999999996</v>
      </c>
      <c r="CG33" s="17">
        <v>501.90800000000002</v>
      </c>
      <c r="CH33" s="17">
        <v>443.96199999999999</v>
      </c>
      <c r="CI33" s="17">
        <v>406.34</v>
      </c>
      <c r="CJ33" s="17">
        <v>368.541</v>
      </c>
      <c r="CK33" s="17">
        <v>336.73899999999998</v>
      </c>
      <c r="CL33" s="17">
        <v>300.71600000000001</v>
      </c>
      <c r="CM33" s="17">
        <v>254.11099999999999</v>
      </c>
      <c r="CN33" s="17">
        <v>201.52099999999999</v>
      </c>
      <c r="CO33" s="17">
        <v>151.37799999999999</v>
      </c>
      <c r="CP33" s="17">
        <v>114.852</v>
      </c>
      <c r="CQ33" s="17">
        <v>95.278999999999996</v>
      </c>
      <c r="CR33" s="17">
        <v>72.292000000000002</v>
      </c>
      <c r="CS33" s="17">
        <v>45.890999999999998</v>
      </c>
      <c r="CT33" s="17">
        <v>33.527000000000001</v>
      </c>
      <c r="CU33" s="17">
        <v>26.609000000000002</v>
      </c>
      <c r="CV33" s="17">
        <v>18.777999999999999</v>
      </c>
      <c r="CW33" s="17">
        <v>10.034000000000001</v>
      </c>
      <c r="CX33" s="17">
        <v>14.952999999999999</v>
      </c>
      <c r="CY33" s="3">
        <f t="shared" si="87"/>
        <v>231636.065</v>
      </c>
      <c r="CZ33" s="21">
        <f t="shared" si="3"/>
        <v>167629.37199999997</v>
      </c>
      <c r="DA33">
        <f t="shared" si="4"/>
        <v>2.5565800007888835E-2</v>
      </c>
      <c r="DB33">
        <f t="shared" si="5"/>
        <v>2.585514070887291E-2</v>
      </c>
      <c r="DC33">
        <f t="shared" si="6"/>
        <v>2.5956364019546652E-2</v>
      </c>
      <c r="DD33">
        <f t="shared" si="7"/>
        <v>2.6027640311150249E-2</v>
      </c>
      <c r="DE33">
        <f t="shared" si="8"/>
        <v>2.6052970000985276E-2</v>
      </c>
      <c r="DF33">
        <f t="shared" si="9"/>
        <v>2.594613311562129E-2</v>
      </c>
      <c r="DG33">
        <f t="shared" si="10"/>
        <v>2.5685057150962781E-2</v>
      </c>
      <c r="DH33">
        <f t="shared" si="11"/>
        <v>2.5306173669850655E-2</v>
      </c>
      <c r="DI33">
        <f t="shared" si="12"/>
        <v>2.4859533566706917E-2</v>
      </c>
      <c r="DJ33">
        <f t="shared" si="13"/>
        <v>2.4324931551971695E-2</v>
      </c>
      <c r="DK33">
        <f t="shared" si="14"/>
        <v>2.3811381933710286E-2</v>
      </c>
      <c r="DL33">
        <f t="shared" si="15"/>
        <v>2.3375020458825085E-2</v>
      </c>
      <c r="DM33">
        <f t="shared" si="16"/>
        <v>2.2964263088690689E-2</v>
      </c>
      <c r="DN33">
        <f t="shared" si="17"/>
        <v>2.2502607717220346E-2</v>
      </c>
      <c r="DO33">
        <f t="shared" si="18"/>
        <v>2.2042783767035772E-2</v>
      </c>
      <c r="DP33">
        <f t="shared" si="19"/>
        <v>2.1399358341567972E-2</v>
      </c>
      <c r="DQ33">
        <f t="shared" si="20"/>
        <v>2.0484429184641939E-2</v>
      </c>
      <c r="DR33">
        <f t="shared" si="21"/>
        <v>1.9408591472859543E-2</v>
      </c>
      <c r="DS33">
        <f t="shared" si="22"/>
        <v>1.8365492653638293E-2</v>
      </c>
      <c r="DT33">
        <f t="shared" si="23"/>
        <v>1.7310623820746641E-2</v>
      </c>
      <c r="DU33">
        <f t="shared" si="24"/>
        <v>1.6415577814131527E-2</v>
      </c>
      <c r="DV33">
        <f t="shared" si="25"/>
        <v>1.5783594297543512E-2</v>
      </c>
      <c r="DW33">
        <f t="shared" si="26"/>
        <v>1.5337807266855359E-2</v>
      </c>
      <c r="DX33">
        <f t="shared" si="27"/>
        <v>1.4899441369976618E-2</v>
      </c>
      <c r="DY33">
        <f t="shared" si="28"/>
        <v>1.4505858794245203E-2</v>
      </c>
      <c r="DZ33">
        <f t="shared" si="29"/>
        <v>1.4157459230951486E-2</v>
      </c>
      <c r="EA33">
        <f t="shared" si="30"/>
        <v>1.3837097713400729E-2</v>
      </c>
      <c r="EB33">
        <f t="shared" si="31"/>
        <v>1.3558423400882277E-2</v>
      </c>
      <c r="EC33">
        <f t="shared" si="32"/>
        <v>1.3332693270484842E-2</v>
      </c>
      <c r="ED33">
        <f t="shared" si="33"/>
        <v>1.3134171975541375E-2</v>
      </c>
      <c r="EE33">
        <f t="shared" si="34"/>
        <v>1.3062490027105755E-2</v>
      </c>
      <c r="EF33">
        <f t="shared" si="35"/>
        <v>1.3160748463580717E-2</v>
      </c>
      <c r="EG33">
        <f t="shared" si="36"/>
        <v>1.3367615551288948E-2</v>
      </c>
      <c r="EH33">
        <f t="shared" si="37"/>
        <v>1.3572824218419195E-2</v>
      </c>
      <c r="EI33">
        <f t="shared" si="38"/>
        <v>1.3791389733298055E-2</v>
      </c>
      <c r="EJ33">
        <f t="shared" si="39"/>
        <v>1.3956140096975369E-2</v>
      </c>
      <c r="EK33">
        <f t="shared" si="40"/>
        <v>1.4020090703435914E-2</v>
      </c>
      <c r="EL33">
        <f t="shared" si="41"/>
        <v>1.4004812951276821E-2</v>
      </c>
      <c r="EM33">
        <f t="shared" si="42"/>
        <v>1.3991456103528206E-2</v>
      </c>
      <c r="EN33">
        <f t="shared" si="43"/>
        <v>1.3978910569443642E-2</v>
      </c>
      <c r="EO33">
        <f t="shared" si="44"/>
        <v>1.3855346305300246E-2</v>
      </c>
      <c r="EP33">
        <f t="shared" si="45"/>
        <v>1.3578008274110818E-2</v>
      </c>
      <c r="EQ33">
        <f t="shared" si="46"/>
        <v>1.3196404506007458E-2</v>
      </c>
      <c r="ER33">
        <f t="shared" si="47"/>
        <v>1.2797476804959936E-2</v>
      </c>
      <c r="ES33">
        <f t="shared" si="48"/>
        <v>1.2357404763170026E-2</v>
      </c>
      <c r="ET33">
        <f t="shared" si="49"/>
        <v>1.1960177241492023E-2</v>
      </c>
      <c r="EU33">
        <f t="shared" si="50"/>
        <v>1.165432392122784E-2</v>
      </c>
      <c r="EV33">
        <f t="shared" si="51"/>
        <v>1.1398575185260496E-2</v>
      </c>
      <c r="EW33">
        <f t="shared" si="52"/>
        <v>1.1108972000443933E-2</v>
      </c>
      <c r="EX33">
        <f t="shared" si="53"/>
        <v>1.0809376533367913E-2</v>
      </c>
      <c r="EY33">
        <f t="shared" si="54"/>
        <v>1.0456174709048008E-2</v>
      </c>
      <c r="EZ33">
        <f t="shared" si="55"/>
        <v>1.0021549206782211E-2</v>
      </c>
      <c r="FA33">
        <f t="shared" si="56"/>
        <v>9.533860211562448E-3</v>
      </c>
      <c r="FB33">
        <f t="shared" si="57"/>
        <v>9.0435762057260484E-3</v>
      </c>
      <c r="FC33">
        <f t="shared" si="58"/>
        <v>8.5337311888276958E-3</v>
      </c>
      <c r="FD33">
        <f t="shared" si="59"/>
        <v>8.0570486179474578E-3</v>
      </c>
      <c r="FE33">
        <f t="shared" si="60"/>
        <v>7.6426403363248317E-3</v>
      </c>
      <c r="FF33">
        <f t="shared" si="61"/>
        <v>7.2615436392615028E-3</v>
      </c>
      <c r="FG33">
        <f t="shared" si="62"/>
        <v>6.8716119750183175E-3</v>
      </c>
      <c r="FH33">
        <f t="shared" si="63"/>
        <v>6.5003703527565576E-3</v>
      </c>
      <c r="FI33">
        <f t="shared" si="64"/>
        <v>6.0454500778061747E-3</v>
      </c>
      <c r="FJ33">
        <f t="shared" si="65"/>
        <v>5.4577965012002792E-3</v>
      </c>
      <c r="FK33">
        <f t="shared" si="66"/>
        <v>4.79664745149794E-3</v>
      </c>
      <c r="FL33">
        <f t="shared" si="67"/>
        <v>4.1611204031713495E-3</v>
      </c>
      <c r="FM33">
        <f t="shared" si="68"/>
        <v>3.5203973680698396E-3</v>
      </c>
      <c r="FN33">
        <f t="shared" si="69"/>
        <v>2.9941530771826794E-3</v>
      </c>
      <c r="FO33">
        <f t="shared" si="70"/>
        <v>2.6484738008801943E-3</v>
      </c>
      <c r="FP33">
        <f t="shared" si="71"/>
        <v>2.4240381930202546E-3</v>
      </c>
      <c r="FQ33">
        <f t="shared" si="72"/>
        <v>2.1985466842887181E-3</v>
      </c>
      <c r="FR33">
        <f t="shared" si="73"/>
        <v>2.0088305288168714E-3</v>
      </c>
      <c r="FS33">
        <f t="shared" si="74"/>
        <v>1.793933822051186E-3</v>
      </c>
      <c r="FT33">
        <f t="shared" si="75"/>
        <v>1.5159097535723037E-3</v>
      </c>
      <c r="FU33">
        <f t="shared" si="76"/>
        <v>1.2021819183335007E-3</v>
      </c>
      <c r="FV33">
        <f t="shared" si="77"/>
        <v>9.0305176350598043E-4</v>
      </c>
      <c r="FW33">
        <f t="shared" si="78"/>
        <v>6.8515438929163332E-4</v>
      </c>
      <c r="FX33">
        <f t="shared" si="79"/>
        <v>5.6839084262631497E-4</v>
      </c>
      <c r="FY33">
        <f t="shared" si="80"/>
        <v>4.3126093677664089E-4</v>
      </c>
      <c r="FZ33">
        <f t="shared" si="81"/>
        <v>2.7376467174261088E-4</v>
      </c>
      <c r="GA33">
        <f t="shared" si="82"/>
        <v>2.000067148136784E-4</v>
      </c>
      <c r="GB33">
        <f t="shared" si="83"/>
        <v>1.5873709769669724E-4</v>
      </c>
      <c r="GC33">
        <f t="shared" si="84"/>
        <v>1.1202094105560451E-4</v>
      </c>
      <c r="GD33">
        <f t="shared" si="85"/>
        <v>5.9858244890400244E-5</v>
      </c>
      <c r="GE33">
        <f t="shared" si="86"/>
        <v>8.9202744254151368E-5</v>
      </c>
    </row>
    <row r="34" spans="1:187">
      <c r="A34" s="4">
        <v>1982</v>
      </c>
      <c r="B34" s="17">
        <v>3493.4859999999999</v>
      </c>
      <c r="C34" s="17">
        <v>3429.366</v>
      </c>
      <c r="D34" s="17">
        <v>3393.8020000000001</v>
      </c>
      <c r="E34" s="17">
        <v>3350.3989999999999</v>
      </c>
      <c r="F34" s="17">
        <v>3322.9830000000002</v>
      </c>
      <c r="G34" s="17">
        <v>3310.7779999999998</v>
      </c>
      <c r="H34" s="17">
        <v>3313.0059999999999</v>
      </c>
      <c r="I34" s="17">
        <v>3328.5189999999998</v>
      </c>
      <c r="J34" s="17">
        <v>3356.1709999999998</v>
      </c>
      <c r="K34" s="17">
        <v>3397.0410000000002</v>
      </c>
      <c r="L34" s="17">
        <v>3451.096</v>
      </c>
      <c r="M34" s="17">
        <v>3516.442</v>
      </c>
      <c r="N34" s="17">
        <v>3586.8</v>
      </c>
      <c r="O34" s="17">
        <v>3658.1129999999998</v>
      </c>
      <c r="P34" s="17">
        <v>3745.9929999999999</v>
      </c>
      <c r="Q34" s="17">
        <v>3855.8490000000002</v>
      </c>
      <c r="R34" s="17">
        <v>3976.6990000000001</v>
      </c>
      <c r="S34" s="17">
        <v>4092.2379999999998</v>
      </c>
      <c r="T34" s="17">
        <v>4205.8320000000003</v>
      </c>
      <c r="U34" s="17">
        <v>4293.7730000000001</v>
      </c>
      <c r="V34" s="17">
        <v>4342.6120000000001</v>
      </c>
      <c r="W34" s="17">
        <v>4361.4579999999996</v>
      </c>
      <c r="X34" s="17">
        <v>4374.8890000000001</v>
      </c>
      <c r="Y34" s="17">
        <v>4380.4129999999996</v>
      </c>
      <c r="Z34" s="17">
        <v>4363.9340000000002</v>
      </c>
      <c r="AA34" s="17">
        <v>4321.67</v>
      </c>
      <c r="AB34" s="17">
        <v>4259.5069999999996</v>
      </c>
      <c r="AC34" s="17">
        <v>4186.0789999999997</v>
      </c>
      <c r="AD34" s="17">
        <v>4098.415</v>
      </c>
      <c r="AE34" s="17">
        <v>4011.8850000000002</v>
      </c>
      <c r="AF34" s="17">
        <v>3934.625</v>
      </c>
      <c r="AG34" s="17">
        <v>3859.482</v>
      </c>
      <c r="AH34" s="17">
        <v>3776.09</v>
      </c>
      <c r="AI34" s="17">
        <v>3692.4259999999999</v>
      </c>
      <c r="AJ34" s="17">
        <v>3580.721</v>
      </c>
      <c r="AK34" s="17">
        <v>3428.0219999999999</v>
      </c>
      <c r="AL34" s="17">
        <v>3251.165</v>
      </c>
      <c r="AM34" s="17">
        <v>3079.259</v>
      </c>
      <c r="AN34" s="17">
        <v>2905.67</v>
      </c>
      <c r="AO34" s="17">
        <v>2757.3519999999999</v>
      </c>
      <c r="AP34" s="17">
        <v>2650.422</v>
      </c>
      <c r="AQ34" s="17">
        <v>2573.0059999999999</v>
      </c>
      <c r="AR34" s="17">
        <v>2497.2539999999999</v>
      </c>
      <c r="AS34" s="17">
        <v>2428.9079999999999</v>
      </c>
      <c r="AT34" s="17">
        <v>2368.777</v>
      </c>
      <c r="AU34" s="17">
        <v>2314.5390000000002</v>
      </c>
      <c r="AV34" s="17">
        <v>2267.9810000000002</v>
      </c>
      <c r="AW34" s="17">
        <v>2229.98</v>
      </c>
      <c r="AX34" s="17">
        <v>2196.4789999999998</v>
      </c>
      <c r="AY34" s="17">
        <v>2183.6930000000002</v>
      </c>
      <c r="AZ34" s="17">
        <v>2198.5239999999999</v>
      </c>
      <c r="BA34" s="17">
        <v>2230.9780000000001</v>
      </c>
      <c r="BB34" s="17">
        <v>2263.2579999999998</v>
      </c>
      <c r="BC34" s="17">
        <v>2297.8359999999998</v>
      </c>
      <c r="BD34" s="17">
        <v>2323.2089999999998</v>
      </c>
      <c r="BE34" s="17">
        <v>2331.4850000000001</v>
      </c>
      <c r="BF34" s="17">
        <v>2326.4169999999999</v>
      </c>
      <c r="BG34" s="17">
        <v>2321.538</v>
      </c>
      <c r="BH34" s="17">
        <v>2316.4079999999999</v>
      </c>
      <c r="BI34" s="17">
        <v>2293.8240000000001</v>
      </c>
      <c r="BJ34" s="17">
        <v>2247.297</v>
      </c>
      <c r="BK34" s="17">
        <v>2184.2979999999998</v>
      </c>
      <c r="BL34" s="17">
        <v>2118.2310000000002</v>
      </c>
      <c r="BM34" s="17">
        <v>2045.739</v>
      </c>
      <c r="BN34" s="17">
        <v>1978.171</v>
      </c>
      <c r="BO34" s="17">
        <v>1922.318</v>
      </c>
      <c r="BP34" s="17">
        <v>1872.7139999999999</v>
      </c>
      <c r="BQ34" s="17">
        <v>1817.8440000000001</v>
      </c>
      <c r="BR34" s="17">
        <v>1760.8989999999999</v>
      </c>
      <c r="BS34" s="17">
        <v>1697.2439999999999</v>
      </c>
      <c r="BT34" s="17">
        <v>1623.704</v>
      </c>
      <c r="BU34" s="17">
        <v>1543.6310000000001</v>
      </c>
      <c r="BV34" s="17">
        <v>1462.8689999999999</v>
      </c>
      <c r="BW34" s="17">
        <v>1379.432</v>
      </c>
      <c r="BX34" s="17">
        <v>1299.8630000000001</v>
      </c>
      <c r="BY34" s="17">
        <v>1227.7449999999999</v>
      </c>
      <c r="BZ34" s="17">
        <v>1159.556</v>
      </c>
      <c r="CA34" s="17">
        <v>1090.6020000000001</v>
      </c>
      <c r="CB34" s="17">
        <v>1024.7190000000001</v>
      </c>
      <c r="CC34" s="17">
        <v>947.17899999999997</v>
      </c>
      <c r="CD34" s="17">
        <v>851.11400000000003</v>
      </c>
      <c r="CE34" s="17">
        <v>745.12699999999995</v>
      </c>
      <c r="CF34" s="17">
        <v>643.279</v>
      </c>
      <c r="CG34" s="17">
        <v>541.072</v>
      </c>
      <c r="CH34" s="17">
        <v>456.916</v>
      </c>
      <c r="CI34" s="17">
        <v>400.863</v>
      </c>
      <c r="CJ34" s="17">
        <v>363.86900000000003</v>
      </c>
      <c r="CK34" s="17">
        <v>327.08199999999999</v>
      </c>
      <c r="CL34" s="17">
        <v>297.452</v>
      </c>
      <c r="CM34" s="17">
        <v>263.97000000000003</v>
      </c>
      <c r="CN34" s="17">
        <v>220.51900000000001</v>
      </c>
      <c r="CO34" s="17">
        <v>170.547</v>
      </c>
      <c r="CP34" s="17">
        <v>126.23699999999999</v>
      </c>
      <c r="CQ34" s="17">
        <v>96.933000000000007</v>
      </c>
      <c r="CR34" s="17">
        <v>80.064999999999998</v>
      </c>
      <c r="CS34" s="17">
        <v>60.357999999999997</v>
      </c>
      <c r="CT34" s="17">
        <v>37.811999999999998</v>
      </c>
      <c r="CU34" s="17">
        <v>28.445</v>
      </c>
      <c r="CV34" s="17">
        <v>20.120999999999999</v>
      </c>
      <c r="CW34" s="17">
        <v>10.861000000000001</v>
      </c>
      <c r="CX34" s="17">
        <v>16.577999999999999</v>
      </c>
      <c r="CY34" s="3">
        <f t="shared" si="87"/>
        <v>233821.85100000005</v>
      </c>
      <c r="CZ34" s="21">
        <f t="shared" si="3"/>
        <v>170243.07000000012</v>
      </c>
      <c r="DA34">
        <f t="shared" si="4"/>
        <v>2.4704864638542979E-2</v>
      </c>
      <c r="DB34">
        <f t="shared" si="5"/>
        <v>2.5221426046886944E-2</v>
      </c>
      <c r="DC34">
        <f t="shared" si="6"/>
        <v>2.5508304097194658E-2</v>
      </c>
      <c r="DD34">
        <f t="shared" si="7"/>
        <v>2.5619004638485411E-2</v>
      </c>
      <c r="DE34">
        <f t="shared" si="8"/>
        <v>2.5697897717657448E-2</v>
      </c>
      <c r="DF34">
        <f t="shared" si="9"/>
        <v>2.5730345440786496E-2</v>
      </c>
      <c r="DG34">
        <f t="shared" si="10"/>
        <v>2.5633548549142099E-2</v>
      </c>
      <c r="DH34">
        <f t="shared" si="11"/>
        <v>2.5385291747852038E-2</v>
      </c>
      <c r="DI34">
        <f t="shared" si="12"/>
        <v>2.502014913147417E-2</v>
      </c>
      <c r="DJ34">
        <f t="shared" si="13"/>
        <v>2.4588836420771764E-2</v>
      </c>
      <c r="DK34">
        <f t="shared" si="14"/>
        <v>2.4073902097747631E-2</v>
      </c>
      <c r="DL34">
        <f t="shared" si="15"/>
        <v>2.3565628838812629E-2</v>
      </c>
      <c r="DM34">
        <f t="shared" si="16"/>
        <v>2.3111807135526852E-2</v>
      </c>
      <c r="DN34">
        <f t="shared" si="17"/>
        <v>2.2670420593331624E-2</v>
      </c>
      <c r="DO34">
        <f t="shared" si="18"/>
        <v>2.2180579802749078E-2</v>
      </c>
      <c r="DP34">
        <f t="shared" si="19"/>
        <v>2.1689141296617812E-2</v>
      </c>
      <c r="DQ34">
        <f t="shared" si="20"/>
        <v>2.1032991240113312E-2</v>
      </c>
      <c r="DR34">
        <f t="shared" si="21"/>
        <v>2.0136044304182234E-2</v>
      </c>
      <c r="DS34">
        <f t="shared" si="22"/>
        <v>1.9097194382126672E-2</v>
      </c>
      <c r="DT34">
        <f t="shared" si="23"/>
        <v>1.8087426407430256E-2</v>
      </c>
      <c r="DU34">
        <f t="shared" si="24"/>
        <v>1.7067772567776168E-2</v>
      </c>
      <c r="DV34">
        <f t="shared" si="25"/>
        <v>1.6196559425297005E-2</v>
      </c>
      <c r="DW34">
        <f t="shared" si="26"/>
        <v>1.5568457500208367E-2</v>
      </c>
      <c r="DX34">
        <f t="shared" si="27"/>
        <v>1.5113719460063766E-2</v>
      </c>
      <c r="DY34">
        <f t="shared" si="28"/>
        <v>1.4668755679746601E-2</v>
      </c>
      <c r="DZ34">
        <f t="shared" si="29"/>
        <v>1.4267294404406583E-2</v>
      </c>
      <c r="EA34">
        <f t="shared" si="30"/>
        <v>1.3914087663010296E-2</v>
      </c>
      <c r="EB34">
        <f t="shared" si="31"/>
        <v>1.359549613385143E-2</v>
      </c>
      <c r="EC34">
        <f t="shared" si="32"/>
        <v>1.3322016573126875E-2</v>
      </c>
      <c r="ED34">
        <f t="shared" si="33"/>
        <v>1.3098800438690389E-2</v>
      </c>
      <c r="EE34">
        <f t="shared" si="34"/>
        <v>1.2902017098258381E-2</v>
      </c>
      <c r="EF34">
        <f t="shared" si="35"/>
        <v>1.2826912719560324E-2</v>
      </c>
      <c r="EG34">
        <f t="shared" si="36"/>
        <v>1.2914029334644859E-2</v>
      </c>
      <c r="EH34">
        <f t="shared" si="37"/>
        <v>1.3104662645005158E-2</v>
      </c>
      <c r="EI34">
        <f t="shared" si="38"/>
        <v>1.3294273887330616E-2</v>
      </c>
      <c r="EJ34">
        <f t="shared" si="39"/>
        <v>1.3497383476461029E-2</v>
      </c>
      <c r="EK34">
        <f t="shared" si="40"/>
        <v>1.3646423316966723E-2</v>
      </c>
      <c r="EL34">
        <f t="shared" si="41"/>
        <v>1.3695036162118073E-2</v>
      </c>
      <c r="EM34">
        <f t="shared" si="42"/>
        <v>1.3665266962114805E-2</v>
      </c>
      <c r="EN34">
        <f t="shared" si="43"/>
        <v>1.3636607939459729E-2</v>
      </c>
      <c r="EO34">
        <f t="shared" si="44"/>
        <v>1.3606474554294623E-2</v>
      </c>
      <c r="EP34">
        <f t="shared" si="45"/>
        <v>1.3473817172117481E-2</v>
      </c>
      <c r="EQ34">
        <f t="shared" si="46"/>
        <v>1.3200519703973844E-2</v>
      </c>
      <c r="ER34">
        <f t="shared" si="47"/>
        <v>1.2830466461865368E-2</v>
      </c>
      <c r="ES34">
        <f t="shared" si="48"/>
        <v>1.2442391928200066E-2</v>
      </c>
      <c r="ET34">
        <f t="shared" si="49"/>
        <v>1.2016577238650586E-2</v>
      </c>
      <c r="EU34">
        <f t="shared" si="50"/>
        <v>1.1619685899696232E-2</v>
      </c>
      <c r="EV34">
        <f t="shared" si="51"/>
        <v>1.1291607934466869E-2</v>
      </c>
      <c r="EW34">
        <f t="shared" si="52"/>
        <v>1.1000236309178391E-2</v>
      </c>
      <c r="EX34">
        <f t="shared" si="53"/>
        <v>1.0677932440950453E-2</v>
      </c>
      <c r="EY34">
        <f t="shared" si="54"/>
        <v>1.0343440117709336E-2</v>
      </c>
      <c r="EZ34">
        <f t="shared" si="55"/>
        <v>9.9695335616304306E-3</v>
      </c>
      <c r="FA34">
        <f t="shared" si="56"/>
        <v>9.537562968055021E-3</v>
      </c>
      <c r="FB34">
        <f t="shared" si="57"/>
        <v>9.0672178315393329E-3</v>
      </c>
      <c r="FC34">
        <f t="shared" si="58"/>
        <v>8.5928255405638473E-3</v>
      </c>
      <c r="FD34">
        <f t="shared" si="59"/>
        <v>8.1027204220412551E-3</v>
      </c>
      <c r="FE34">
        <f t="shared" si="60"/>
        <v>7.6353357584540687E-3</v>
      </c>
      <c r="FF34">
        <f t="shared" si="61"/>
        <v>7.2117179277840738E-3</v>
      </c>
      <c r="FG34">
        <f t="shared" si="62"/>
        <v>6.8111788632571014E-3</v>
      </c>
      <c r="FH34">
        <f t="shared" si="63"/>
        <v>6.4061462237493677E-3</v>
      </c>
      <c r="FI34">
        <f t="shared" si="64"/>
        <v>6.0191524976611344E-3</v>
      </c>
      <c r="FJ34">
        <f t="shared" si="65"/>
        <v>5.5636860871928545E-3</v>
      </c>
      <c r="FK34">
        <f t="shared" si="66"/>
        <v>4.9994046747394733E-3</v>
      </c>
      <c r="FL34">
        <f t="shared" si="67"/>
        <v>4.3768418884833279E-3</v>
      </c>
      <c r="FM34">
        <f t="shared" si="68"/>
        <v>3.7785913987570803E-3</v>
      </c>
      <c r="FN34">
        <f t="shared" si="69"/>
        <v>3.1782321594646971E-3</v>
      </c>
      <c r="FO34">
        <f t="shared" si="70"/>
        <v>2.6839036678556116E-3</v>
      </c>
      <c r="FP34">
        <f t="shared" si="71"/>
        <v>2.3546509117816057E-3</v>
      </c>
      <c r="FQ34">
        <f t="shared" si="72"/>
        <v>2.1373498492479005E-3</v>
      </c>
      <c r="FR34">
        <f t="shared" si="73"/>
        <v>1.9212646952384009E-3</v>
      </c>
      <c r="FS34">
        <f t="shared" si="74"/>
        <v>1.7472194316044687E-3</v>
      </c>
      <c r="FT34">
        <f t="shared" si="75"/>
        <v>1.5505476963027032E-3</v>
      </c>
      <c r="FU34">
        <f t="shared" si="76"/>
        <v>1.2953185113496828E-3</v>
      </c>
      <c r="FV34">
        <f t="shared" si="77"/>
        <v>1.0017852709070618E-3</v>
      </c>
      <c r="FW34">
        <f t="shared" si="78"/>
        <v>7.4151035927629775E-4</v>
      </c>
      <c r="FX34">
        <f t="shared" si="79"/>
        <v>5.6938000471913445E-4</v>
      </c>
      <c r="FY34">
        <f t="shared" si="80"/>
        <v>4.7029814488190293E-4</v>
      </c>
      <c r="FZ34">
        <f t="shared" si="81"/>
        <v>3.5454012900495719E-4</v>
      </c>
      <c r="GA34">
        <f t="shared" si="82"/>
        <v>2.2210595708829715E-4</v>
      </c>
      <c r="GB34">
        <f t="shared" si="83"/>
        <v>1.6708462787941959E-4</v>
      </c>
      <c r="GC34">
        <f t="shared" si="84"/>
        <v>1.1818983292535774E-4</v>
      </c>
      <c r="GD34">
        <f t="shared" si="85"/>
        <v>6.3797016818364436E-5</v>
      </c>
      <c r="GE34">
        <f t="shared" si="86"/>
        <v>9.7378413112498422E-5</v>
      </c>
    </row>
    <row r="35" spans="1:187">
      <c r="A35" s="4">
        <v>1983</v>
      </c>
      <c r="B35" s="17">
        <v>3565.2730000000001</v>
      </c>
      <c r="C35" s="17">
        <v>3490.3739999999998</v>
      </c>
      <c r="D35" s="17">
        <v>3429.85</v>
      </c>
      <c r="E35" s="17">
        <v>3394.384</v>
      </c>
      <c r="F35" s="17">
        <v>3357.0619999999999</v>
      </c>
      <c r="G35" s="17">
        <v>3334.36</v>
      </c>
      <c r="H35" s="17">
        <v>3325.6680000000001</v>
      </c>
      <c r="I35" s="17">
        <v>3330.375</v>
      </c>
      <c r="J35" s="17">
        <v>3347.3130000000001</v>
      </c>
      <c r="K35" s="17">
        <v>3375.317</v>
      </c>
      <c r="L35" s="17">
        <v>3416.56</v>
      </c>
      <c r="M35" s="17">
        <v>3471.55</v>
      </c>
      <c r="N35" s="17">
        <v>3538.002</v>
      </c>
      <c r="O35" s="17">
        <v>3608.922</v>
      </c>
      <c r="P35" s="17">
        <v>3680.6579999999999</v>
      </c>
      <c r="Q35" s="17">
        <v>3767.806</v>
      </c>
      <c r="R35" s="17">
        <v>3875.28</v>
      </c>
      <c r="S35" s="17">
        <v>3992.7890000000002</v>
      </c>
      <c r="T35" s="17">
        <v>4105.0770000000002</v>
      </c>
      <c r="U35" s="17">
        <v>4215.1310000000003</v>
      </c>
      <c r="V35" s="17">
        <v>4301</v>
      </c>
      <c r="W35" s="17">
        <v>4350.1629999999996</v>
      </c>
      <c r="X35" s="17">
        <v>4370.88</v>
      </c>
      <c r="Y35" s="17">
        <v>4385.79</v>
      </c>
      <c r="Z35" s="17">
        <v>4392.5860000000002</v>
      </c>
      <c r="AA35" s="17">
        <v>4377.5379999999996</v>
      </c>
      <c r="AB35" s="17">
        <v>4336.7820000000002</v>
      </c>
      <c r="AC35" s="17">
        <v>4275.9809999999998</v>
      </c>
      <c r="AD35" s="17">
        <v>4204.0119999999997</v>
      </c>
      <c r="AE35" s="17">
        <v>4118.317</v>
      </c>
      <c r="AF35" s="17">
        <v>4031.36</v>
      </c>
      <c r="AG35" s="17">
        <v>3950.0030000000002</v>
      </c>
      <c r="AH35" s="17">
        <v>3868.585</v>
      </c>
      <c r="AI35" s="17">
        <v>3779.2049999999999</v>
      </c>
      <c r="AJ35" s="17">
        <v>3688.9740000000002</v>
      </c>
      <c r="AK35" s="17">
        <v>3573.4459999999999</v>
      </c>
      <c r="AL35" s="17">
        <v>3421.4490000000001</v>
      </c>
      <c r="AM35" s="17">
        <v>3248.1149999999998</v>
      </c>
      <c r="AN35" s="17">
        <v>3079.1959999999999</v>
      </c>
      <c r="AO35" s="17">
        <v>2908.8820000000001</v>
      </c>
      <c r="AP35" s="17">
        <v>2762.317</v>
      </c>
      <c r="AQ35" s="17">
        <v>2654.4250000000002</v>
      </c>
      <c r="AR35" s="17">
        <v>2574.3420000000001</v>
      </c>
      <c r="AS35" s="17">
        <v>2496.3409999999999</v>
      </c>
      <c r="AT35" s="17">
        <v>2425.645</v>
      </c>
      <c r="AU35" s="17">
        <v>2363.8009999999999</v>
      </c>
      <c r="AV35" s="17">
        <v>2309.0369999999998</v>
      </c>
      <c r="AW35" s="17">
        <v>2262.6419999999998</v>
      </c>
      <c r="AX35" s="17">
        <v>2224.4859999999999</v>
      </c>
      <c r="AY35" s="17">
        <v>2190.7660000000001</v>
      </c>
      <c r="AZ35" s="17">
        <v>2177.2109999999998</v>
      </c>
      <c r="BA35" s="17">
        <v>2190.3960000000002</v>
      </c>
      <c r="BB35" s="17">
        <v>2220.6170000000002</v>
      </c>
      <c r="BC35" s="17">
        <v>2250.77</v>
      </c>
      <c r="BD35" s="17">
        <v>2283.2759999999998</v>
      </c>
      <c r="BE35" s="17">
        <v>2306.4</v>
      </c>
      <c r="BF35" s="17">
        <v>2312.2280000000001</v>
      </c>
      <c r="BG35" s="17">
        <v>2304.652</v>
      </c>
      <c r="BH35" s="17">
        <v>2297.1329999999998</v>
      </c>
      <c r="BI35" s="17">
        <v>2288.9740000000002</v>
      </c>
      <c r="BJ35" s="17">
        <v>2264.5219999999999</v>
      </c>
      <c r="BK35" s="17">
        <v>2217.9679999999998</v>
      </c>
      <c r="BL35" s="17">
        <v>2155.9540000000002</v>
      </c>
      <c r="BM35" s="17">
        <v>2090.7060000000001</v>
      </c>
      <c r="BN35" s="17">
        <v>2019.5050000000001</v>
      </c>
      <c r="BO35" s="17">
        <v>1950.972</v>
      </c>
      <c r="BP35" s="17">
        <v>1890.546</v>
      </c>
      <c r="BQ35" s="17">
        <v>1834.22</v>
      </c>
      <c r="BR35" s="17">
        <v>1773.0350000000001</v>
      </c>
      <c r="BS35" s="17">
        <v>1709.3789999999999</v>
      </c>
      <c r="BT35" s="17">
        <v>1641.287</v>
      </c>
      <c r="BU35" s="17">
        <v>1567.077</v>
      </c>
      <c r="BV35" s="17">
        <v>1488.6990000000001</v>
      </c>
      <c r="BW35" s="17">
        <v>1409.374</v>
      </c>
      <c r="BX35" s="17">
        <v>1327.981</v>
      </c>
      <c r="BY35" s="17">
        <v>1248.7660000000001</v>
      </c>
      <c r="BZ35" s="17">
        <v>1174.0139999999999</v>
      </c>
      <c r="CA35" s="17">
        <v>1101.5360000000001</v>
      </c>
      <c r="CB35" s="17">
        <v>1029.011</v>
      </c>
      <c r="CC35" s="17">
        <v>959.49300000000005</v>
      </c>
      <c r="CD35" s="17">
        <v>880.69200000000001</v>
      </c>
      <c r="CE35" s="17">
        <v>787.09500000000003</v>
      </c>
      <c r="CF35" s="17">
        <v>685.97400000000005</v>
      </c>
      <c r="CG35" s="17">
        <v>588.83699999999999</v>
      </c>
      <c r="CH35" s="17">
        <v>491.85300000000001</v>
      </c>
      <c r="CI35" s="17">
        <v>411.77800000000002</v>
      </c>
      <c r="CJ35" s="17">
        <v>357.63299999999998</v>
      </c>
      <c r="CK35" s="17">
        <v>321.279</v>
      </c>
      <c r="CL35" s="17">
        <v>285.51499999999999</v>
      </c>
      <c r="CM35" s="17">
        <v>258.06799999999998</v>
      </c>
      <c r="CN35" s="17">
        <v>227.13800000000001</v>
      </c>
      <c r="CO35" s="17">
        <v>186.85400000000001</v>
      </c>
      <c r="CP35" s="17">
        <v>139.51599999999999</v>
      </c>
      <c r="CQ35" s="17">
        <v>101.054</v>
      </c>
      <c r="CR35" s="17">
        <v>78.978999999999999</v>
      </c>
      <c r="CS35" s="17">
        <v>64.823999999999998</v>
      </c>
      <c r="CT35" s="17">
        <v>48.405000000000001</v>
      </c>
      <c r="CU35" s="17">
        <v>29.719000000000001</v>
      </c>
      <c r="CV35" s="17">
        <v>21.478999999999999</v>
      </c>
      <c r="CW35" s="17">
        <v>11.712999999999999</v>
      </c>
      <c r="CX35" s="17">
        <v>18.312000000000001</v>
      </c>
      <c r="CY35" s="3">
        <f t="shared" si="87"/>
        <v>236030.23599999998</v>
      </c>
      <c r="CZ35" s="21">
        <f t="shared" si="3"/>
        <v>172728.69299999997</v>
      </c>
      <c r="DA35">
        <f t="shared" si="4"/>
        <v>2.3766039843768173E-2</v>
      </c>
      <c r="DB35">
        <f t="shared" si="5"/>
        <v>2.4403189341564699E-2</v>
      </c>
      <c r="DC35">
        <f t="shared" si="6"/>
        <v>2.4900321569619015E-2</v>
      </c>
      <c r="DD35">
        <f t="shared" si="7"/>
        <v>2.5184947123984783E-2</v>
      </c>
      <c r="DE35">
        <f t="shared" si="8"/>
        <v>2.5304886664081924E-2</v>
      </c>
      <c r="DF35">
        <f t="shared" si="9"/>
        <v>2.5391207006933127E-2</v>
      </c>
      <c r="DG35">
        <f t="shared" si="10"/>
        <v>2.543055194657208E-2</v>
      </c>
      <c r="DH35">
        <f t="shared" si="11"/>
        <v>2.5343432662921848E-2</v>
      </c>
      <c r="DI35">
        <f t="shared" si="12"/>
        <v>2.5107478813609741E-2</v>
      </c>
      <c r="DJ35">
        <f t="shared" si="13"/>
        <v>2.4755475918526174E-2</v>
      </c>
      <c r="DK35">
        <f t="shared" si="14"/>
        <v>2.4338816712982367E-2</v>
      </c>
      <c r="DL35">
        <f t="shared" si="15"/>
        <v>2.3842691845065954E-2</v>
      </c>
      <c r="DM35">
        <f t="shared" si="16"/>
        <v>2.3339260721436716E-2</v>
      </c>
      <c r="DN35">
        <f t="shared" si="17"/>
        <v>2.2868250383854875E-2</v>
      </c>
      <c r="DO35">
        <f t="shared" si="18"/>
        <v>2.239688689128216E-2</v>
      </c>
      <c r="DP35">
        <f t="shared" si="19"/>
        <v>2.1879427988261341E-2</v>
      </c>
      <c r="DQ35">
        <f t="shared" si="20"/>
        <v>2.1357042283646533E-2</v>
      </c>
      <c r="DR35">
        <f t="shared" si="21"/>
        <v>2.0688201467488673E-2</v>
      </c>
      <c r="DS35">
        <f t="shared" si="22"/>
        <v>1.9808226071623206E-2</v>
      </c>
      <c r="DT35">
        <f t="shared" si="23"/>
        <v>1.8804721691491062E-2</v>
      </c>
      <c r="DU35">
        <f t="shared" si="24"/>
        <v>1.7826777627501646E-2</v>
      </c>
      <c r="DV35">
        <f t="shared" si="25"/>
        <v>1.6840757314130782E-2</v>
      </c>
      <c r="DW35">
        <f t="shared" si="26"/>
        <v>1.5992230080731293E-2</v>
      </c>
      <c r="DX35">
        <f t="shared" si="27"/>
        <v>1.5367597322119496E-2</v>
      </c>
      <c r="DY35">
        <f t="shared" si="28"/>
        <v>1.4903962713363439E-2</v>
      </c>
      <c r="DZ35">
        <f t="shared" si="29"/>
        <v>1.4452381689705718E-2</v>
      </c>
      <c r="EA35">
        <f t="shared" si="30"/>
        <v>1.4043092423561616E-2</v>
      </c>
      <c r="EB35">
        <f t="shared" si="31"/>
        <v>1.3685051157076725E-2</v>
      </c>
      <c r="EC35">
        <f t="shared" si="32"/>
        <v>1.3367999027237473E-2</v>
      </c>
      <c r="ED35">
        <f t="shared" si="33"/>
        <v>1.3099398604260846E-2</v>
      </c>
      <c r="EE35">
        <f t="shared" si="34"/>
        <v>1.2878497262756456E-2</v>
      </c>
      <c r="EF35">
        <f t="shared" si="35"/>
        <v>1.2683277815342472E-2</v>
      </c>
      <c r="EG35">
        <f t="shared" si="36"/>
        <v>1.2604802144829523E-2</v>
      </c>
      <c r="EH35">
        <f t="shared" si="37"/>
        <v>1.2681135727692913E-2</v>
      </c>
      <c r="EI35">
        <f t="shared" si="38"/>
        <v>1.2856097973253353E-2</v>
      </c>
      <c r="EJ35">
        <f t="shared" si="39"/>
        <v>1.3030666537840359E-2</v>
      </c>
      <c r="EK35">
        <f t="shared" si="40"/>
        <v>1.3218857621993355E-2</v>
      </c>
      <c r="EL35">
        <f t="shared" si="41"/>
        <v>1.3352732310664799E-2</v>
      </c>
      <c r="EM35">
        <f t="shared" si="42"/>
        <v>1.3386473085858414E-2</v>
      </c>
      <c r="EN35">
        <f t="shared" si="43"/>
        <v>1.3342612393877145E-2</v>
      </c>
      <c r="EO35">
        <f t="shared" si="44"/>
        <v>1.329908169918243E-2</v>
      </c>
      <c r="EP35">
        <f t="shared" si="45"/>
        <v>1.3251845771796587E-2</v>
      </c>
      <c r="EQ35">
        <f t="shared" si="46"/>
        <v>1.3110282725291045E-2</v>
      </c>
      <c r="ER35">
        <f t="shared" si="47"/>
        <v>1.2840761783567715E-2</v>
      </c>
      <c r="ES35">
        <f t="shared" si="48"/>
        <v>1.2481736314649243E-2</v>
      </c>
      <c r="ET35">
        <f t="shared" si="49"/>
        <v>1.2103987841788396E-2</v>
      </c>
      <c r="EU35">
        <f t="shared" si="50"/>
        <v>1.1691774915473947E-2</v>
      </c>
      <c r="EV35">
        <f t="shared" si="51"/>
        <v>1.1295008177940652E-2</v>
      </c>
      <c r="EW35">
        <f t="shared" si="52"/>
        <v>1.094517631763705E-2</v>
      </c>
      <c r="EX35">
        <f t="shared" si="53"/>
        <v>1.0619081104261007E-2</v>
      </c>
      <c r="EY35">
        <f t="shared" si="54"/>
        <v>1.0264855069562765E-2</v>
      </c>
      <c r="EZ35">
        <f t="shared" si="55"/>
        <v>9.8963233630211065E-3</v>
      </c>
      <c r="FA35">
        <f t="shared" si="56"/>
        <v>9.5021097623890459E-3</v>
      </c>
      <c r="FB35">
        <f t="shared" si="57"/>
        <v>9.0724764530001993E-3</v>
      </c>
      <c r="FC35">
        <f t="shared" si="58"/>
        <v>8.6187128157103592E-3</v>
      </c>
      <c r="FD35">
        <f t="shared" si="59"/>
        <v>8.1594665919228621E-3</v>
      </c>
      <c r="FE35">
        <f t="shared" si="60"/>
        <v>7.6882478350021452E-3</v>
      </c>
      <c r="FF35">
        <f t="shared" si="61"/>
        <v>7.2296384480834358E-3</v>
      </c>
      <c r="FG35">
        <f t="shared" si="62"/>
        <v>6.7968672697592868E-3</v>
      </c>
      <c r="FH35">
        <f t="shared" si="63"/>
        <v>6.3772612463408162E-3</v>
      </c>
      <c r="FI35">
        <f t="shared" si="64"/>
        <v>5.9573831198965893E-3</v>
      </c>
      <c r="FJ35">
        <f t="shared" si="65"/>
        <v>5.5549137976746007E-3</v>
      </c>
      <c r="FK35">
        <f t="shared" si="66"/>
        <v>5.0987012331529663E-3</v>
      </c>
      <c r="FL35">
        <f t="shared" si="67"/>
        <v>4.5568283203532385E-3</v>
      </c>
      <c r="FM35">
        <f t="shared" si="68"/>
        <v>3.9713957657283964E-3</v>
      </c>
      <c r="FN35">
        <f t="shared" si="69"/>
        <v>3.4090282846058477E-3</v>
      </c>
      <c r="FO35">
        <f t="shared" si="70"/>
        <v>2.8475465856735225E-3</v>
      </c>
      <c r="FP35">
        <f t="shared" si="71"/>
        <v>2.3839582923261054E-3</v>
      </c>
      <c r="FQ35">
        <f t="shared" si="72"/>
        <v>2.0704898172303082E-3</v>
      </c>
      <c r="FR35">
        <f t="shared" si="73"/>
        <v>1.8600210215218849E-3</v>
      </c>
      <c r="FS35">
        <f t="shared" si="74"/>
        <v>1.6529679872005982E-3</v>
      </c>
      <c r="FT35">
        <f t="shared" si="75"/>
        <v>1.4940656095857798E-3</v>
      </c>
      <c r="FU35">
        <f t="shared" si="76"/>
        <v>1.3149986609346952E-3</v>
      </c>
      <c r="FV35">
        <f t="shared" si="77"/>
        <v>1.0817774207322929E-3</v>
      </c>
      <c r="FW35">
        <f t="shared" si="78"/>
        <v>8.0771756896232648E-4</v>
      </c>
      <c r="FX35">
        <f t="shared" si="79"/>
        <v>5.8504466307748892E-4</v>
      </c>
      <c r="FY35">
        <f t="shared" si="80"/>
        <v>4.5724308236385491E-4</v>
      </c>
      <c r="FZ35">
        <f t="shared" si="81"/>
        <v>3.7529375620297205E-4</v>
      </c>
      <c r="GA35">
        <f t="shared" si="82"/>
        <v>2.8023716939721188E-4</v>
      </c>
      <c r="GB35">
        <f t="shared" si="83"/>
        <v>1.7205595366833468E-4</v>
      </c>
      <c r="GC35">
        <f t="shared" si="84"/>
        <v>1.2435108277001784E-4</v>
      </c>
      <c r="GD35">
        <f t="shared" si="85"/>
        <v>6.7811547673784584E-5</v>
      </c>
      <c r="GE35">
        <f t="shared" si="86"/>
        <v>1.0601597037499731E-4</v>
      </c>
    </row>
    <row r="36" spans="1:187">
      <c r="A36" s="4">
        <v>1984</v>
      </c>
      <c r="B36" s="17">
        <v>3638.8760000000002</v>
      </c>
      <c r="C36" s="17">
        <v>3554.6489999999999</v>
      </c>
      <c r="D36" s="17">
        <v>3484.7269999999999</v>
      </c>
      <c r="E36" s="17">
        <v>3428.739</v>
      </c>
      <c r="F36" s="17">
        <v>3394.2539999999999</v>
      </c>
      <c r="G36" s="17">
        <v>3363.0219999999999</v>
      </c>
      <c r="H36" s="17">
        <v>3345.0390000000002</v>
      </c>
      <c r="I36" s="17">
        <v>3339.8609999999999</v>
      </c>
      <c r="J36" s="17">
        <v>3347.0450000000001</v>
      </c>
      <c r="K36" s="17">
        <v>3365.4050000000002</v>
      </c>
      <c r="L36" s="17">
        <v>3393.7530000000002</v>
      </c>
      <c r="M36" s="17">
        <v>3435.3609999999999</v>
      </c>
      <c r="N36" s="17">
        <v>3491.2739999999999</v>
      </c>
      <c r="O36" s="17">
        <v>3558.8159999999998</v>
      </c>
      <c r="P36" s="17">
        <v>3630.2829999999999</v>
      </c>
      <c r="Q36" s="17">
        <v>3702.4279999999999</v>
      </c>
      <c r="R36" s="17">
        <v>3788.8240000000001</v>
      </c>
      <c r="S36" s="17">
        <v>3893.8939999999998</v>
      </c>
      <c r="T36" s="17">
        <v>4008.0390000000002</v>
      </c>
      <c r="U36" s="17">
        <v>4117.05</v>
      </c>
      <c r="V36" s="17">
        <v>4223.5420000000004</v>
      </c>
      <c r="W36" s="17">
        <v>4307.3230000000003</v>
      </c>
      <c r="X36" s="17">
        <v>4356.8</v>
      </c>
      <c r="Y36" s="17">
        <v>4379.3860000000004</v>
      </c>
      <c r="Z36" s="17">
        <v>4395.7709999999997</v>
      </c>
      <c r="AA36" s="17">
        <v>4403.8419999999996</v>
      </c>
      <c r="AB36" s="17">
        <v>4390.2280000000001</v>
      </c>
      <c r="AC36" s="17">
        <v>4350.99</v>
      </c>
      <c r="AD36" s="17">
        <v>4291.5640000000003</v>
      </c>
      <c r="AE36" s="17">
        <v>4221.067</v>
      </c>
      <c r="AF36" s="17">
        <v>4137.3599999999997</v>
      </c>
      <c r="AG36" s="17">
        <v>4049.9960000000001</v>
      </c>
      <c r="AH36" s="17">
        <v>3964.5569999999998</v>
      </c>
      <c r="AI36" s="17">
        <v>3876.884</v>
      </c>
      <c r="AJ36" s="17">
        <v>3781.5360000000001</v>
      </c>
      <c r="AK36" s="17">
        <v>3684.7579999999998</v>
      </c>
      <c r="AL36" s="17">
        <v>3565.43</v>
      </c>
      <c r="AM36" s="17">
        <v>3414.17</v>
      </c>
      <c r="AN36" s="17">
        <v>3244.3969999999999</v>
      </c>
      <c r="AO36" s="17">
        <v>3078.498</v>
      </c>
      <c r="AP36" s="17">
        <v>2911.4969999999998</v>
      </c>
      <c r="AQ36" s="17">
        <v>2766.7139999999999</v>
      </c>
      <c r="AR36" s="17">
        <v>2657.8809999999999</v>
      </c>
      <c r="AS36" s="17">
        <v>2575.1460000000002</v>
      </c>
      <c r="AT36" s="17">
        <v>2494.9119999999998</v>
      </c>
      <c r="AU36" s="17">
        <v>2421.8780000000002</v>
      </c>
      <c r="AV36" s="17">
        <v>2358.335</v>
      </c>
      <c r="AW36" s="17">
        <v>2303.058</v>
      </c>
      <c r="AX36" s="17">
        <v>2256.8359999999998</v>
      </c>
      <c r="AY36" s="17">
        <v>2218.5329999999999</v>
      </c>
      <c r="AZ36" s="17">
        <v>2184.6019999999999</v>
      </c>
      <c r="BA36" s="17">
        <v>2170.2820000000002</v>
      </c>
      <c r="BB36" s="17">
        <v>2181.817</v>
      </c>
      <c r="BC36" s="17">
        <v>2209.8009999999999</v>
      </c>
      <c r="BD36" s="17">
        <v>2237.8200000000002</v>
      </c>
      <c r="BE36" s="17">
        <v>2268.25</v>
      </c>
      <c r="BF36" s="17">
        <v>2289.1190000000001</v>
      </c>
      <c r="BG36" s="17">
        <v>2292.5</v>
      </c>
      <c r="BH36" s="17">
        <v>2282.4180000000001</v>
      </c>
      <c r="BI36" s="17">
        <v>2272.2620000000002</v>
      </c>
      <c r="BJ36" s="17">
        <v>2261.0749999999998</v>
      </c>
      <c r="BK36" s="17">
        <v>2234.7629999999999</v>
      </c>
      <c r="BL36" s="17">
        <v>2188.192</v>
      </c>
      <c r="BM36" s="17">
        <v>2127.1729999999998</v>
      </c>
      <c r="BN36" s="17">
        <v>2062.7579999999998</v>
      </c>
      <c r="BO36" s="17">
        <v>1992.864</v>
      </c>
      <c r="BP36" s="17">
        <v>1923.3789999999999</v>
      </c>
      <c r="BQ36" s="17">
        <v>1858.394</v>
      </c>
      <c r="BR36" s="17">
        <v>1795.3579999999999</v>
      </c>
      <c r="BS36" s="17">
        <v>1727.873</v>
      </c>
      <c r="BT36" s="17">
        <v>1657.52</v>
      </c>
      <c r="BU36" s="17">
        <v>1585.0060000000001</v>
      </c>
      <c r="BV36" s="17">
        <v>1510.144</v>
      </c>
      <c r="BW36" s="17">
        <v>1433.4770000000001</v>
      </c>
      <c r="BX36" s="17">
        <v>1355.6089999999999</v>
      </c>
      <c r="BY36" s="17">
        <v>1276.278</v>
      </c>
      <c r="BZ36" s="17">
        <v>1197.433</v>
      </c>
      <c r="CA36" s="17">
        <v>1120.0640000000001</v>
      </c>
      <c r="CB36" s="17">
        <v>1043.3109999999999</v>
      </c>
      <c r="CC36" s="17">
        <v>967.23199999999997</v>
      </c>
      <c r="CD36" s="17">
        <v>894.09199999999998</v>
      </c>
      <c r="CE36" s="17">
        <v>814.04600000000005</v>
      </c>
      <c r="CF36" s="17">
        <v>722.93700000000001</v>
      </c>
      <c r="CG36" s="17">
        <v>626.70299999999997</v>
      </c>
      <c r="CH36" s="17">
        <v>534.29600000000005</v>
      </c>
      <c r="CI36" s="17">
        <v>442.55500000000001</v>
      </c>
      <c r="CJ36" s="17">
        <v>366.577</v>
      </c>
      <c r="CK36" s="17">
        <v>314.35000000000002</v>
      </c>
      <c r="CL36" s="17">
        <v>278.64299999999997</v>
      </c>
      <c r="CM36" s="17">
        <v>243.90899999999999</v>
      </c>
      <c r="CN36" s="17">
        <v>218.649</v>
      </c>
      <c r="CO36" s="17">
        <v>190.27500000000001</v>
      </c>
      <c r="CP36" s="17">
        <v>153.166</v>
      </c>
      <c r="CQ36" s="17">
        <v>108.47</v>
      </c>
      <c r="CR36" s="17">
        <v>75.861999999999995</v>
      </c>
      <c r="CS36" s="17">
        <v>61.018999999999998</v>
      </c>
      <c r="CT36" s="17">
        <v>49.576999999999998</v>
      </c>
      <c r="CU36" s="17">
        <v>36.445</v>
      </c>
      <c r="CV36" s="17">
        <v>21.623999999999999</v>
      </c>
      <c r="CW36" s="17">
        <v>12.602</v>
      </c>
      <c r="CX36" s="17">
        <v>20.05</v>
      </c>
      <c r="CY36" s="3">
        <f t="shared" si="87"/>
        <v>238256.84900000007</v>
      </c>
      <c r="CZ36" s="21">
        <f t="shared" si="3"/>
        <v>175100.59900000002</v>
      </c>
      <c r="DA36">
        <f t="shared" si="4"/>
        <v>2.2889921695813272E-2</v>
      </c>
      <c r="DB36">
        <f t="shared" si="5"/>
        <v>2.3512483815089632E-2</v>
      </c>
      <c r="DC36">
        <f t="shared" si="6"/>
        <v>2.4120659918473494E-2</v>
      </c>
      <c r="DD36">
        <f t="shared" si="7"/>
        <v>2.459913343871542E-2</v>
      </c>
      <c r="DE36">
        <f t="shared" si="8"/>
        <v>2.4881696721094596E-2</v>
      </c>
      <c r="DF36">
        <f t="shared" si="9"/>
        <v>2.5010685428894508E-2</v>
      </c>
      <c r="DG36">
        <f t="shared" si="10"/>
        <v>2.5104260208727209E-2</v>
      </c>
      <c r="DH36">
        <f t="shared" si="11"/>
        <v>2.5150353711811114E-2</v>
      </c>
      <c r="DI36">
        <f t="shared" si="12"/>
        <v>2.5072604120560432E-2</v>
      </c>
      <c r="DJ36">
        <f t="shared" si="13"/>
        <v>2.4848515795197246E-2</v>
      </c>
      <c r="DK36">
        <f t="shared" si="14"/>
        <v>2.4509133746595579E-2</v>
      </c>
      <c r="DL36">
        <f t="shared" si="15"/>
        <v>2.4106525186701387E-2</v>
      </c>
      <c r="DM36">
        <f t="shared" si="16"/>
        <v>2.3628474280661938E-2</v>
      </c>
      <c r="DN36">
        <f t="shared" si="17"/>
        <v>2.3129538237616192E-2</v>
      </c>
      <c r="DO36">
        <f t="shared" si="18"/>
        <v>2.2641595874837637E-2</v>
      </c>
      <c r="DP36">
        <f t="shared" si="19"/>
        <v>2.2140895131946406E-2</v>
      </c>
      <c r="DQ36">
        <f t="shared" si="20"/>
        <v>2.1596362443054806E-2</v>
      </c>
      <c r="DR36">
        <f t="shared" si="21"/>
        <v>2.104366302025043E-2</v>
      </c>
      <c r="DS36">
        <f t="shared" si="22"/>
        <v>2.0362180485744653E-2</v>
      </c>
      <c r="DT36">
        <f t="shared" si="23"/>
        <v>1.9498334211866402E-2</v>
      </c>
      <c r="DU36">
        <f t="shared" si="24"/>
        <v>1.8528760144332801E-2</v>
      </c>
      <c r="DV36">
        <f t="shared" si="25"/>
        <v>1.7581310501399255E-2</v>
      </c>
      <c r="DW36">
        <f t="shared" si="26"/>
        <v>1.6627567333450409E-2</v>
      </c>
      <c r="DX36">
        <f t="shared" si="27"/>
        <v>1.5800711224294554E-2</v>
      </c>
      <c r="DY36">
        <f t="shared" si="28"/>
        <v>1.5179165663505238E-2</v>
      </c>
      <c r="DZ36">
        <f t="shared" si="29"/>
        <v>1.4706665852125383E-2</v>
      </c>
      <c r="EA36">
        <f t="shared" si="30"/>
        <v>1.424844925858877E-2</v>
      </c>
      <c r="EB36">
        <f t="shared" si="31"/>
        <v>1.3831351884752832E-2</v>
      </c>
      <c r="EC36">
        <f t="shared" si="32"/>
        <v>1.3468457637886207E-2</v>
      </c>
      <c r="ED36">
        <f t="shared" si="33"/>
        <v>1.3152770539637045E-2</v>
      </c>
      <c r="EE36">
        <f t="shared" si="34"/>
        <v>1.2888796571164212E-2</v>
      </c>
      <c r="EF36">
        <f t="shared" si="35"/>
        <v>1.2670048033359381E-2</v>
      </c>
      <c r="EG36">
        <f t="shared" si="36"/>
        <v>1.2476267999517236E-2</v>
      </c>
      <c r="EH36">
        <f t="shared" si="37"/>
        <v>1.2394486440334793E-2</v>
      </c>
      <c r="EI36">
        <f t="shared" si="38"/>
        <v>1.2460362856896907E-2</v>
      </c>
      <c r="EJ36">
        <f t="shared" si="39"/>
        <v>1.2620179557466846E-2</v>
      </c>
      <c r="EK36">
        <f t="shared" si="40"/>
        <v>1.2780196143132553E-2</v>
      </c>
      <c r="EL36">
        <f t="shared" si="41"/>
        <v>1.2953981956395248E-2</v>
      </c>
      <c r="EM36">
        <f t="shared" si="42"/>
        <v>1.3073164872497095E-2</v>
      </c>
      <c r="EN36">
        <f t="shared" si="43"/>
        <v>1.3092473772748201E-2</v>
      </c>
      <c r="EO36">
        <f t="shared" si="44"/>
        <v>1.303489544316179E-2</v>
      </c>
      <c r="EP36">
        <f t="shared" si="45"/>
        <v>1.29768944993729E-2</v>
      </c>
      <c r="EQ36">
        <f t="shared" si="46"/>
        <v>1.2913005511762981E-2</v>
      </c>
      <c r="ER36">
        <f t="shared" si="47"/>
        <v>1.2762737607767976E-2</v>
      </c>
      <c r="ES36">
        <f t="shared" si="48"/>
        <v>1.2496770499340209E-2</v>
      </c>
      <c r="ET36">
        <f t="shared" si="49"/>
        <v>1.2148290823379763E-2</v>
      </c>
      <c r="EU36">
        <f t="shared" si="50"/>
        <v>1.1780416582127166E-2</v>
      </c>
      <c r="EV36">
        <f t="shared" si="51"/>
        <v>1.1381251756882909E-2</v>
      </c>
      <c r="EW36">
        <f t="shared" si="52"/>
        <v>1.0984422731757757E-2</v>
      </c>
      <c r="EX36">
        <f t="shared" si="53"/>
        <v>1.0613293218945526E-2</v>
      </c>
      <c r="EY36">
        <f t="shared" si="54"/>
        <v>1.0253294450466157E-2</v>
      </c>
      <c r="EZ36">
        <f t="shared" si="55"/>
        <v>9.867887430813415E-3</v>
      </c>
      <c r="FA36">
        <f t="shared" si="56"/>
        <v>9.4661012553132369E-3</v>
      </c>
      <c r="FB36">
        <f t="shared" si="57"/>
        <v>9.0519736029001253E-3</v>
      </c>
      <c r="FC36">
        <f t="shared" si="58"/>
        <v>8.6244365160624021E-3</v>
      </c>
      <c r="FD36">
        <f t="shared" si="59"/>
        <v>8.186591069285834E-3</v>
      </c>
      <c r="FE36">
        <f t="shared" si="60"/>
        <v>7.7418867082230816E-3</v>
      </c>
      <c r="FF36">
        <f t="shared" si="61"/>
        <v>7.2888271501572646E-3</v>
      </c>
      <c r="FG36">
        <f t="shared" si="62"/>
        <v>6.8385431394212418E-3</v>
      </c>
      <c r="FH36">
        <f t="shared" si="63"/>
        <v>6.3966885687238564E-3</v>
      </c>
      <c r="FI36">
        <f t="shared" si="64"/>
        <v>5.9583519757119728E-3</v>
      </c>
      <c r="FJ36">
        <f t="shared" si="65"/>
        <v>5.5238645985442912E-3</v>
      </c>
      <c r="FK36">
        <f t="shared" si="66"/>
        <v>5.1061618584183135E-3</v>
      </c>
      <c r="FL36">
        <f t="shared" si="67"/>
        <v>4.64901893339611E-3</v>
      </c>
      <c r="FM36">
        <f t="shared" si="68"/>
        <v>4.1286951851032781E-3</v>
      </c>
      <c r="FN36">
        <f t="shared" si="69"/>
        <v>3.5791025477874003E-3</v>
      </c>
      <c r="FO36">
        <f t="shared" si="70"/>
        <v>3.0513659179429763E-3</v>
      </c>
      <c r="FP36">
        <f t="shared" si="71"/>
        <v>2.5274328159208635E-3</v>
      </c>
      <c r="FQ36">
        <f t="shared" si="72"/>
        <v>2.0935222500295383E-3</v>
      </c>
      <c r="FR36">
        <f t="shared" si="73"/>
        <v>1.7952537101258003E-3</v>
      </c>
      <c r="FS36">
        <f t="shared" si="74"/>
        <v>1.5913309354241554E-3</v>
      </c>
      <c r="FT36">
        <f t="shared" si="75"/>
        <v>1.3929649663848378E-3</v>
      </c>
      <c r="FU36">
        <f t="shared" si="76"/>
        <v>1.248705037268319E-3</v>
      </c>
      <c r="FV36">
        <f t="shared" si="77"/>
        <v>1.0866610456312601E-3</v>
      </c>
      <c r="FW36">
        <f t="shared" si="78"/>
        <v>8.7473144509345733E-4</v>
      </c>
      <c r="FX36">
        <f t="shared" si="79"/>
        <v>6.1947246679607297E-4</v>
      </c>
      <c r="FY36">
        <f t="shared" si="80"/>
        <v>4.3324808957392538E-4</v>
      </c>
      <c r="FZ36">
        <f t="shared" si="81"/>
        <v>3.4847967596044599E-4</v>
      </c>
      <c r="GA36">
        <f t="shared" si="82"/>
        <v>2.8313438265279719E-4</v>
      </c>
      <c r="GB36">
        <f t="shared" si="83"/>
        <v>2.0813749472096323E-4</v>
      </c>
      <c r="GC36">
        <f t="shared" si="84"/>
        <v>1.2349472316768029E-4</v>
      </c>
      <c r="GD36">
        <f t="shared" si="85"/>
        <v>7.1970056481645726E-5</v>
      </c>
      <c r="GE36">
        <f t="shared" si="86"/>
        <v>1.1450560486089484E-4</v>
      </c>
    </row>
    <row r="37" spans="1:187">
      <c r="A37" s="4">
        <v>1985</v>
      </c>
      <c r="B37" s="17">
        <v>3706.9690000000001</v>
      </c>
      <c r="C37" s="17">
        <v>3618.2939999999999</v>
      </c>
      <c r="D37" s="17">
        <v>3542.88</v>
      </c>
      <c r="E37" s="17">
        <v>3480.4490000000001</v>
      </c>
      <c r="F37" s="17">
        <v>3430.7260000000001</v>
      </c>
      <c r="G37" s="17">
        <v>3393.433</v>
      </c>
      <c r="H37" s="17">
        <v>3368.2939999999999</v>
      </c>
      <c r="I37" s="17">
        <v>3355.0309999999999</v>
      </c>
      <c r="J37" s="17">
        <v>3353.366</v>
      </c>
      <c r="K37" s="17">
        <v>3363.0250000000001</v>
      </c>
      <c r="L37" s="17">
        <v>3382.8009999999999</v>
      </c>
      <c r="M37" s="17">
        <v>3411.489</v>
      </c>
      <c r="N37" s="17">
        <v>3453.453</v>
      </c>
      <c r="O37" s="17">
        <v>3510.2739999999999</v>
      </c>
      <c r="P37" s="17">
        <v>3578.8919999999998</v>
      </c>
      <c r="Q37" s="17">
        <v>3650.8890000000001</v>
      </c>
      <c r="R37" s="17">
        <v>3723.424</v>
      </c>
      <c r="S37" s="17">
        <v>3809.0509999999999</v>
      </c>
      <c r="T37" s="17">
        <v>3911.6979999999999</v>
      </c>
      <c r="U37" s="17">
        <v>4022.4589999999998</v>
      </c>
      <c r="V37" s="17">
        <v>4128.1760000000004</v>
      </c>
      <c r="W37" s="17">
        <v>4231.0889999999999</v>
      </c>
      <c r="X37" s="17">
        <v>4312.7669999999998</v>
      </c>
      <c r="Y37" s="17">
        <v>4362.5510000000004</v>
      </c>
      <c r="Z37" s="17">
        <v>4387.0029999999997</v>
      </c>
      <c r="AA37" s="17">
        <v>4404.8639999999996</v>
      </c>
      <c r="AB37" s="17">
        <v>4414.2089999999998</v>
      </c>
      <c r="AC37" s="17">
        <v>4402.0339999999997</v>
      </c>
      <c r="AD37" s="17">
        <v>4364.3230000000003</v>
      </c>
      <c r="AE37" s="17">
        <v>4306.2839999999997</v>
      </c>
      <c r="AF37" s="17">
        <v>4237.2740000000003</v>
      </c>
      <c r="AG37" s="17">
        <v>4155.5720000000001</v>
      </c>
      <c r="AH37" s="17">
        <v>4067.82</v>
      </c>
      <c r="AI37" s="17">
        <v>3978.3209999999999</v>
      </c>
      <c r="AJ37" s="17">
        <v>3884.4180000000001</v>
      </c>
      <c r="AK37" s="17">
        <v>3783.125</v>
      </c>
      <c r="AL37" s="17">
        <v>3679.8240000000001</v>
      </c>
      <c r="AM37" s="17">
        <v>3556.7269999999999</v>
      </c>
      <c r="AN37" s="17">
        <v>3406.232</v>
      </c>
      <c r="AO37" s="17">
        <v>3240.0520000000001</v>
      </c>
      <c r="AP37" s="17">
        <v>3077.2080000000001</v>
      </c>
      <c r="AQ37" s="17">
        <v>2913.5529999999999</v>
      </c>
      <c r="AR37" s="17">
        <v>2770.5790000000002</v>
      </c>
      <c r="AS37" s="17">
        <v>2660.8249999999998</v>
      </c>
      <c r="AT37" s="17">
        <v>2575.453</v>
      </c>
      <c r="AU37" s="17">
        <v>2492.998</v>
      </c>
      <c r="AV37" s="17">
        <v>2417.6410000000001</v>
      </c>
      <c r="AW37" s="17">
        <v>2352.4079999999999</v>
      </c>
      <c r="AX37" s="17">
        <v>2296.6280000000002</v>
      </c>
      <c r="AY37" s="17">
        <v>2250.5920000000001</v>
      </c>
      <c r="AZ37" s="17">
        <v>2212.154</v>
      </c>
      <c r="BA37" s="17">
        <v>2178.0230000000001</v>
      </c>
      <c r="BB37" s="17">
        <v>2162.942</v>
      </c>
      <c r="BC37" s="17">
        <v>2172.83</v>
      </c>
      <c r="BD37" s="17">
        <v>2198.5729999999999</v>
      </c>
      <c r="BE37" s="17">
        <v>2224.4549999999999</v>
      </c>
      <c r="BF37" s="17">
        <v>2252.8049999999998</v>
      </c>
      <c r="BG37" s="17">
        <v>2271.4189999999999</v>
      </c>
      <c r="BH37" s="17">
        <v>2272.3530000000001</v>
      </c>
      <c r="BI37" s="17">
        <v>2259.7710000000002</v>
      </c>
      <c r="BJ37" s="17">
        <v>2246.9830000000002</v>
      </c>
      <c r="BK37" s="17">
        <v>2232.7739999999999</v>
      </c>
      <c r="BL37" s="17">
        <v>2204.6080000000002</v>
      </c>
      <c r="BM37" s="17">
        <v>2158.0309999999999</v>
      </c>
      <c r="BN37" s="17">
        <v>2098.0189999999998</v>
      </c>
      <c r="BO37" s="17">
        <v>2034.452</v>
      </c>
      <c r="BP37" s="17">
        <v>1965.8779999999999</v>
      </c>
      <c r="BQ37" s="17">
        <v>1895.4559999999999</v>
      </c>
      <c r="BR37" s="17">
        <v>1825.93</v>
      </c>
      <c r="BS37" s="17">
        <v>1756.1990000000001</v>
      </c>
      <c r="BT37" s="17">
        <v>1682.433</v>
      </c>
      <c r="BU37" s="17">
        <v>1605.4010000000001</v>
      </c>
      <c r="BV37" s="17">
        <v>1528.4829999999999</v>
      </c>
      <c r="BW37" s="17">
        <v>1452.9880000000001</v>
      </c>
      <c r="BX37" s="17">
        <v>1378.049</v>
      </c>
      <c r="BY37" s="17">
        <v>1301.6569999999999</v>
      </c>
      <c r="BZ37" s="17">
        <v>1224.405</v>
      </c>
      <c r="CA37" s="17">
        <v>1145.9490000000001</v>
      </c>
      <c r="CB37" s="17">
        <v>1065.9780000000001</v>
      </c>
      <c r="CC37" s="17">
        <v>984.96699999999998</v>
      </c>
      <c r="CD37" s="17">
        <v>905.34299999999996</v>
      </c>
      <c r="CE37" s="17">
        <v>828.59500000000003</v>
      </c>
      <c r="CF37" s="17">
        <v>747.31799999999998</v>
      </c>
      <c r="CG37" s="17">
        <v>658.71100000000001</v>
      </c>
      <c r="CH37" s="17">
        <v>567.38</v>
      </c>
      <c r="CI37" s="17">
        <v>479.71899999999999</v>
      </c>
      <c r="CJ37" s="17">
        <v>393.23500000000001</v>
      </c>
      <c r="CK37" s="17">
        <v>321.36399999999998</v>
      </c>
      <c r="CL37" s="17">
        <v>271.06200000000001</v>
      </c>
      <c r="CM37" s="17">
        <v>236.00399999999999</v>
      </c>
      <c r="CN37" s="17">
        <v>202.30199999999999</v>
      </c>
      <c r="CO37" s="17">
        <v>179.23</v>
      </c>
      <c r="CP37" s="17">
        <v>153.41499999999999</v>
      </c>
      <c r="CQ37" s="17">
        <v>119.482</v>
      </c>
      <c r="CR37" s="17">
        <v>77.432000000000002</v>
      </c>
      <c r="CS37" s="17">
        <v>50.677</v>
      </c>
      <c r="CT37" s="17">
        <v>43.063000000000002</v>
      </c>
      <c r="CU37" s="17">
        <v>34.335000000000001</v>
      </c>
      <c r="CV37" s="17">
        <v>24.491</v>
      </c>
      <c r="CW37" s="17">
        <v>13.532</v>
      </c>
      <c r="CX37" s="17">
        <v>21.72</v>
      </c>
      <c r="CY37" s="3">
        <f t="shared" si="87"/>
        <v>240499.82200000004</v>
      </c>
      <c r="CZ37" s="21">
        <f t="shared" si="3"/>
        <v>177367.08199999999</v>
      </c>
      <c r="DA37">
        <f t="shared" si="4"/>
        <v>2.2054250179297644E-2</v>
      </c>
      <c r="DB37">
        <f t="shared" si="5"/>
        <v>2.2678723439786871E-2</v>
      </c>
      <c r="DC37">
        <f t="shared" si="6"/>
        <v>2.3274758503384525E-2</v>
      </c>
      <c r="DD37">
        <f t="shared" si="7"/>
        <v>2.3854984545553948E-2</v>
      </c>
      <c r="DE37">
        <f t="shared" si="8"/>
        <v>2.4315487131935789E-2</v>
      </c>
      <c r="DF37">
        <f t="shared" si="9"/>
        <v>2.4596170556608697E-2</v>
      </c>
      <c r="DG37">
        <f t="shared" si="10"/>
        <v>2.4734031538050559E-2</v>
      </c>
      <c r="DH37">
        <f t="shared" si="11"/>
        <v>2.4834732298296476E-2</v>
      </c>
      <c r="DI37">
        <f t="shared" si="12"/>
        <v>2.4887419639682634E-2</v>
      </c>
      <c r="DJ37">
        <f t="shared" si="13"/>
        <v>2.4818776688224482E-2</v>
      </c>
      <c r="DK37">
        <f t="shared" si="14"/>
        <v>2.4606161136484166E-2</v>
      </c>
      <c r="DL37">
        <f t="shared" si="15"/>
        <v>2.4278935817413964E-2</v>
      </c>
      <c r="DM37">
        <f t="shared" si="16"/>
        <v>2.388985572869717E-2</v>
      </c>
      <c r="DN37">
        <f t="shared" si="17"/>
        <v>2.3429217829721075E-2</v>
      </c>
      <c r="DO37">
        <f t="shared" si="18"/>
        <v>2.2934469880944428E-2</v>
      </c>
      <c r="DP37">
        <f t="shared" si="19"/>
        <v>2.2429872302911314E-2</v>
      </c>
      <c r="DQ37">
        <f t="shared" si="20"/>
        <v>2.1900444863833302E-2</v>
      </c>
      <c r="DR37">
        <f t="shared" si="21"/>
        <v>2.1329352421775763E-2</v>
      </c>
      <c r="DS37">
        <f t="shared" si="22"/>
        <v>2.0746938825999293E-2</v>
      </c>
      <c r="DT37">
        <f t="shared" si="23"/>
        <v>2.0052914892065486E-2</v>
      </c>
      <c r="DU37">
        <f t="shared" si="24"/>
        <v>1.9204420355745606E-2</v>
      </c>
      <c r="DV37">
        <f t="shared" si="25"/>
        <v>1.8267493401058491E-2</v>
      </c>
      <c r="DW37">
        <f t="shared" si="26"/>
        <v>1.7349374896972147E-2</v>
      </c>
      <c r="DX37">
        <f t="shared" si="27"/>
        <v>1.6426683954805097E-2</v>
      </c>
      <c r="DY37">
        <f t="shared" si="28"/>
        <v>1.5620593002708362E-2</v>
      </c>
      <c r="DZ37">
        <f t="shared" si="29"/>
        <v>1.500179723315288E-2</v>
      </c>
      <c r="EA37">
        <f t="shared" si="30"/>
        <v>1.4520467783306037E-2</v>
      </c>
      <c r="EB37">
        <f t="shared" si="31"/>
        <v>1.4055584451685348E-2</v>
      </c>
      <c r="EC37">
        <f t="shared" si="32"/>
        <v>1.3630719819814141E-2</v>
      </c>
      <c r="ED37">
        <f t="shared" si="33"/>
        <v>1.3262934550617458E-2</v>
      </c>
      <c r="EE37">
        <f t="shared" si="34"/>
        <v>1.2948445529481057E-2</v>
      </c>
      <c r="EF37">
        <f t="shared" si="35"/>
        <v>1.2688893421610219E-2</v>
      </c>
      <c r="EG37">
        <f t="shared" si="36"/>
        <v>1.2472179025869074E-2</v>
      </c>
      <c r="EH37">
        <f t="shared" si="37"/>
        <v>1.2279747602771071E-2</v>
      </c>
      <c r="EI37">
        <f t="shared" si="38"/>
        <v>1.2194720551359131E-2</v>
      </c>
      <c r="EJ37">
        <f t="shared" si="39"/>
        <v>1.2250469340190194E-2</v>
      </c>
      <c r="EK37">
        <f t="shared" si="40"/>
        <v>1.2395609011597766E-2</v>
      </c>
      <c r="EL37">
        <f t="shared" si="41"/>
        <v>1.2541532368447038E-2</v>
      </c>
      <c r="EM37">
        <f t="shared" si="42"/>
        <v>1.2701370370405033E-2</v>
      </c>
      <c r="EN37">
        <f t="shared" si="43"/>
        <v>1.2806316563295549E-2</v>
      </c>
      <c r="EO37">
        <f t="shared" si="44"/>
        <v>1.2811582478421787E-2</v>
      </c>
      <c r="EP37">
        <f t="shared" si="45"/>
        <v>1.2740644850886143E-2</v>
      </c>
      <c r="EQ37">
        <f t="shared" si="46"/>
        <v>1.2668545790249851E-2</v>
      </c>
      <c r="ER37">
        <f t="shared" si="47"/>
        <v>1.2588435096428997E-2</v>
      </c>
      <c r="ES37">
        <f t="shared" si="48"/>
        <v>1.2429634491026921E-2</v>
      </c>
      <c r="ET37">
        <f t="shared" si="49"/>
        <v>1.2167032211760692E-2</v>
      </c>
      <c r="EU37">
        <f t="shared" si="50"/>
        <v>1.1828683069838178E-2</v>
      </c>
      <c r="EV37">
        <f t="shared" si="51"/>
        <v>1.1470290749892363E-2</v>
      </c>
      <c r="EW37">
        <f t="shared" si="52"/>
        <v>1.1083668839971106E-2</v>
      </c>
      <c r="EX37">
        <f t="shared" si="53"/>
        <v>1.0686627860292588E-2</v>
      </c>
      <c r="EY37">
        <f t="shared" si="54"/>
        <v>1.029463855079941E-2</v>
      </c>
      <c r="EZ37">
        <f t="shared" si="55"/>
        <v>9.9014934462303451E-3</v>
      </c>
      <c r="FA37">
        <f t="shared" si="56"/>
        <v>9.4855989117529713E-3</v>
      </c>
      <c r="FB37">
        <f t="shared" si="57"/>
        <v>9.0512905884080567E-3</v>
      </c>
      <c r="FC37">
        <f t="shared" si="58"/>
        <v>8.6176249998858295E-3</v>
      </c>
      <c r="FD37">
        <f t="shared" si="59"/>
        <v>8.191982320597686E-3</v>
      </c>
      <c r="FE37">
        <f t="shared" si="60"/>
        <v>7.7694743830763364E-3</v>
      </c>
      <c r="FF37">
        <f t="shared" si="61"/>
        <v>7.3387743955780921E-3</v>
      </c>
      <c r="FG37">
        <f t="shared" si="62"/>
        <v>6.9032257067858848E-3</v>
      </c>
      <c r="FH37">
        <f t="shared" si="63"/>
        <v>6.4608888361821284E-3</v>
      </c>
      <c r="FI37">
        <f t="shared" si="64"/>
        <v>6.0100103580663297E-3</v>
      </c>
      <c r="FJ37">
        <f t="shared" si="65"/>
        <v>5.5532683341996915E-3</v>
      </c>
      <c r="FK37">
        <f t="shared" si="66"/>
        <v>5.1043462506757597E-3</v>
      </c>
      <c r="FL37">
        <f t="shared" si="67"/>
        <v>4.6716391263628056E-3</v>
      </c>
      <c r="FM37">
        <f t="shared" si="68"/>
        <v>4.2133973879098941E-3</v>
      </c>
      <c r="FN37">
        <f t="shared" si="69"/>
        <v>3.713828927963082E-3</v>
      </c>
      <c r="FO37">
        <f t="shared" si="70"/>
        <v>3.1989024885688768E-3</v>
      </c>
      <c r="FP37">
        <f t="shared" si="71"/>
        <v>2.7046676000454244E-3</v>
      </c>
      <c r="FQ37">
        <f t="shared" si="72"/>
        <v>2.2170686666649906E-3</v>
      </c>
      <c r="FR37">
        <f t="shared" si="73"/>
        <v>1.8118581891086193E-3</v>
      </c>
      <c r="FS37">
        <f t="shared" si="74"/>
        <v>1.5282542676098151E-3</v>
      </c>
      <c r="FT37">
        <f t="shared" si="75"/>
        <v>1.3305963955589008E-3</v>
      </c>
      <c r="FU37">
        <f t="shared" si="76"/>
        <v>1.1405836850831204E-3</v>
      </c>
      <c r="FV37">
        <f t="shared" si="77"/>
        <v>1.010503177810638E-3</v>
      </c>
      <c r="FW37">
        <f t="shared" si="78"/>
        <v>8.6495756862031475E-4</v>
      </c>
      <c r="FX37">
        <f t="shared" si="79"/>
        <v>6.7364247442487668E-4</v>
      </c>
      <c r="FY37">
        <f t="shared" si="80"/>
        <v>4.36563533249084E-4</v>
      </c>
      <c r="FZ37">
        <f t="shared" si="81"/>
        <v>2.8571818078396307E-4</v>
      </c>
      <c r="GA37">
        <f t="shared" si="82"/>
        <v>2.4279026025810136E-4</v>
      </c>
      <c r="GB37">
        <f t="shared" si="83"/>
        <v>1.9358158014912824E-4</v>
      </c>
      <c r="GC37">
        <f t="shared" si="84"/>
        <v>1.3808086440752292E-4</v>
      </c>
      <c r="GD37">
        <f t="shared" si="85"/>
        <v>7.629375105804583E-5</v>
      </c>
      <c r="GE37">
        <f t="shared" si="86"/>
        <v>1.2245789779639042E-4</v>
      </c>
    </row>
    <row r="38" spans="1:187">
      <c r="A38" s="4">
        <v>1986</v>
      </c>
      <c r="B38" s="17">
        <v>3769.9769999999999</v>
      </c>
      <c r="C38" s="17">
        <v>3703.79</v>
      </c>
      <c r="D38" s="17">
        <v>3623.2730000000001</v>
      </c>
      <c r="E38" s="17">
        <v>3554.172</v>
      </c>
      <c r="F38" s="17">
        <v>3496.4409999999998</v>
      </c>
      <c r="G38" s="17">
        <v>3450.0360000000001</v>
      </c>
      <c r="H38" s="17">
        <v>3414.6669999999999</v>
      </c>
      <c r="I38" s="17">
        <v>3390.0439999999999</v>
      </c>
      <c r="J38" s="17">
        <v>3377.35</v>
      </c>
      <c r="K38" s="17">
        <v>3377.03</v>
      </c>
      <c r="L38" s="17">
        <v>3388.306</v>
      </c>
      <c r="M38" s="17">
        <v>3408.8270000000002</v>
      </c>
      <c r="N38" s="17">
        <v>3437.7190000000001</v>
      </c>
      <c r="O38" s="17">
        <v>3479.0909999999999</v>
      </c>
      <c r="P38" s="17">
        <v>3534.3159999999998</v>
      </c>
      <c r="Q38" s="17">
        <v>3600.61</v>
      </c>
      <c r="R38" s="17">
        <v>3670.261</v>
      </c>
      <c r="S38" s="17">
        <v>3740.54</v>
      </c>
      <c r="T38" s="17">
        <v>3823.3470000000002</v>
      </c>
      <c r="U38" s="17">
        <v>3922.4349999999999</v>
      </c>
      <c r="V38" s="17">
        <v>4029.37</v>
      </c>
      <c r="W38" s="17">
        <v>4131.2510000000002</v>
      </c>
      <c r="X38" s="17">
        <v>4229.8040000000001</v>
      </c>
      <c r="Y38" s="17">
        <v>4309.68</v>
      </c>
      <c r="Z38" s="17">
        <v>4361.6289999999999</v>
      </c>
      <c r="AA38" s="17">
        <v>4390.6289999999999</v>
      </c>
      <c r="AB38" s="17">
        <v>4412.7879999999996</v>
      </c>
      <c r="AC38" s="17">
        <v>4427.1350000000002</v>
      </c>
      <c r="AD38" s="17">
        <v>4417.1580000000004</v>
      </c>
      <c r="AE38" s="17">
        <v>4376.9620000000004</v>
      </c>
      <c r="AF38" s="17">
        <v>4313.6059999999998</v>
      </c>
      <c r="AG38" s="17">
        <v>4239.8220000000001</v>
      </c>
      <c r="AH38" s="17">
        <v>4152.7939999999999</v>
      </c>
      <c r="AI38" s="17">
        <v>4062.326</v>
      </c>
      <c r="AJ38" s="17">
        <v>3974.5</v>
      </c>
      <c r="AK38" s="17">
        <v>3884.886</v>
      </c>
      <c r="AL38" s="17">
        <v>3787.2620000000002</v>
      </c>
      <c r="AM38" s="17">
        <v>3688.02</v>
      </c>
      <c r="AN38" s="17">
        <v>3566.4580000000001</v>
      </c>
      <c r="AO38" s="17">
        <v>3413.3180000000002</v>
      </c>
      <c r="AP38" s="17">
        <v>3241.9229999999998</v>
      </c>
      <c r="AQ38" s="17">
        <v>3074.3780000000002</v>
      </c>
      <c r="AR38" s="17">
        <v>2905.6889999999999</v>
      </c>
      <c r="AS38" s="17">
        <v>2759.482</v>
      </c>
      <c r="AT38" s="17">
        <v>2649.587</v>
      </c>
      <c r="AU38" s="17">
        <v>2565.989</v>
      </c>
      <c r="AV38" s="17">
        <v>2484.8069999999998</v>
      </c>
      <c r="AW38" s="17">
        <v>2410.7869999999998</v>
      </c>
      <c r="AX38" s="17">
        <v>2345.9560000000001</v>
      </c>
      <c r="AY38" s="17">
        <v>2288.9290000000001</v>
      </c>
      <c r="AZ38" s="17">
        <v>2240.585</v>
      </c>
      <c r="BA38" s="17">
        <v>2200.0729999999999</v>
      </c>
      <c r="BB38" s="17">
        <v>2163.8229999999999</v>
      </c>
      <c r="BC38" s="17">
        <v>2146.8150000000001</v>
      </c>
      <c r="BD38" s="17">
        <v>2155.2060000000001</v>
      </c>
      <c r="BE38" s="17">
        <v>2179.6970000000001</v>
      </c>
      <c r="BF38" s="17">
        <v>2204.0920000000001</v>
      </c>
      <c r="BG38" s="17">
        <v>2230.7460000000001</v>
      </c>
      <c r="BH38" s="17">
        <v>2247.7260000000001</v>
      </c>
      <c r="BI38" s="17">
        <v>2247.1489999999999</v>
      </c>
      <c r="BJ38" s="17">
        <v>2233.0439999999999</v>
      </c>
      <c r="BK38" s="17">
        <v>2218.7109999999998</v>
      </c>
      <c r="BL38" s="17">
        <v>2203.1570000000002</v>
      </c>
      <c r="BM38" s="17">
        <v>2172.6370000000002</v>
      </c>
      <c r="BN38" s="17">
        <v>2122.1619999999998</v>
      </c>
      <c r="BO38" s="17">
        <v>2057.375</v>
      </c>
      <c r="BP38" s="17">
        <v>1989.183</v>
      </c>
      <c r="BQ38" s="17">
        <v>1915.739</v>
      </c>
      <c r="BR38" s="17">
        <v>1841.865</v>
      </c>
      <c r="BS38" s="17">
        <v>1771.1769999999999</v>
      </c>
      <c r="BT38" s="17">
        <v>1701.7270000000001</v>
      </c>
      <c r="BU38" s="17">
        <v>1628.134</v>
      </c>
      <c r="BV38" s="17">
        <v>1551.6880000000001</v>
      </c>
      <c r="BW38" s="17">
        <v>1474.2860000000001</v>
      </c>
      <c r="BX38" s="17">
        <v>1396.4079999999999</v>
      </c>
      <c r="BY38" s="17">
        <v>1318.029</v>
      </c>
      <c r="BZ38" s="17">
        <v>1238.81</v>
      </c>
      <c r="CA38" s="17">
        <v>1159.0170000000001</v>
      </c>
      <c r="CB38" s="17">
        <v>1078.98</v>
      </c>
      <c r="CC38" s="17">
        <v>998.89400000000001</v>
      </c>
      <c r="CD38" s="17">
        <v>918.90700000000004</v>
      </c>
      <c r="CE38" s="17">
        <v>840.43499999999995</v>
      </c>
      <c r="CF38" s="17">
        <v>764.95500000000004</v>
      </c>
      <c r="CG38" s="17">
        <v>686.14800000000002</v>
      </c>
      <c r="CH38" s="17">
        <v>601.58100000000002</v>
      </c>
      <c r="CI38" s="17">
        <v>515.31899999999996</v>
      </c>
      <c r="CJ38" s="17">
        <v>431.07100000000003</v>
      </c>
      <c r="CK38" s="17">
        <v>350.35500000000002</v>
      </c>
      <c r="CL38" s="17">
        <v>287.06900000000002</v>
      </c>
      <c r="CM38" s="17">
        <v>240.44900000000001</v>
      </c>
      <c r="CN38" s="17">
        <v>205.43299999999999</v>
      </c>
      <c r="CO38" s="17">
        <v>174.64500000000001</v>
      </c>
      <c r="CP38" s="17">
        <v>154.53200000000001</v>
      </c>
      <c r="CQ38" s="17">
        <v>131.80600000000001</v>
      </c>
      <c r="CR38" s="17">
        <v>102.169</v>
      </c>
      <c r="CS38" s="17">
        <v>65.622</v>
      </c>
      <c r="CT38" s="17">
        <v>45.813000000000002</v>
      </c>
      <c r="CU38" s="17">
        <v>36.686</v>
      </c>
      <c r="CV38" s="17">
        <v>26.256</v>
      </c>
      <c r="CW38" s="17">
        <v>14.523999999999999</v>
      </c>
      <c r="CX38" s="17">
        <v>23.27</v>
      </c>
      <c r="CY38" s="3">
        <f t="shared" si="87"/>
        <v>242763.13699999996</v>
      </c>
      <c r="CZ38" s="21">
        <f t="shared" si="3"/>
        <v>179346.68699999995</v>
      </c>
      <c r="DA38">
        <f t="shared" si="4"/>
        <v>2.1318191397647627E-2</v>
      </c>
      <c r="DB38">
        <f t="shared" si="5"/>
        <v>2.1870685573355482E-2</v>
      </c>
      <c r="DC38">
        <f t="shared" si="6"/>
        <v>2.2466932996649116E-2</v>
      </c>
      <c r="DD38">
        <f t="shared" si="7"/>
        <v>2.303500036217564E-2</v>
      </c>
      <c r="DE38">
        <f t="shared" si="8"/>
        <v>2.3584511488634309E-2</v>
      </c>
      <c r="DF38">
        <f t="shared" si="9"/>
        <v>2.4029883529434817E-2</v>
      </c>
      <c r="DG38">
        <f t="shared" si="10"/>
        <v>2.4319540399427624E-2</v>
      </c>
      <c r="DH38">
        <f t="shared" si="11"/>
        <v>2.4481238396112669E-2</v>
      </c>
      <c r="DI38">
        <f t="shared" si="12"/>
        <v>2.4604792392959013E-2</v>
      </c>
      <c r="DJ38">
        <f t="shared" si="13"/>
        <v>2.46847882949742E-2</v>
      </c>
      <c r="DK38">
        <f t="shared" si="14"/>
        <v>2.4629158608321555E-2</v>
      </c>
      <c r="DL38">
        <f t="shared" si="15"/>
        <v>2.4405034033330105E-2</v>
      </c>
      <c r="DM38">
        <f t="shared" si="16"/>
        <v>2.4051774092710178E-2</v>
      </c>
      <c r="DN38">
        <f t="shared" si="17"/>
        <v>2.3640369782799507E-2</v>
      </c>
      <c r="DO38">
        <f t="shared" si="18"/>
        <v>2.3155119670540673E-2</v>
      </c>
      <c r="DP38">
        <f t="shared" si="19"/>
        <v>2.2650688830399199E-2</v>
      </c>
      <c r="DQ38">
        <f t="shared" si="20"/>
        <v>2.2160989235335032E-2</v>
      </c>
      <c r="DR38">
        <f t="shared" si="21"/>
        <v>2.1661320122406281E-2</v>
      </c>
      <c r="DS38">
        <f t="shared" si="22"/>
        <v>2.1116988907634526E-2</v>
      </c>
      <c r="DT38">
        <f t="shared" si="23"/>
        <v>2.056363605980634E-2</v>
      </c>
      <c r="DU38">
        <f t="shared" si="24"/>
        <v>1.9885831512460563E-2</v>
      </c>
      <c r="DV38">
        <f t="shared" si="25"/>
        <v>1.9031954574103737E-2</v>
      </c>
      <c r="DW38">
        <f t="shared" si="26"/>
        <v>1.8076291534730168E-2</v>
      </c>
      <c r="DX38">
        <f t="shared" si="27"/>
        <v>1.7142095298364787E-2</v>
      </c>
      <c r="DY38">
        <f t="shared" si="28"/>
        <v>1.6201520354819827E-2</v>
      </c>
      <c r="DZ38">
        <f t="shared" si="29"/>
        <v>1.5386300389256707E-2</v>
      </c>
      <c r="EA38">
        <f t="shared" si="30"/>
        <v>1.4773548618715219E-2</v>
      </c>
      <c r="EB38">
        <f t="shared" si="31"/>
        <v>1.4307423476409134E-2</v>
      </c>
      <c r="EC38">
        <f t="shared" si="32"/>
        <v>1.3854769449964808E-2</v>
      </c>
      <c r="ED38">
        <f t="shared" si="33"/>
        <v>1.34420492529087E-2</v>
      </c>
      <c r="EE38">
        <f t="shared" si="34"/>
        <v>1.3080565017629798E-2</v>
      </c>
      <c r="EF38">
        <f t="shared" si="35"/>
        <v>1.2762594270838139E-2</v>
      </c>
      <c r="EG38">
        <f t="shared" si="36"/>
        <v>1.2493038134571177E-2</v>
      </c>
      <c r="EH38">
        <f t="shared" si="37"/>
        <v>1.2267151608995155E-2</v>
      </c>
      <c r="EI38">
        <f t="shared" si="38"/>
        <v>1.2065029113138847E-2</v>
      </c>
      <c r="EJ38">
        <f t="shared" si="39"/>
        <v>1.1970196025979563E-2</v>
      </c>
      <c r="EK38">
        <f t="shared" si="40"/>
        <v>1.2016982504951434E-2</v>
      </c>
      <c r="EL38">
        <f t="shared" si="41"/>
        <v>1.2153539251048449E-2</v>
      </c>
      <c r="EM38">
        <f t="shared" si="42"/>
        <v>1.2289560721018509E-2</v>
      </c>
      <c r="EN38">
        <f t="shared" si="43"/>
        <v>1.2438177907351033E-2</v>
      </c>
      <c r="EO38">
        <f t="shared" si="44"/>
        <v>1.2532854872306622E-2</v>
      </c>
      <c r="EP38">
        <f t="shared" si="45"/>
        <v>1.2529637639751888E-2</v>
      </c>
      <c r="EQ38">
        <f t="shared" si="46"/>
        <v>1.2450991079640074E-2</v>
      </c>
      <c r="ER38">
        <f t="shared" si="47"/>
        <v>1.2371073238726738E-2</v>
      </c>
      <c r="ES38">
        <f t="shared" si="48"/>
        <v>1.2284347354573663E-2</v>
      </c>
      <c r="ET38">
        <f t="shared" si="49"/>
        <v>1.2114174152545126E-2</v>
      </c>
      <c r="EU38">
        <f t="shared" si="50"/>
        <v>1.1832736001418306E-2</v>
      </c>
      <c r="EV38">
        <f t="shared" si="51"/>
        <v>1.1471497101030924E-2</v>
      </c>
      <c r="EW38">
        <f t="shared" si="52"/>
        <v>1.1091272625515522E-2</v>
      </c>
      <c r="EX38">
        <f t="shared" si="53"/>
        <v>1.068176408522116E-2</v>
      </c>
      <c r="EY38">
        <f t="shared" si="54"/>
        <v>1.0269857953941466E-2</v>
      </c>
      <c r="EZ38">
        <f t="shared" si="55"/>
        <v>9.8757162991251705E-3</v>
      </c>
      <c r="FA38">
        <f t="shared" si="56"/>
        <v>9.4884774760294315E-3</v>
      </c>
      <c r="FB38">
        <f t="shared" si="57"/>
        <v>9.0781381425796871E-3</v>
      </c>
      <c r="FC38">
        <f t="shared" si="58"/>
        <v>8.6518910717319278E-3</v>
      </c>
      <c r="FD38">
        <f t="shared" si="59"/>
        <v>8.22031354278655E-3</v>
      </c>
      <c r="FE38">
        <f t="shared" si="60"/>
        <v>7.7860819363783414E-3</v>
      </c>
      <c r="FF38">
        <f t="shared" si="61"/>
        <v>7.3490568576825756E-3</v>
      </c>
      <c r="FG38">
        <f t="shared" si="62"/>
        <v>6.9073481128759315E-3</v>
      </c>
      <c r="FH38">
        <f t="shared" si="63"/>
        <v>6.4624388628935223E-3</v>
      </c>
      <c r="FI38">
        <f t="shared" si="64"/>
        <v>6.0161691194217616E-3</v>
      </c>
      <c r="FJ38">
        <f t="shared" si="65"/>
        <v>5.5696261620935342E-3</v>
      </c>
      <c r="FK38">
        <f t="shared" si="66"/>
        <v>5.1236352082712315E-3</v>
      </c>
      <c r="FL38">
        <f t="shared" si="67"/>
        <v>4.6860915808274737E-3</v>
      </c>
      <c r="FM38">
        <f t="shared" si="68"/>
        <v>4.2652307260072232E-3</v>
      </c>
      <c r="FN38">
        <f t="shared" si="69"/>
        <v>3.8258192079121049E-3</v>
      </c>
      <c r="FO38">
        <f t="shared" si="70"/>
        <v>3.3542911221995431E-3</v>
      </c>
      <c r="FP38">
        <f t="shared" si="71"/>
        <v>2.873312067370389E-3</v>
      </c>
      <c r="FQ38">
        <f t="shared" si="72"/>
        <v>2.4035626596213633E-3</v>
      </c>
      <c r="FR38">
        <f t="shared" si="73"/>
        <v>1.9535069527099776E-3</v>
      </c>
      <c r="FS38">
        <f t="shared" si="74"/>
        <v>1.6006373175992937E-3</v>
      </c>
      <c r="FT38">
        <f t="shared" si="75"/>
        <v>1.3406938484456091E-3</v>
      </c>
      <c r="FU38">
        <f t="shared" si="76"/>
        <v>1.1454518811378994E-3</v>
      </c>
      <c r="FV38">
        <f t="shared" si="77"/>
        <v>9.7378436658827189E-4</v>
      </c>
      <c r="FW38">
        <f t="shared" si="78"/>
        <v>8.6163844219770875E-4</v>
      </c>
      <c r="FX38">
        <f t="shared" si="79"/>
        <v>7.3492297072652395E-4</v>
      </c>
      <c r="FY38">
        <f t="shared" si="80"/>
        <v>5.6967319390739582E-4</v>
      </c>
      <c r="FZ38">
        <f t="shared" si="81"/>
        <v>3.6589468753331372E-4</v>
      </c>
      <c r="GA38">
        <f t="shared" si="82"/>
        <v>2.5544380421144895E-4</v>
      </c>
      <c r="GB38">
        <f t="shared" si="83"/>
        <v>2.0455354159957251E-4</v>
      </c>
      <c r="GC38">
        <f t="shared" si="84"/>
        <v>1.463980207228473E-4</v>
      </c>
      <c r="GD38">
        <f t="shared" si="85"/>
        <v>8.0982817374262422E-5</v>
      </c>
      <c r="GE38">
        <f t="shared" si="86"/>
        <v>1.2974870285727667E-4</v>
      </c>
    </row>
    <row r="39" spans="1:187">
      <c r="A39" s="4">
        <v>1987</v>
      </c>
      <c r="B39" s="17">
        <v>3826.7779999999998</v>
      </c>
      <c r="C39" s="17">
        <v>3744.7649999999999</v>
      </c>
      <c r="D39" s="17">
        <v>3700.4639999999999</v>
      </c>
      <c r="E39" s="17">
        <v>3628.1080000000002</v>
      </c>
      <c r="F39" s="17">
        <v>3565.3209999999999</v>
      </c>
      <c r="G39" s="17">
        <v>3512.2910000000002</v>
      </c>
      <c r="H39" s="17">
        <v>3469.2049999999999</v>
      </c>
      <c r="I39" s="17">
        <v>3435.761</v>
      </c>
      <c r="J39" s="17">
        <v>3411.6550000000002</v>
      </c>
      <c r="K39" s="17">
        <v>3399.5309999999999</v>
      </c>
      <c r="L39" s="17">
        <v>3400.556</v>
      </c>
      <c r="M39" s="17">
        <v>3413.4470000000001</v>
      </c>
      <c r="N39" s="17">
        <v>3434.7139999999999</v>
      </c>
      <c r="O39" s="17">
        <v>3463.808</v>
      </c>
      <c r="P39" s="17">
        <v>3504.5859999999998</v>
      </c>
      <c r="Q39" s="17">
        <v>3558.2089999999998</v>
      </c>
      <c r="R39" s="17">
        <v>3622.1759999999999</v>
      </c>
      <c r="S39" s="17">
        <v>3689.4740000000002</v>
      </c>
      <c r="T39" s="17">
        <v>3757.4929999999999</v>
      </c>
      <c r="U39" s="17">
        <v>3837.4760000000001</v>
      </c>
      <c r="V39" s="17">
        <v>3933</v>
      </c>
      <c r="W39" s="17">
        <v>4036.1060000000002</v>
      </c>
      <c r="X39" s="17">
        <v>4134.1490000000003</v>
      </c>
      <c r="Y39" s="17">
        <v>4228.3410000000003</v>
      </c>
      <c r="Z39" s="17">
        <v>4306.4129999999996</v>
      </c>
      <c r="AA39" s="17">
        <v>4360.5280000000002</v>
      </c>
      <c r="AB39" s="17">
        <v>4394.08</v>
      </c>
      <c r="AC39" s="17">
        <v>4420.5370000000003</v>
      </c>
      <c r="AD39" s="17">
        <v>4439.8919999999998</v>
      </c>
      <c r="AE39" s="17">
        <v>4432.116</v>
      </c>
      <c r="AF39" s="17">
        <v>4389.4380000000001</v>
      </c>
      <c r="AG39" s="17">
        <v>4320.768</v>
      </c>
      <c r="AH39" s="17">
        <v>4242.2139999999999</v>
      </c>
      <c r="AI39" s="17">
        <v>4149.866</v>
      </c>
      <c r="AJ39" s="17">
        <v>4056.6860000000001</v>
      </c>
      <c r="AK39" s="17">
        <v>3970.538</v>
      </c>
      <c r="AL39" s="17">
        <v>3885.2220000000002</v>
      </c>
      <c r="AM39" s="17">
        <v>3791.2719999999999</v>
      </c>
      <c r="AN39" s="17">
        <v>3696.0949999999998</v>
      </c>
      <c r="AO39" s="17">
        <v>3576.0749999999998</v>
      </c>
      <c r="AP39" s="17">
        <v>3420.2959999999998</v>
      </c>
      <c r="AQ39" s="17">
        <v>3243.6950000000002</v>
      </c>
      <c r="AR39" s="17">
        <v>3071.4569999999999</v>
      </c>
      <c r="AS39" s="17">
        <v>2897.7420000000002</v>
      </c>
      <c r="AT39" s="17">
        <v>2748.3040000000001</v>
      </c>
      <c r="AU39" s="17">
        <v>2638.2719999999999</v>
      </c>
      <c r="AV39" s="17">
        <v>2556.4450000000002</v>
      </c>
      <c r="AW39" s="17">
        <v>2476.5349999999999</v>
      </c>
      <c r="AX39" s="17">
        <v>2403.8519999999999</v>
      </c>
      <c r="AY39" s="17">
        <v>2339.4229999999998</v>
      </c>
      <c r="AZ39" s="17">
        <v>2281.15</v>
      </c>
      <c r="BA39" s="17">
        <v>2230.5039999999999</v>
      </c>
      <c r="BB39" s="17">
        <v>2187.922</v>
      </c>
      <c r="BC39" s="17">
        <v>2149.5590000000002</v>
      </c>
      <c r="BD39" s="17">
        <v>2130.6260000000002</v>
      </c>
      <c r="BE39" s="17">
        <v>2137.5219999999999</v>
      </c>
      <c r="BF39" s="17">
        <v>2160.7620000000002</v>
      </c>
      <c r="BG39" s="17">
        <v>2183.6689999999999</v>
      </c>
      <c r="BH39" s="17">
        <v>2208.63</v>
      </c>
      <c r="BI39" s="17">
        <v>2223.9760000000001</v>
      </c>
      <c r="BJ39" s="17">
        <v>2221.8890000000001</v>
      </c>
      <c r="BK39" s="17">
        <v>2206.2640000000001</v>
      </c>
      <c r="BL39" s="17">
        <v>2190.3870000000002</v>
      </c>
      <c r="BM39" s="17">
        <v>2173.4899999999998</v>
      </c>
      <c r="BN39" s="17">
        <v>2140.6170000000002</v>
      </c>
      <c r="BO39" s="17">
        <v>2086.2489999999998</v>
      </c>
      <c r="BP39" s="17">
        <v>2016.6890000000001</v>
      </c>
      <c r="BQ39" s="17">
        <v>1943.876</v>
      </c>
      <c r="BR39" s="17">
        <v>1865.5650000000001</v>
      </c>
      <c r="BS39" s="17">
        <v>1788.2429999999999</v>
      </c>
      <c r="BT39" s="17">
        <v>1716.395</v>
      </c>
      <c r="BU39" s="17">
        <v>1647.2280000000001</v>
      </c>
      <c r="BV39" s="17">
        <v>1573.8130000000001</v>
      </c>
      <c r="BW39" s="17">
        <v>1497.9549999999999</v>
      </c>
      <c r="BX39" s="17">
        <v>1420.0709999999999</v>
      </c>
      <c r="BY39" s="17">
        <v>1339.818</v>
      </c>
      <c r="BZ39" s="17">
        <v>1258.0070000000001</v>
      </c>
      <c r="CA39" s="17">
        <v>1175.9659999999999</v>
      </c>
      <c r="CB39" s="17">
        <v>1093.6379999999999</v>
      </c>
      <c r="CC39" s="17">
        <v>1012.023</v>
      </c>
      <c r="CD39" s="17">
        <v>931.82399999999996</v>
      </c>
      <c r="CE39" s="17">
        <v>852.86099999999999</v>
      </c>
      <c r="CF39" s="17">
        <v>775.53899999999999</v>
      </c>
      <c r="CG39" s="17">
        <v>701.32600000000002</v>
      </c>
      <c r="CH39" s="17">
        <v>624.98599999999999</v>
      </c>
      <c r="CI39" s="17">
        <v>544.46</v>
      </c>
      <c r="CJ39" s="17">
        <v>463.27100000000002</v>
      </c>
      <c r="CK39" s="17">
        <v>382.43599999999998</v>
      </c>
      <c r="CL39" s="17">
        <v>307.488</v>
      </c>
      <c r="CM39" s="17">
        <v>252.79</v>
      </c>
      <c r="CN39" s="17">
        <v>209.85</v>
      </c>
      <c r="CO39" s="17">
        <v>174.87299999999999</v>
      </c>
      <c r="CP39" s="17">
        <v>146.99700000000001</v>
      </c>
      <c r="CQ39" s="17">
        <v>129.84100000000001</v>
      </c>
      <c r="CR39" s="17">
        <v>110.20399999999999</v>
      </c>
      <c r="CS39" s="17">
        <v>84.861999999999995</v>
      </c>
      <c r="CT39" s="17">
        <v>53.814</v>
      </c>
      <c r="CU39" s="17">
        <v>39.223999999999997</v>
      </c>
      <c r="CV39" s="17">
        <v>28.175000000000001</v>
      </c>
      <c r="CW39" s="17">
        <v>15.564</v>
      </c>
      <c r="CX39" s="17">
        <v>24.716999999999999</v>
      </c>
      <c r="CY39" s="3">
        <f t="shared" si="87"/>
        <v>245052.77999999991</v>
      </c>
      <c r="CZ39" s="21">
        <f t="shared" si="3"/>
        <v>181271.93099999992</v>
      </c>
      <c r="DA39">
        <f t="shared" si="4"/>
        <v>2.0728487743643012E-2</v>
      </c>
      <c r="DB39">
        <f t="shared" si="5"/>
        <v>2.1169719872405408E-2</v>
      </c>
      <c r="DC39">
        <f t="shared" si="6"/>
        <v>2.1696685075859878E-2</v>
      </c>
      <c r="DD39">
        <f t="shared" si="7"/>
        <v>2.2265476942483733E-2</v>
      </c>
      <c r="DE39">
        <f t="shared" si="8"/>
        <v>2.2806338395545651E-2</v>
      </c>
      <c r="DF39">
        <f t="shared" si="9"/>
        <v>2.3325955522589994E-2</v>
      </c>
      <c r="DG39">
        <f t="shared" si="10"/>
        <v>2.3756645478664875E-2</v>
      </c>
      <c r="DH39">
        <f t="shared" si="11"/>
        <v>2.4055174874261155E-2</v>
      </c>
      <c r="DI39">
        <f t="shared" si="12"/>
        <v>2.4240266961132562E-2</v>
      </c>
      <c r="DJ39">
        <f t="shared" si="13"/>
        <v>2.4386218956314876E-2</v>
      </c>
      <c r="DK39">
        <f t="shared" si="14"/>
        <v>2.4492992243790913E-2</v>
      </c>
      <c r="DL39">
        <f t="shared" si="15"/>
        <v>2.4450095365288527E-2</v>
      </c>
      <c r="DM39">
        <f t="shared" si="16"/>
        <v>2.4214659025174737E-2</v>
      </c>
      <c r="DN39">
        <f t="shared" si="17"/>
        <v>2.383583589673352E-2</v>
      </c>
      <c r="DO39">
        <f t="shared" si="18"/>
        <v>2.340248695204776E-2</v>
      </c>
      <c r="DP39">
        <f t="shared" si="19"/>
        <v>2.2893042387240867E-2</v>
      </c>
      <c r="DQ39">
        <f t="shared" si="20"/>
        <v>2.2379008032964585E-2</v>
      </c>
      <c r="DR39">
        <f t="shared" si="21"/>
        <v>2.1903766226222865E-2</v>
      </c>
      <c r="DS39">
        <f t="shared" si="22"/>
        <v>2.1433114208950541E-2</v>
      </c>
      <c r="DT39">
        <f t="shared" si="23"/>
        <v>2.0914832092785517E-2</v>
      </c>
      <c r="DU39">
        <f t="shared" si="24"/>
        <v>2.0389781140467914E-2</v>
      </c>
      <c r="DV39">
        <f t="shared" si="25"/>
        <v>1.9727681943212717E-2</v>
      </c>
      <c r="DW39">
        <f t="shared" si="26"/>
        <v>1.886831558052968E-2</v>
      </c>
      <c r="DX39">
        <f t="shared" si="27"/>
        <v>1.7894083116486475E-2</v>
      </c>
      <c r="DY39">
        <f t="shared" si="28"/>
        <v>1.6943919464288165E-2</v>
      </c>
      <c r="DZ39">
        <f t="shared" si="29"/>
        <v>1.598560783246691E-2</v>
      </c>
      <c r="EA39">
        <f t="shared" si="30"/>
        <v>1.5161222064766338E-2</v>
      </c>
      <c r="EB39">
        <f t="shared" si="31"/>
        <v>1.4554222407439357E-2</v>
      </c>
      <c r="EC39">
        <f t="shared" si="32"/>
        <v>1.4102817716439514E-2</v>
      </c>
      <c r="ED39">
        <f t="shared" si="33"/>
        <v>1.3661988297570465E-2</v>
      </c>
      <c r="EE39">
        <f t="shared" si="34"/>
        <v>1.3261027158142872E-2</v>
      </c>
      <c r="EF39">
        <f t="shared" si="35"/>
        <v>1.2905599819533013E-2</v>
      </c>
      <c r="EG39">
        <f t="shared" si="36"/>
        <v>1.2584132509737545E-2</v>
      </c>
      <c r="EH39">
        <f t="shared" si="37"/>
        <v>1.230474010893612E-2</v>
      </c>
      <c r="EI39">
        <f t="shared" si="38"/>
        <v>1.2069833359914951E-2</v>
      </c>
      <c r="EJ39">
        <f t="shared" si="39"/>
        <v>1.1858201036099743E-2</v>
      </c>
      <c r="EK39">
        <f t="shared" si="40"/>
        <v>1.1753755742801686E-2</v>
      </c>
      <c r="EL39">
        <f t="shared" si="41"/>
        <v>1.1791798036288369E-2</v>
      </c>
      <c r="EM39">
        <f t="shared" si="42"/>
        <v>1.1920003213293961E-2</v>
      </c>
      <c r="EN39">
        <f t="shared" si="43"/>
        <v>1.2046371371197016E-2</v>
      </c>
      <c r="EO39">
        <f t="shared" si="44"/>
        <v>1.2184070571852633E-2</v>
      </c>
      <c r="EP39">
        <f t="shared" si="45"/>
        <v>1.2268727914637822E-2</v>
      </c>
      <c r="EQ39">
        <f t="shared" si="46"/>
        <v>1.2257214824947174E-2</v>
      </c>
      <c r="ER39">
        <f t="shared" si="47"/>
        <v>1.2171018358049053E-2</v>
      </c>
      <c r="ES39">
        <f t="shared" si="48"/>
        <v>1.2083431714532798E-2</v>
      </c>
      <c r="ET39">
        <f t="shared" si="49"/>
        <v>1.1990218165657433E-2</v>
      </c>
      <c r="EU39">
        <f t="shared" si="50"/>
        <v>1.1808871832451551E-2</v>
      </c>
      <c r="EV39">
        <f t="shared" si="51"/>
        <v>1.1508946743663257E-2</v>
      </c>
      <c r="EW39">
        <f t="shared" si="52"/>
        <v>1.1125213864467527E-2</v>
      </c>
      <c r="EX39">
        <f t="shared" si="53"/>
        <v>1.0723535570435341E-2</v>
      </c>
      <c r="EY39">
        <f t="shared" si="54"/>
        <v>1.029152715320278E-2</v>
      </c>
      <c r="EZ39">
        <f t="shared" si="55"/>
        <v>9.864974627539002E-3</v>
      </c>
      <c r="FA39">
        <f t="shared" si="56"/>
        <v>9.4686198273024446E-3</v>
      </c>
      <c r="FB39">
        <f t="shared" si="57"/>
        <v>9.0870549616421346E-3</v>
      </c>
      <c r="FC39">
        <f t="shared" si="58"/>
        <v>8.6820556901332988E-3</v>
      </c>
      <c r="FD39">
        <f t="shared" si="59"/>
        <v>8.2635794286320067E-3</v>
      </c>
      <c r="FE39">
        <f t="shared" si="60"/>
        <v>7.8339265884468379E-3</v>
      </c>
      <c r="FF39">
        <f t="shared" si="61"/>
        <v>7.3912049847364427E-3</v>
      </c>
      <c r="FG39">
        <f t="shared" si="62"/>
        <v>6.9398885589187029E-3</v>
      </c>
      <c r="FH39">
        <f t="shared" si="63"/>
        <v>6.4873033211082214E-3</v>
      </c>
      <c r="FI39">
        <f t="shared" si="64"/>
        <v>6.033134826593756E-3</v>
      </c>
      <c r="FJ39">
        <f t="shared" si="65"/>
        <v>5.5828996492567869E-3</v>
      </c>
      <c r="FK39">
        <f t="shared" si="66"/>
        <v>5.1404759405359914E-3</v>
      </c>
      <c r="FL39">
        <f t="shared" si="67"/>
        <v>4.7048707171327055E-3</v>
      </c>
      <c r="FM39">
        <f t="shared" si="68"/>
        <v>4.2783181914689281E-3</v>
      </c>
      <c r="FN39">
        <f t="shared" si="69"/>
        <v>3.8689166940026713E-3</v>
      </c>
      <c r="FO39">
        <f t="shared" si="70"/>
        <v>3.4477814438905064E-3</v>
      </c>
      <c r="FP39">
        <f t="shared" si="71"/>
        <v>3.0035538155104677E-3</v>
      </c>
      <c r="FQ39">
        <f t="shared" si="72"/>
        <v>2.555668698647008E-3</v>
      </c>
      <c r="FR39">
        <f t="shared" si="73"/>
        <v>2.1097364489375916E-3</v>
      </c>
      <c r="FS39">
        <f t="shared" si="74"/>
        <v>1.696280269668447E-3</v>
      </c>
      <c r="FT39">
        <f t="shared" si="75"/>
        <v>1.3945347114992673E-3</v>
      </c>
      <c r="FU39">
        <f t="shared" si="76"/>
        <v>1.1576530290285266E-3</v>
      </c>
      <c r="FV39">
        <f t="shared" si="77"/>
        <v>9.6469982437600926E-4</v>
      </c>
      <c r="FW39">
        <f t="shared" si="78"/>
        <v>8.1091981085587973E-4</v>
      </c>
      <c r="FX39">
        <f t="shared" si="79"/>
        <v>7.1627746934521295E-4</v>
      </c>
      <c r="FY39">
        <f t="shared" si="80"/>
        <v>6.0794850803459494E-4</v>
      </c>
      <c r="FZ39">
        <f t="shared" si="81"/>
        <v>4.6814749273013499E-4</v>
      </c>
      <c r="GA39">
        <f t="shared" si="82"/>
        <v>2.9686890685795157E-4</v>
      </c>
      <c r="GB39">
        <f t="shared" si="83"/>
        <v>2.1638209392716191E-4</v>
      </c>
      <c r="GC39">
        <f t="shared" si="84"/>
        <v>1.5542946911069211E-4</v>
      </c>
      <c r="GD39">
        <f t="shared" si="85"/>
        <v>8.5859955891350915E-5</v>
      </c>
      <c r="GE39">
        <f t="shared" si="86"/>
        <v>1.3635315662853512E-4</v>
      </c>
    </row>
    <row r="40" spans="1:187">
      <c r="A40" s="4">
        <v>1988</v>
      </c>
      <c r="B40" s="17">
        <v>3876.8040000000001</v>
      </c>
      <c r="C40" s="17">
        <v>3803.3249999999998</v>
      </c>
      <c r="D40" s="17">
        <v>3734.6680000000001</v>
      </c>
      <c r="E40" s="17">
        <v>3696.8760000000002</v>
      </c>
      <c r="F40" s="17">
        <v>3632.6860000000001</v>
      </c>
      <c r="G40" s="17">
        <v>3576.2179999999998</v>
      </c>
      <c r="H40" s="17">
        <v>3527.893</v>
      </c>
      <c r="I40" s="17">
        <v>3488.13</v>
      </c>
      <c r="J40" s="17">
        <v>3456.6129999999998</v>
      </c>
      <c r="K40" s="17">
        <v>3433.027</v>
      </c>
      <c r="L40" s="17">
        <v>3421.4720000000002</v>
      </c>
      <c r="M40" s="17">
        <v>3423.8429999999998</v>
      </c>
      <c r="N40" s="17">
        <v>3438.3490000000002</v>
      </c>
      <c r="O40" s="17">
        <v>3460.357</v>
      </c>
      <c r="P40" s="17">
        <v>3489.654</v>
      </c>
      <c r="Q40" s="17">
        <v>3529.8339999999998</v>
      </c>
      <c r="R40" s="17">
        <v>3581.8510000000001</v>
      </c>
      <c r="S40" s="17">
        <v>3643.4830000000002</v>
      </c>
      <c r="T40" s="17">
        <v>3708.4229999999998</v>
      </c>
      <c r="U40" s="17">
        <v>3774.1770000000001</v>
      </c>
      <c r="V40" s="17">
        <v>3851.328</v>
      </c>
      <c r="W40" s="17">
        <v>3943.2829999999999</v>
      </c>
      <c r="X40" s="17">
        <v>4042.5529999999999</v>
      </c>
      <c r="Y40" s="17">
        <v>4136.7520000000004</v>
      </c>
      <c r="Z40" s="17">
        <v>4226.576</v>
      </c>
      <c r="AA40" s="17">
        <v>4302.8389999999999</v>
      </c>
      <c r="AB40" s="17">
        <v>4359.1180000000004</v>
      </c>
      <c r="AC40" s="17">
        <v>4397.2219999999998</v>
      </c>
      <c r="AD40" s="17">
        <v>4427.9790000000003</v>
      </c>
      <c r="AE40" s="17">
        <v>4452.3419999999996</v>
      </c>
      <c r="AF40" s="17">
        <v>4446.7690000000002</v>
      </c>
      <c r="AG40" s="17">
        <v>4401.6130000000003</v>
      </c>
      <c r="AH40" s="17">
        <v>4327.6329999999998</v>
      </c>
      <c r="AI40" s="17">
        <v>4244.3149999999996</v>
      </c>
      <c r="AJ40" s="17">
        <v>4146.652</v>
      </c>
      <c r="AK40" s="17">
        <v>4050.768</v>
      </c>
      <c r="AL40" s="17">
        <v>3966.3049999999998</v>
      </c>
      <c r="AM40" s="17">
        <v>3885.2939999999999</v>
      </c>
      <c r="AN40" s="17">
        <v>3795.0259999999998</v>
      </c>
      <c r="AO40" s="17">
        <v>3703.9209999999998</v>
      </c>
      <c r="AP40" s="17">
        <v>3585.453</v>
      </c>
      <c r="AQ40" s="17">
        <v>3427.047</v>
      </c>
      <c r="AR40" s="17">
        <v>3245.252</v>
      </c>
      <c r="AS40" s="17">
        <v>3068.3319999999999</v>
      </c>
      <c r="AT40" s="17">
        <v>2889.6030000000001</v>
      </c>
      <c r="AU40" s="17">
        <v>2736.9459999999999</v>
      </c>
      <c r="AV40" s="17">
        <v>2626.7820000000002</v>
      </c>
      <c r="AW40" s="17">
        <v>2546.7310000000002</v>
      </c>
      <c r="AX40" s="17">
        <v>2468.0949999999998</v>
      </c>
      <c r="AY40" s="17">
        <v>2396.752</v>
      </c>
      <c r="AZ40" s="17">
        <v>2332.7289999999998</v>
      </c>
      <c r="BA40" s="17">
        <v>2273.2150000000001</v>
      </c>
      <c r="BB40" s="17">
        <v>2220.2719999999999</v>
      </c>
      <c r="BC40" s="17">
        <v>2175.625</v>
      </c>
      <c r="BD40" s="17">
        <v>2135.1509999999998</v>
      </c>
      <c r="BE40" s="17">
        <v>2114.2979999999998</v>
      </c>
      <c r="BF40" s="17">
        <v>2119.6999999999998</v>
      </c>
      <c r="BG40" s="17">
        <v>2141.6869999999999</v>
      </c>
      <c r="BH40" s="17">
        <v>2163.1060000000002</v>
      </c>
      <c r="BI40" s="17">
        <v>2186.3719999999998</v>
      </c>
      <c r="BJ40" s="17">
        <v>2200.0839999999998</v>
      </c>
      <c r="BK40" s="17">
        <v>2196.489</v>
      </c>
      <c r="BL40" s="17">
        <v>2179.348</v>
      </c>
      <c r="BM40" s="17">
        <v>2161.9290000000001</v>
      </c>
      <c r="BN40" s="17">
        <v>2143.69</v>
      </c>
      <c r="BO40" s="17">
        <v>2108.4670000000001</v>
      </c>
      <c r="BP40" s="17">
        <v>2050.21</v>
      </c>
      <c r="BQ40" s="17">
        <v>1975.8820000000001</v>
      </c>
      <c r="BR40" s="17">
        <v>1898.453</v>
      </c>
      <c r="BS40" s="17">
        <v>1815.279</v>
      </c>
      <c r="BT40" s="17">
        <v>1734.5139999999999</v>
      </c>
      <c r="BU40" s="17">
        <v>1661.5129999999999</v>
      </c>
      <c r="BV40" s="17">
        <v>1592.634</v>
      </c>
      <c r="BW40" s="17">
        <v>1519.402</v>
      </c>
      <c r="BX40" s="17">
        <v>1444.1379999999999</v>
      </c>
      <c r="BY40" s="17">
        <v>1365.778</v>
      </c>
      <c r="BZ40" s="17">
        <v>1283.155</v>
      </c>
      <c r="CA40" s="17">
        <v>1197.9169999999999</v>
      </c>
      <c r="CB40" s="17">
        <v>1113.0619999999999</v>
      </c>
      <c r="CC40" s="17">
        <v>1028.2049999999999</v>
      </c>
      <c r="CD40" s="17">
        <v>945.01800000000003</v>
      </c>
      <c r="CE40" s="17">
        <v>864.71100000000001</v>
      </c>
      <c r="CF40" s="17">
        <v>786.774</v>
      </c>
      <c r="CG40" s="17">
        <v>710.60500000000002</v>
      </c>
      <c r="CH40" s="17">
        <v>637.66</v>
      </c>
      <c r="CI40" s="17">
        <v>563.79300000000001</v>
      </c>
      <c r="CJ40" s="17">
        <v>487.31200000000001</v>
      </c>
      <c r="CK40" s="17">
        <v>411.19900000000001</v>
      </c>
      <c r="CL40" s="17">
        <v>333.78300000000002</v>
      </c>
      <c r="CM40" s="17">
        <v>264.608</v>
      </c>
      <c r="CN40" s="17">
        <v>218.499</v>
      </c>
      <c r="CO40" s="17">
        <v>179.24199999999999</v>
      </c>
      <c r="CP40" s="17">
        <v>144.30500000000001</v>
      </c>
      <c r="CQ40" s="17">
        <v>119.342</v>
      </c>
      <c r="CR40" s="17">
        <v>105.143</v>
      </c>
      <c r="CS40" s="17">
        <v>88.594999999999999</v>
      </c>
      <c r="CT40" s="17">
        <v>67.549000000000007</v>
      </c>
      <c r="CU40" s="17">
        <v>42.003999999999998</v>
      </c>
      <c r="CV40" s="17">
        <v>30.082000000000001</v>
      </c>
      <c r="CW40" s="17">
        <v>16.603000000000002</v>
      </c>
      <c r="CX40" s="17">
        <v>26.163</v>
      </c>
      <c r="CY40" s="3">
        <f t="shared" si="87"/>
        <v>247372.25800000015</v>
      </c>
      <c r="CZ40" s="21">
        <f t="shared" si="3"/>
        <v>183157.17500000005</v>
      </c>
      <c r="DA40">
        <f t="shared" si="4"/>
        <v>2.0247216632381444E-2</v>
      </c>
      <c r="DB40">
        <f t="shared" si="5"/>
        <v>2.060621976725727E-2</v>
      </c>
      <c r="DC40">
        <f t="shared" si="6"/>
        <v>2.1027448146653274E-2</v>
      </c>
      <c r="DD40">
        <f t="shared" si="7"/>
        <v>2.1529503280447511E-2</v>
      </c>
      <c r="DE40">
        <f t="shared" si="8"/>
        <v>2.2071496789574305E-2</v>
      </c>
      <c r="DF40">
        <f t="shared" si="9"/>
        <v>2.2585803695651014E-2</v>
      </c>
      <c r="DG40">
        <f t="shared" si="10"/>
        <v>2.3076224013610161E-2</v>
      </c>
      <c r="DH40">
        <f t="shared" si="11"/>
        <v>2.3492604098092246E-2</v>
      </c>
      <c r="DI40">
        <f t="shared" si="12"/>
        <v>2.3799875707844913E-2</v>
      </c>
      <c r="DJ40">
        <f t="shared" si="13"/>
        <v>2.4007915605817783E-2</v>
      </c>
      <c r="DK40">
        <f t="shared" si="14"/>
        <v>2.4175842415127876E-2</v>
      </c>
      <c r="DL40">
        <f t="shared" si="15"/>
        <v>2.4308859317141131E-2</v>
      </c>
      <c r="DM40">
        <f t="shared" si="16"/>
        <v>2.4278431898723047E-2</v>
      </c>
      <c r="DN40">
        <f t="shared" si="17"/>
        <v>2.4031889550600455E-2</v>
      </c>
      <c r="DO40">
        <f t="shared" si="18"/>
        <v>2.3627974170272056E-2</v>
      </c>
      <c r="DP40">
        <f t="shared" si="19"/>
        <v>2.3173075256265545E-2</v>
      </c>
      <c r="DQ40">
        <f t="shared" si="20"/>
        <v>2.2639855632191307E-2</v>
      </c>
      <c r="DR40">
        <f t="shared" si="21"/>
        <v>2.2116348977319612E-2</v>
      </c>
      <c r="DS40">
        <f t="shared" si="22"/>
        <v>2.1655198601965766E-2</v>
      </c>
      <c r="DT40">
        <f t="shared" si="23"/>
        <v>2.1212895427110617E-2</v>
      </c>
      <c r="DU40">
        <f t="shared" si="24"/>
        <v>2.0720050961694506E-2</v>
      </c>
      <c r="DV40">
        <f t="shared" si="25"/>
        <v>2.0222636650734534E-2</v>
      </c>
      <c r="DW40">
        <f t="shared" si="26"/>
        <v>1.9575826063052124E-2</v>
      </c>
      <c r="DX40">
        <f t="shared" si="27"/>
        <v>1.8710962319657961E-2</v>
      </c>
      <c r="DY40">
        <f t="shared" si="28"/>
        <v>1.7718399511239453E-2</v>
      </c>
      <c r="DZ40">
        <f t="shared" si="29"/>
        <v>1.6752453186723366E-2</v>
      </c>
      <c r="EA40">
        <f t="shared" si="30"/>
        <v>1.5776630099257644E-2</v>
      </c>
      <c r="EB40">
        <f t="shared" si="31"/>
        <v>1.4943154697597837E-2</v>
      </c>
      <c r="EC40">
        <f t="shared" si="32"/>
        <v>1.4341682219110441E-2</v>
      </c>
      <c r="ED40">
        <f t="shared" si="33"/>
        <v>1.3904620444162231E-2</v>
      </c>
      <c r="EE40">
        <f t="shared" si="34"/>
        <v>1.3475284274285182E-2</v>
      </c>
      <c r="EF40">
        <f t="shared" si="35"/>
        <v>1.3085766364326155E-2</v>
      </c>
      <c r="EG40">
        <f t="shared" si="36"/>
        <v>1.2736214128657527E-2</v>
      </c>
      <c r="EH40">
        <f t="shared" si="37"/>
        <v>1.24112800931768E-2</v>
      </c>
      <c r="EI40">
        <f t="shared" si="38"/>
        <v>1.2122222348100746E-2</v>
      </c>
      <c r="EJ40">
        <f t="shared" si="39"/>
        <v>1.1878459033887149E-2</v>
      </c>
      <c r="EK40">
        <f t="shared" si="40"/>
        <v>1.165747942989402E-2</v>
      </c>
      <c r="EL40">
        <f t="shared" si="41"/>
        <v>1.1543626396290503E-2</v>
      </c>
      <c r="EM40">
        <f t="shared" si="42"/>
        <v>1.1573120190350169E-2</v>
      </c>
      <c r="EN40">
        <f t="shared" si="43"/>
        <v>1.1693164627593755E-2</v>
      </c>
      <c r="EO40">
        <f t="shared" si="44"/>
        <v>1.1810107903225739E-2</v>
      </c>
      <c r="EP40">
        <f t="shared" si="45"/>
        <v>1.1937135413887003E-2</v>
      </c>
      <c r="EQ40">
        <f t="shared" si="46"/>
        <v>1.2012000075891099E-2</v>
      </c>
      <c r="ER40">
        <f t="shared" si="47"/>
        <v>1.1992372125197931E-2</v>
      </c>
      <c r="ES40">
        <f t="shared" si="48"/>
        <v>1.1898785837901242E-2</v>
      </c>
      <c r="ET40">
        <f t="shared" si="49"/>
        <v>1.180368172854817E-2</v>
      </c>
      <c r="EU40">
        <f t="shared" si="50"/>
        <v>1.1704100590107919E-2</v>
      </c>
      <c r="EV40">
        <f t="shared" si="51"/>
        <v>1.1511790351647429E-2</v>
      </c>
      <c r="EW40">
        <f t="shared" si="52"/>
        <v>1.1193719274169846E-2</v>
      </c>
      <c r="EX40">
        <f t="shared" si="53"/>
        <v>1.0787903886375183E-2</v>
      </c>
      <c r="EY40">
        <f t="shared" si="54"/>
        <v>1.0365157684922797E-2</v>
      </c>
      <c r="EZ40">
        <f t="shared" si="55"/>
        <v>9.9110449809023289E-3</v>
      </c>
      <c r="FA40">
        <f t="shared" si="56"/>
        <v>9.4700849147733336E-3</v>
      </c>
      <c r="FB40">
        <f t="shared" si="57"/>
        <v>9.071514670391698E-3</v>
      </c>
      <c r="FC40">
        <f t="shared" si="58"/>
        <v>8.6954496868604774E-3</v>
      </c>
      <c r="FD40">
        <f t="shared" si="59"/>
        <v>8.2956182306262345E-3</v>
      </c>
      <c r="FE40">
        <f t="shared" si="60"/>
        <v>7.8846924779223063E-3</v>
      </c>
      <c r="FF40">
        <f t="shared" si="61"/>
        <v>7.4568632105185047E-3</v>
      </c>
      <c r="FG40">
        <f t="shared" si="62"/>
        <v>7.0057588516529564E-3</v>
      </c>
      <c r="FH40">
        <f t="shared" si="63"/>
        <v>6.5403771378325726E-3</v>
      </c>
      <c r="FI40">
        <f t="shared" si="64"/>
        <v>6.0770865241833935E-3</v>
      </c>
      <c r="FJ40">
        <f t="shared" si="65"/>
        <v>5.6137849909510765E-3</v>
      </c>
      <c r="FK40">
        <f t="shared" si="66"/>
        <v>5.159601309640203E-3</v>
      </c>
      <c r="FL40">
        <f t="shared" si="67"/>
        <v>4.7211418280501422E-3</v>
      </c>
      <c r="FM40">
        <f t="shared" si="68"/>
        <v>4.2956220524803341E-3</v>
      </c>
      <c r="FN40">
        <f t="shared" si="69"/>
        <v>3.8797551884058043E-3</v>
      </c>
      <c r="FO40">
        <f t="shared" si="70"/>
        <v>3.4814906923520731E-3</v>
      </c>
      <c r="FP40">
        <f t="shared" si="71"/>
        <v>3.0781922684710544E-3</v>
      </c>
      <c r="FQ40">
        <f t="shared" si="72"/>
        <v>2.6606219494267691E-3</v>
      </c>
      <c r="FR40">
        <f t="shared" si="73"/>
        <v>2.2450608336801433E-3</v>
      </c>
      <c r="FS40">
        <f t="shared" si="74"/>
        <v>1.8223856095181635E-3</v>
      </c>
      <c r="FT40">
        <f t="shared" si="75"/>
        <v>1.444704527682303E-3</v>
      </c>
      <c r="FU40">
        <f t="shared" si="76"/>
        <v>1.1929589981937642E-3</v>
      </c>
      <c r="FV40">
        <f t="shared" si="77"/>
        <v>9.7862396054099405E-4</v>
      </c>
      <c r="FW40">
        <f t="shared" si="78"/>
        <v>7.8787522246944451E-4</v>
      </c>
      <c r="FX40">
        <f t="shared" si="79"/>
        <v>6.5158244551435105E-4</v>
      </c>
      <c r="FY40">
        <f t="shared" si="80"/>
        <v>5.7405886501579848E-4</v>
      </c>
      <c r="FZ40">
        <f t="shared" si="81"/>
        <v>4.8371023411995724E-4</v>
      </c>
      <c r="GA40">
        <f t="shared" si="82"/>
        <v>3.6880346074348434E-4</v>
      </c>
      <c r="GB40">
        <f t="shared" si="83"/>
        <v>2.2933308509480988E-4</v>
      </c>
      <c r="GC40">
        <f t="shared" si="84"/>
        <v>1.6424145000052548E-4</v>
      </c>
      <c r="GD40">
        <f t="shared" si="85"/>
        <v>9.0648919432176204E-5</v>
      </c>
      <c r="GE40">
        <f t="shared" si="86"/>
        <v>1.4284452683876564E-4</v>
      </c>
    </row>
    <row r="41" spans="1:187">
      <c r="A41" s="4">
        <v>1989</v>
      </c>
      <c r="B41" s="17">
        <v>3920.3539999999998</v>
      </c>
      <c r="C41" s="17">
        <v>3856.4459999999999</v>
      </c>
      <c r="D41" s="17">
        <v>3794.3809999999999</v>
      </c>
      <c r="E41" s="17">
        <v>3734.915</v>
      </c>
      <c r="F41" s="17">
        <v>3692.9679999999998</v>
      </c>
      <c r="G41" s="17">
        <v>3636.951</v>
      </c>
      <c r="H41" s="17">
        <v>3586.8090000000002</v>
      </c>
      <c r="I41" s="17">
        <v>3543.1930000000002</v>
      </c>
      <c r="J41" s="17">
        <v>3506.7570000000001</v>
      </c>
      <c r="K41" s="17">
        <v>3477.17</v>
      </c>
      <c r="L41" s="17">
        <v>3454.105</v>
      </c>
      <c r="M41" s="17">
        <v>3443.1210000000001</v>
      </c>
      <c r="N41" s="17">
        <v>3446.8359999999998</v>
      </c>
      <c r="O41" s="17">
        <v>3462.9560000000001</v>
      </c>
      <c r="P41" s="17">
        <v>3485.7060000000001</v>
      </c>
      <c r="Q41" s="17">
        <v>3515.201</v>
      </c>
      <c r="R41" s="17">
        <v>3554.78</v>
      </c>
      <c r="S41" s="17">
        <v>3605.1869999999999</v>
      </c>
      <c r="T41" s="17">
        <v>3664.4810000000002</v>
      </c>
      <c r="U41" s="17">
        <v>3727.0610000000001</v>
      </c>
      <c r="V41" s="17">
        <v>3790.5439999999999</v>
      </c>
      <c r="W41" s="17">
        <v>3864.8580000000002</v>
      </c>
      <c r="X41" s="17">
        <v>3953.2359999999999</v>
      </c>
      <c r="Y41" s="17">
        <v>4048.66</v>
      </c>
      <c r="Z41" s="17">
        <v>4139.0050000000001</v>
      </c>
      <c r="AA41" s="17">
        <v>4224.4520000000002</v>
      </c>
      <c r="AB41" s="17">
        <v>4298.8999999999996</v>
      </c>
      <c r="AC41" s="17">
        <v>4357.3360000000002</v>
      </c>
      <c r="AD41" s="17">
        <v>4399.9849999999997</v>
      </c>
      <c r="AE41" s="17">
        <v>4435.0379999999996</v>
      </c>
      <c r="AF41" s="17">
        <v>4464.4059999999999</v>
      </c>
      <c r="AG41" s="17">
        <v>4461.0339999999997</v>
      </c>
      <c r="AH41" s="17">
        <v>4413.402</v>
      </c>
      <c r="AI41" s="17">
        <v>4334.12</v>
      </c>
      <c r="AJ41" s="17">
        <v>4246.0439999999999</v>
      </c>
      <c r="AK41" s="17">
        <v>4143.0730000000003</v>
      </c>
      <c r="AL41" s="17">
        <v>4044.4929999999999</v>
      </c>
      <c r="AM41" s="17">
        <v>3961.721</v>
      </c>
      <c r="AN41" s="17">
        <v>3885.0210000000002</v>
      </c>
      <c r="AO41" s="17">
        <v>3798.4409999999998</v>
      </c>
      <c r="AP41" s="17">
        <v>3711.4160000000002</v>
      </c>
      <c r="AQ41" s="17">
        <v>3594.51</v>
      </c>
      <c r="AR41" s="17">
        <v>3433.489</v>
      </c>
      <c r="AS41" s="17">
        <v>3246.5149999999999</v>
      </c>
      <c r="AT41" s="17">
        <v>3064.9290000000001</v>
      </c>
      <c r="AU41" s="17">
        <v>2881.2</v>
      </c>
      <c r="AV41" s="17">
        <v>2725.3359999999998</v>
      </c>
      <c r="AW41" s="17">
        <v>2615.0529999999999</v>
      </c>
      <c r="AX41" s="17">
        <v>2536.7860000000001</v>
      </c>
      <c r="AY41" s="17">
        <v>2459.4360000000001</v>
      </c>
      <c r="AZ41" s="17">
        <v>2389.4409999999998</v>
      </c>
      <c r="BA41" s="17">
        <v>2325.83</v>
      </c>
      <c r="BB41" s="17">
        <v>2265.0790000000002</v>
      </c>
      <c r="BC41" s="17">
        <v>2209.8420000000001</v>
      </c>
      <c r="BD41" s="17">
        <v>2163.1320000000001</v>
      </c>
      <c r="BE41" s="17">
        <v>2120.5509999999999</v>
      </c>
      <c r="BF41" s="17">
        <v>2097.7759999999998</v>
      </c>
      <c r="BG41" s="17">
        <v>2101.6819999999998</v>
      </c>
      <c r="BH41" s="17">
        <v>2122.415</v>
      </c>
      <c r="BI41" s="17">
        <v>2142.3420000000001</v>
      </c>
      <c r="BJ41" s="17">
        <v>2163.91</v>
      </c>
      <c r="BK41" s="17">
        <v>2175.9870000000001</v>
      </c>
      <c r="BL41" s="17">
        <v>2170.8829999999998</v>
      </c>
      <c r="BM41" s="17">
        <v>2152.2240000000002</v>
      </c>
      <c r="BN41" s="17">
        <v>2133.2649999999999</v>
      </c>
      <c r="BO41" s="17">
        <v>2113.6860000000001</v>
      </c>
      <c r="BP41" s="17">
        <v>2076.116</v>
      </c>
      <c r="BQ41" s="17">
        <v>2013.9749999999999</v>
      </c>
      <c r="BR41" s="17">
        <v>1934.883</v>
      </c>
      <c r="BS41" s="17">
        <v>1852.845</v>
      </c>
      <c r="BT41" s="17">
        <v>1764.816</v>
      </c>
      <c r="BU41" s="17">
        <v>1680.614</v>
      </c>
      <c r="BV41" s="17">
        <v>1606.4649999999999</v>
      </c>
      <c r="BW41" s="17">
        <v>1537.88</v>
      </c>
      <c r="BX41" s="17">
        <v>1464.837</v>
      </c>
      <c r="BY41" s="17">
        <v>1390.172</v>
      </c>
      <c r="BZ41" s="17">
        <v>1311.345</v>
      </c>
      <c r="CA41" s="17">
        <v>1226.3579999999999</v>
      </c>
      <c r="CB41" s="17">
        <v>1137.6980000000001</v>
      </c>
      <c r="CC41" s="17">
        <v>1050.0340000000001</v>
      </c>
      <c r="CD41" s="17">
        <v>962.65300000000002</v>
      </c>
      <c r="CE41" s="17">
        <v>877.90200000000004</v>
      </c>
      <c r="CF41" s="17">
        <v>797.49300000000005</v>
      </c>
      <c r="CG41" s="17">
        <v>720.59199999999998</v>
      </c>
      <c r="CH41" s="17">
        <v>645.58500000000004</v>
      </c>
      <c r="CI41" s="17">
        <v>573.91899999999998</v>
      </c>
      <c r="CJ41" s="17">
        <v>502.53</v>
      </c>
      <c r="CK41" s="17">
        <v>430.10300000000001</v>
      </c>
      <c r="CL41" s="17">
        <v>359.07400000000001</v>
      </c>
      <c r="CM41" s="17">
        <v>285.084</v>
      </c>
      <c r="CN41" s="17">
        <v>221.69</v>
      </c>
      <c r="CO41" s="17">
        <v>184.17500000000001</v>
      </c>
      <c r="CP41" s="17">
        <v>148.60400000000001</v>
      </c>
      <c r="CQ41" s="17">
        <v>113.71299999999999</v>
      </c>
      <c r="CR41" s="17">
        <v>91.667000000000002</v>
      </c>
      <c r="CS41" s="17">
        <v>80.429000000000002</v>
      </c>
      <c r="CT41" s="17">
        <v>66.972999999999999</v>
      </c>
      <c r="CU41" s="17">
        <v>50.225000000000001</v>
      </c>
      <c r="CV41" s="17">
        <v>30.186</v>
      </c>
      <c r="CW41" s="17">
        <v>17.558</v>
      </c>
      <c r="CX41" s="17">
        <v>27.754000000000001</v>
      </c>
      <c r="CY41" s="3">
        <f t="shared" si="87"/>
        <v>249725.80899999995</v>
      </c>
      <c r="CZ41" s="21">
        <f t="shared" si="3"/>
        <v>185007.97299999997</v>
      </c>
      <c r="DA41">
        <f t="shared" si="4"/>
        <v>1.9807151770696935E-2</v>
      </c>
      <c r="DB41">
        <f t="shared" si="5"/>
        <v>2.0145407463061069E-2</v>
      </c>
      <c r="DC41">
        <f t="shared" si="6"/>
        <v>2.0488544026153944E-2</v>
      </c>
      <c r="DD41">
        <f t="shared" si="7"/>
        <v>2.089022401212947E-2</v>
      </c>
      <c r="DE41">
        <f t="shared" si="8"/>
        <v>2.136792234354138E-2</v>
      </c>
      <c r="DF41">
        <f t="shared" si="9"/>
        <v>2.1883705520085887E-2</v>
      </c>
      <c r="DG41">
        <f t="shared" si="10"/>
        <v>2.2372035825720879E-2</v>
      </c>
      <c r="DH41">
        <f t="shared" si="11"/>
        <v>2.2833891596661084E-2</v>
      </c>
      <c r="DI41">
        <f t="shared" si="12"/>
        <v>2.3236295875745855E-2</v>
      </c>
      <c r="DJ41">
        <f t="shared" si="13"/>
        <v>2.3552152533447848E-2</v>
      </c>
      <c r="DK41">
        <f t="shared" si="14"/>
        <v>2.3782677733569894E-2</v>
      </c>
      <c r="DL41">
        <f t="shared" si="15"/>
        <v>2.3972145243707957E-2</v>
      </c>
      <c r="DM41">
        <f t="shared" si="16"/>
        <v>2.4130884348427518E-2</v>
      </c>
      <c r="DN41">
        <f t="shared" si="17"/>
        <v>2.4112658106902239E-2</v>
      </c>
      <c r="DO41">
        <f t="shared" si="18"/>
        <v>2.3855198932426554E-2</v>
      </c>
      <c r="DP41">
        <f t="shared" si="19"/>
        <v>2.3426666049684252E-2</v>
      </c>
      <c r="DQ41">
        <f t="shared" si="20"/>
        <v>2.2950600080354377E-2</v>
      </c>
      <c r="DR41">
        <f t="shared" si="21"/>
        <v>2.2394024067276284E-2</v>
      </c>
      <c r="DS41">
        <f t="shared" si="22"/>
        <v>2.186118216645723E-2</v>
      </c>
      <c r="DT41">
        <f t="shared" si="23"/>
        <v>2.1413785231839715E-2</v>
      </c>
      <c r="DU41">
        <f t="shared" si="24"/>
        <v>2.0999208504381597E-2</v>
      </c>
      <c r="DV41">
        <f t="shared" si="25"/>
        <v>2.0531228673047516E-2</v>
      </c>
      <c r="DW41">
        <f t="shared" si="26"/>
        <v>2.0060843539970036E-2</v>
      </c>
      <c r="DX41">
        <f t="shared" si="27"/>
        <v>1.9428946448702515E-2</v>
      </c>
      <c r="DY41">
        <f t="shared" si="28"/>
        <v>1.8558600174490861E-2</v>
      </c>
      <c r="DZ41">
        <f t="shared" si="29"/>
        <v>1.7547973459500581E-2</v>
      </c>
      <c r="EA41">
        <f t="shared" si="30"/>
        <v>1.6566469813709059E-2</v>
      </c>
      <c r="EB41">
        <f t="shared" si="31"/>
        <v>1.5573382883342007E-2</v>
      </c>
      <c r="EC41">
        <f t="shared" si="32"/>
        <v>1.4730911083491522E-2</v>
      </c>
      <c r="ED41">
        <f t="shared" si="33"/>
        <v>1.4134812449407249E-2</v>
      </c>
      <c r="EE41">
        <f t="shared" si="34"/>
        <v>1.3711765816708885E-2</v>
      </c>
      <c r="EF41">
        <f t="shared" si="35"/>
        <v>1.3293675727153665E-2</v>
      </c>
      <c r="EG41">
        <f t="shared" si="36"/>
        <v>1.2915340681020272E-2</v>
      </c>
      <c r="EH41">
        <f t="shared" si="37"/>
        <v>1.2571512255852889E-2</v>
      </c>
      <c r="EI41">
        <f t="shared" si="38"/>
        <v>1.2243142623912757E-2</v>
      </c>
      <c r="EJ41">
        <f t="shared" si="39"/>
        <v>1.1944577112900969E-2</v>
      </c>
      <c r="EK41">
        <f t="shared" si="40"/>
        <v>1.1692101507430712E-2</v>
      </c>
      <c r="EL41">
        <f t="shared" si="41"/>
        <v>1.1461943859035742E-2</v>
      </c>
      <c r="EM41">
        <f t="shared" si="42"/>
        <v>1.1338841056325719E-2</v>
      </c>
      <c r="EN41">
        <f t="shared" si="43"/>
        <v>1.1359953659943078E-2</v>
      </c>
      <c r="EO41">
        <f t="shared" si="44"/>
        <v>1.147201910049574E-2</v>
      </c>
      <c r="EP41">
        <f t="shared" si="45"/>
        <v>1.1579727972047996E-2</v>
      </c>
      <c r="EQ41">
        <f t="shared" si="46"/>
        <v>1.169630673160232E-2</v>
      </c>
      <c r="ER41">
        <f t="shared" si="47"/>
        <v>1.1761584999366489E-2</v>
      </c>
      <c r="ES41">
        <f t="shared" si="48"/>
        <v>1.1733996999145546E-2</v>
      </c>
      <c r="ET41">
        <f t="shared" si="49"/>
        <v>1.1633141886268872E-2</v>
      </c>
      <c r="EU41">
        <f t="shared" si="50"/>
        <v>1.153066522165507E-2</v>
      </c>
      <c r="EV41">
        <f t="shared" si="51"/>
        <v>1.1424837350117881E-2</v>
      </c>
      <c r="EW41">
        <f t="shared" si="52"/>
        <v>1.1221765020905343E-2</v>
      </c>
      <c r="EX41">
        <f t="shared" si="53"/>
        <v>1.0885882199249868E-2</v>
      </c>
      <c r="EY41">
        <f t="shared" si="54"/>
        <v>1.0458376299274413E-2</v>
      </c>
      <c r="EZ41">
        <f t="shared" si="55"/>
        <v>1.0014946761240394E-2</v>
      </c>
      <c r="FA41">
        <f t="shared" si="56"/>
        <v>9.5391348350160037E-3</v>
      </c>
      <c r="FB41">
        <f t="shared" si="57"/>
        <v>9.0840085037848621E-3</v>
      </c>
      <c r="FC41">
        <f t="shared" si="58"/>
        <v>8.683220371264757E-3</v>
      </c>
      <c r="FD41">
        <f t="shared" si="59"/>
        <v>8.3125066182958528E-3</v>
      </c>
      <c r="FE41">
        <f t="shared" si="60"/>
        <v>7.9176966065132789E-3</v>
      </c>
      <c r="FF41">
        <f t="shared" si="61"/>
        <v>7.5141194050053197E-3</v>
      </c>
      <c r="FG41">
        <f t="shared" si="62"/>
        <v>7.0880458757309897E-3</v>
      </c>
      <c r="FH41">
        <f t="shared" si="63"/>
        <v>6.6286764841210393E-3</v>
      </c>
      <c r="FI41">
        <f t="shared" si="64"/>
        <v>6.1494538940762315E-3</v>
      </c>
      <c r="FJ41">
        <f t="shared" si="65"/>
        <v>5.6756148557986757E-3</v>
      </c>
      <c r="FK41">
        <f t="shared" si="66"/>
        <v>5.2033054813264736E-3</v>
      </c>
      <c r="FL41">
        <f t="shared" si="67"/>
        <v>4.745211710416395E-3</v>
      </c>
      <c r="FM41">
        <f t="shared" si="68"/>
        <v>4.3105871983149619E-3</v>
      </c>
      <c r="FN41">
        <f t="shared" si="69"/>
        <v>3.8949240311929698E-3</v>
      </c>
      <c r="FO41">
        <f t="shared" si="70"/>
        <v>3.4894982607046893E-3</v>
      </c>
      <c r="FP41">
        <f t="shared" si="71"/>
        <v>3.1021311713955164E-3</v>
      </c>
      <c r="FQ41">
        <f t="shared" si="72"/>
        <v>2.7162613148569549E-3</v>
      </c>
      <c r="FR41">
        <f t="shared" si="73"/>
        <v>2.3247808893079439E-3</v>
      </c>
      <c r="FS41">
        <f t="shared" si="74"/>
        <v>1.940856894853932E-3</v>
      </c>
      <c r="FT41">
        <f t="shared" si="75"/>
        <v>1.5409281847545027E-3</v>
      </c>
      <c r="FU41">
        <f t="shared" si="76"/>
        <v>1.1982726820103046E-3</v>
      </c>
      <c r="FV41">
        <f t="shared" si="77"/>
        <v>9.95497637282908E-4</v>
      </c>
      <c r="FW41">
        <f t="shared" si="78"/>
        <v>8.0323024781207689E-4</v>
      </c>
      <c r="FX41">
        <f t="shared" si="79"/>
        <v>6.146383756120608E-4</v>
      </c>
      <c r="FY41">
        <f t="shared" si="80"/>
        <v>4.9547594362325136E-4</v>
      </c>
      <c r="FZ41">
        <f t="shared" si="81"/>
        <v>4.3473261555057423E-4</v>
      </c>
      <c r="GA41">
        <f t="shared" si="82"/>
        <v>3.6200061496809117E-4</v>
      </c>
      <c r="GB41">
        <f t="shared" si="83"/>
        <v>2.7147478665689729E-4</v>
      </c>
      <c r="GC41">
        <f t="shared" si="84"/>
        <v>1.6316053578944949E-4</v>
      </c>
      <c r="GD41">
        <f t="shared" si="85"/>
        <v>9.4904018001429609E-5</v>
      </c>
      <c r="GE41">
        <f t="shared" si="86"/>
        <v>1.5001515637382831E-4</v>
      </c>
    </row>
    <row r="42" spans="1:187">
      <c r="A42" s="4">
        <v>1990</v>
      </c>
      <c r="B42" s="17">
        <v>3957.5160000000001</v>
      </c>
      <c r="C42" s="17">
        <v>3902.8130000000001</v>
      </c>
      <c r="D42" s="17">
        <v>3847.712</v>
      </c>
      <c r="E42" s="17">
        <v>3793.098</v>
      </c>
      <c r="F42" s="17">
        <v>3739.857</v>
      </c>
      <c r="G42" s="17">
        <v>3688.873</v>
      </c>
      <c r="H42" s="17">
        <v>3641.03</v>
      </c>
      <c r="I42" s="17">
        <v>3597.2150000000001</v>
      </c>
      <c r="J42" s="17">
        <v>3558.3110000000001</v>
      </c>
      <c r="K42" s="17">
        <v>3525.2020000000002</v>
      </c>
      <c r="L42" s="17">
        <v>3497.5479999999998</v>
      </c>
      <c r="M42" s="17">
        <v>3475.0039999999999</v>
      </c>
      <c r="N42" s="17">
        <v>3464.5920000000001</v>
      </c>
      <c r="O42" s="17">
        <v>3469.652</v>
      </c>
      <c r="P42" s="17">
        <v>3487.386</v>
      </c>
      <c r="Q42" s="17">
        <v>3510.8760000000002</v>
      </c>
      <c r="R42" s="17">
        <v>3540.569</v>
      </c>
      <c r="S42" s="17">
        <v>3579.5450000000001</v>
      </c>
      <c r="T42" s="17">
        <v>3628.3409999999999</v>
      </c>
      <c r="U42" s="17">
        <v>3685.2979999999998</v>
      </c>
      <c r="V42" s="17">
        <v>3745.5140000000001</v>
      </c>
      <c r="W42" s="17">
        <v>3806.7260000000001</v>
      </c>
      <c r="X42" s="17">
        <v>3878.1990000000001</v>
      </c>
      <c r="Y42" s="17">
        <v>3962.9949999999999</v>
      </c>
      <c r="Z42" s="17">
        <v>4054.5680000000002</v>
      </c>
      <c r="AA42" s="17">
        <v>4141.0540000000001</v>
      </c>
      <c r="AB42" s="17">
        <v>4222.1180000000004</v>
      </c>
      <c r="AC42" s="17">
        <v>4294.7430000000004</v>
      </c>
      <c r="AD42" s="17">
        <v>4355.33</v>
      </c>
      <c r="AE42" s="17">
        <v>4402.518</v>
      </c>
      <c r="AF42" s="17">
        <v>4441.8590000000004</v>
      </c>
      <c r="AG42" s="17">
        <v>4476.2219999999998</v>
      </c>
      <c r="AH42" s="17">
        <v>4475.049</v>
      </c>
      <c r="AI42" s="17">
        <v>4424.9440000000004</v>
      </c>
      <c r="AJ42" s="17">
        <v>4340.3620000000001</v>
      </c>
      <c r="AK42" s="17">
        <v>4247.5330000000004</v>
      </c>
      <c r="AL42" s="17">
        <v>4139.2610000000004</v>
      </c>
      <c r="AM42" s="17">
        <v>4037.989</v>
      </c>
      <c r="AN42" s="17">
        <v>3956.9090000000001</v>
      </c>
      <c r="AO42" s="17">
        <v>3884.52</v>
      </c>
      <c r="AP42" s="17">
        <v>3801.63</v>
      </c>
      <c r="AQ42" s="17">
        <v>3718.6869999999999</v>
      </c>
      <c r="AR42" s="17">
        <v>3603.3449999999998</v>
      </c>
      <c r="AS42" s="17">
        <v>3439.7159999999999</v>
      </c>
      <c r="AT42" s="17">
        <v>3247.5729999999999</v>
      </c>
      <c r="AU42" s="17">
        <v>3061.33</v>
      </c>
      <c r="AV42" s="17">
        <v>2872.6109999999999</v>
      </c>
      <c r="AW42" s="17">
        <v>2713.55</v>
      </c>
      <c r="AX42" s="17">
        <v>2603.1570000000002</v>
      </c>
      <c r="AY42" s="17">
        <v>2526.683</v>
      </c>
      <c r="AZ42" s="17">
        <v>2450.625</v>
      </c>
      <c r="BA42" s="17">
        <v>2381.9879999999998</v>
      </c>
      <c r="BB42" s="17">
        <v>2318.7950000000001</v>
      </c>
      <c r="BC42" s="17">
        <v>2256.81</v>
      </c>
      <c r="BD42" s="17">
        <v>2199.279</v>
      </c>
      <c r="BE42" s="17">
        <v>2150.5039999999999</v>
      </c>
      <c r="BF42" s="17">
        <v>2105.8130000000001</v>
      </c>
      <c r="BG42" s="17">
        <v>2081.114</v>
      </c>
      <c r="BH42" s="17">
        <v>2083.5219999999999</v>
      </c>
      <c r="BI42" s="17">
        <v>2102.9969999999998</v>
      </c>
      <c r="BJ42" s="17">
        <v>2121.4290000000001</v>
      </c>
      <c r="BK42" s="17">
        <v>2141.297</v>
      </c>
      <c r="BL42" s="17">
        <v>2151.7339999999999</v>
      </c>
      <c r="BM42" s="17">
        <v>2145.1179999999999</v>
      </c>
      <c r="BN42" s="17">
        <v>2124.94</v>
      </c>
      <c r="BO42" s="17">
        <v>2104.44</v>
      </c>
      <c r="BP42" s="17">
        <v>2083.5169999999998</v>
      </c>
      <c r="BQ42" s="17">
        <v>2043.6</v>
      </c>
      <c r="BR42" s="17">
        <v>1977.577</v>
      </c>
      <c r="BS42" s="17">
        <v>1893.7270000000001</v>
      </c>
      <c r="BT42" s="17">
        <v>1807.0840000000001</v>
      </c>
      <c r="BU42" s="17">
        <v>1714.2059999999999</v>
      </c>
      <c r="BV42" s="17">
        <v>1626.5709999999999</v>
      </c>
      <c r="BW42" s="17">
        <v>1551.278</v>
      </c>
      <c r="BX42" s="17">
        <v>1482.991</v>
      </c>
      <c r="BY42" s="17">
        <v>1410.1389999999999</v>
      </c>
      <c r="BZ42" s="17">
        <v>1336.08</v>
      </c>
      <c r="CA42" s="17">
        <v>1256.7860000000001</v>
      </c>
      <c r="CB42" s="17">
        <v>1169.4369999999999</v>
      </c>
      <c r="CC42" s="17">
        <v>1077.3599999999999</v>
      </c>
      <c r="CD42" s="17">
        <v>986.89</v>
      </c>
      <c r="CE42" s="17">
        <v>896.98900000000003</v>
      </c>
      <c r="CF42" s="17">
        <v>810.678</v>
      </c>
      <c r="CG42" s="17">
        <v>730.17499999999995</v>
      </c>
      <c r="CH42" s="17">
        <v>654.32000000000005</v>
      </c>
      <c r="CI42" s="17">
        <v>580.48500000000001</v>
      </c>
      <c r="CJ42" s="17">
        <v>510.10599999999999</v>
      </c>
      <c r="CK42" s="17">
        <v>441.20699999999999</v>
      </c>
      <c r="CL42" s="17">
        <v>372.84100000000001</v>
      </c>
      <c r="CM42" s="17">
        <v>306.904</v>
      </c>
      <c r="CN42" s="17">
        <v>236.34700000000001</v>
      </c>
      <c r="CO42" s="17">
        <v>178.739</v>
      </c>
      <c r="CP42" s="17">
        <v>149.82300000000001</v>
      </c>
      <c r="CQ42" s="17">
        <v>117.94499999999999</v>
      </c>
      <c r="CR42" s="17">
        <v>83.105000000000004</v>
      </c>
      <c r="CS42" s="17">
        <v>63.981000000000002</v>
      </c>
      <c r="CT42" s="17">
        <v>55.703000000000003</v>
      </c>
      <c r="CU42" s="17">
        <v>45.343000000000004</v>
      </c>
      <c r="CV42" s="17">
        <v>32.896000000000001</v>
      </c>
      <c r="CW42" s="17">
        <v>18.364999999999998</v>
      </c>
      <c r="CX42" s="17">
        <v>29.576000000000001</v>
      </c>
      <c r="CY42" s="3">
        <f t="shared" si="87"/>
        <v>252120.30899999995</v>
      </c>
      <c r="CZ42" s="21">
        <f t="shared" si="3"/>
        <v>186843.51</v>
      </c>
      <c r="DA42">
        <f t="shared" si="4"/>
        <v>1.9419143860014188E-2</v>
      </c>
      <c r="DB42">
        <f t="shared" si="5"/>
        <v>1.9723981849837865E-2</v>
      </c>
      <c r="DC42">
        <f t="shared" si="6"/>
        <v>2.0046262243735413E-2</v>
      </c>
      <c r="DD42">
        <f t="shared" si="7"/>
        <v>2.0373873301780726E-2</v>
      </c>
      <c r="DE42">
        <f t="shared" si="8"/>
        <v>2.0756401975107402E-2</v>
      </c>
      <c r="DF42">
        <f t="shared" si="9"/>
        <v>2.1210236309519126E-2</v>
      </c>
      <c r="DG42">
        <f t="shared" si="10"/>
        <v>2.1700341638839903E-2</v>
      </c>
      <c r="DH42">
        <f t="shared" si="11"/>
        <v>2.2163220975671031E-2</v>
      </c>
      <c r="DI42">
        <f t="shared" si="12"/>
        <v>2.2597081375745939E-2</v>
      </c>
      <c r="DJ42">
        <f t="shared" si="13"/>
        <v>2.2985775636520638E-2</v>
      </c>
      <c r="DK42">
        <f t="shared" si="14"/>
        <v>2.3310041649292498E-2</v>
      </c>
      <c r="DL42">
        <f t="shared" si="15"/>
        <v>2.3562595243474069E-2</v>
      </c>
      <c r="DM42">
        <f t="shared" si="16"/>
        <v>2.3773151125238444E-2</v>
      </c>
      <c r="DN42">
        <f t="shared" si="17"/>
        <v>2.3957064390408848E-2</v>
      </c>
      <c r="DO42">
        <f t="shared" si="18"/>
        <v>2.395078640943964E-2</v>
      </c>
      <c r="DP42">
        <f t="shared" si="19"/>
        <v>2.3682620819957836E-2</v>
      </c>
      <c r="DQ42">
        <f t="shared" si="20"/>
        <v>2.3229931829047742E-2</v>
      </c>
      <c r="DR42">
        <f t="shared" si="21"/>
        <v>2.2733104296745445E-2</v>
      </c>
      <c r="DS42">
        <f t="shared" si="22"/>
        <v>2.2153624709790563E-2</v>
      </c>
      <c r="DT42">
        <f t="shared" si="23"/>
        <v>2.1611609629898304E-2</v>
      </c>
      <c r="DU42">
        <f t="shared" si="24"/>
        <v>2.1177663596664394E-2</v>
      </c>
      <c r="DV42">
        <f t="shared" si="25"/>
        <v>2.0790232424984949E-2</v>
      </c>
      <c r="DW42">
        <f t="shared" si="26"/>
        <v>2.0346599140639136E-2</v>
      </c>
      <c r="DX42">
        <f t="shared" si="27"/>
        <v>1.9902682196454132E-2</v>
      </c>
      <c r="DY42">
        <f t="shared" si="28"/>
        <v>1.9285363457366006E-2</v>
      </c>
      <c r="DZ42">
        <f t="shared" si="29"/>
        <v>1.8409609196487476E-2</v>
      </c>
      <c r="EA42">
        <f t="shared" si="30"/>
        <v>1.7381245942125575E-2</v>
      </c>
      <c r="EB42">
        <f t="shared" si="31"/>
        <v>1.638445991514503E-2</v>
      </c>
      <c r="EC42">
        <f t="shared" si="32"/>
        <v>1.5374422156809191E-2</v>
      </c>
      <c r="ED42">
        <f t="shared" si="33"/>
        <v>1.4523116162825244E-2</v>
      </c>
      <c r="EE42">
        <f t="shared" si="34"/>
        <v>1.3932284830230389E-2</v>
      </c>
      <c r="EF42">
        <f t="shared" si="35"/>
        <v>1.3522990442643686E-2</v>
      </c>
      <c r="EG42">
        <f t="shared" si="36"/>
        <v>1.311592251719099E-2</v>
      </c>
      <c r="EH42">
        <f t="shared" si="37"/>
        <v>1.274857232129711E-2</v>
      </c>
      <c r="EI42">
        <f t="shared" si="38"/>
        <v>1.2410358807753076E-2</v>
      </c>
      <c r="EJ42">
        <f t="shared" si="39"/>
        <v>1.2078610597713561E-2</v>
      </c>
      <c r="EK42">
        <f t="shared" si="40"/>
        <v>1.177070051831075E-2</v>
      </c>
      <c r="EL42">
        <f t="shared" si="41"/>
        <v>1.150965318517084E-2</v>
      </c>
      <c r="EM42">
        <f t="shared" si="42"/>
        <v>1.1270463715865753E-2</v>
      </c>
      <c r="EN42">
        <f t="shared" si="43"/>
        <v>1.1138272878731511E-2</v>
      </c>
      <c r="EO42">
        <f t="shared" si="44"/>
        <v>1.1151160669161053E-2</v>
      </c>
      <c r="EP42">
        <f t="shared" si="45"/>
        <v>1.1255392279881702E-2</v>
      </c>
      <c r="EQ42">
        <f t="shared" si="46"/>
        <v>1.1354041679050025E-2</v>
      </c>
      <c r="ER42">
        <f t="shared" si="47"/>
        <v>1.1460376654238619E-2</v>
      </c>
      <c r="ES42">
        <f t="shared" si="48"/>
        <v>1.1516236234268987E-2</v>
      </c>
      <c r="ET42">
        <f t="shared" si="49"/>
        <v>1.1480826923022372E-2</v>
      </c>
      <c r="EU42">
        <f t="shared" si="50"/>
        <v>1.1372832805378147E-2</v>
      </c>
      <c r="EV42">
        <f t="shared" si="51"/>
        <v>1.1263115320409042E-2</v>
      </c>
      <c r="EW42">
        <f t="shared" si="52"/>
        <v>1.1151133908798865E-2</v>
      </c>
      <c r="EX42">
        <f t="shared" si="53"/>
        <v>1.0937495233310484E-2</v>
      </c>
      <c r="EY42">
        <f t="shared" si="54"/>
        <v>1.0584135354768275E-2</v>
      </c>
      <c r="EZ42">
        <f t="shared" si="55"/>
        <v>1.0135364080882446E-2</v>
      </c>
      <c r="FA42">
        <f t="shared" si="56"/>
        <v>9.671644468678629E-3</v>
      </c>
      <c r="FB42">
        <f t="shared" si="57"/>
        <v>9.1745546848268893E-3</v>
      </c>
      <c r="FC42">
        <f t="shared" si="58"/>
        <v>8.7055258167650553E-3</v>
      </c>
      <c r="FD42">
        <f t="shared" si="59"/>
        <v>8.302552226727062E-3</v>
      </c>
      <c r="FE42">
        <f t="shared" si="60"/>
        <v>7.9370752561863135E-3</v>
      </c>
      <c r="FF42">
        <f t="shared" si="61"/>
        <v>7.5471660749682973E-3</v>
      </c>
      <c r="FG42">
        <f t="shared" si="62"/>
        <v>7.1507969423181992E-3</v>
      </c>
      <c r="FH42">
        <f t="shared" si="63"/>
        <v>6.7264097104576979E-3</v>
      </c>
      <c r="FI42">
        <f t="shared" si="64"/>
        <v>6.2589115351129928E-3</v>
      </c>
      <c r="FJ42">
        <f t="shared" si="65"/>
        <v>5.7661087612837069E-3</v>
      </c>
      <c r="FK42">
        <f t="shared" si="66"/>
        <v>5.2819067678615108E-3</v>
      </c>
      <c r="FL42">
        <f t="shared" si="67"/>
        <v>4.8007501036562627E-3</v>
      </c>
      <c r="FM42">
        <f t="shared" si="68"/>
        <v>4.3388073795017018E-3</v>
      </c>
      <c r="FN42">
        <f t="shared" si="69"/>
        <v>3.9079494920642409E-3</v>
      </c>
      <c r="FO42">
        <f t="shared" si="70"/>
        <v>3.5019680373163616E-3</v>
      </c>
      <c r="FP42">
        <f t="shared" si="71"/>
        <v>3.1067977688922672E-3</v>
      </c>
      <c r="FQ42">
        <f t="shared" si="72"/>
        <v>2.7301242628122325E-3</v>
      </c>
      <c r="FR42">
        <f t="shared" si="73"/>
        <v>2.3613718239397234E-3</v>
      </c>
      <c r="FS42">
        <f t="shared" si="74"/>
        <v>1.9954720396764113E-3</v>
      </c>
      <c r="FT42">
        <f t="shared" si="75"/>
        <v>1.6425724393638291E-3</v>
      </c>
      <c r="FU42">
        <f t="shared" si="76"/>
        <v>1.2649462643899165E-3</v>
      </c>
      <c r="FV42">
        <f t="shared" si="77"/>
        <v>9.5662407540941612E-4</v>
      </c>
      <c r="FW42">
        <f t="shared" si="78"/>
        <v>8.0186354880616402E-4</v>
      </c>
      <c r="FX42">
        <f t="shared" si="79"/>
        <v>6.3125018364298545E-4</v>
      </c>
      <c r="FY42">
        <f t="shared" si="80"/>
        <v>4.4478397991988056E-4</v>
      </c>
      <c r="FZ42">
        <f t="shared" si="81"/>
        <v>3.4243094662479847E-4</v>
      </c>
      <c r="GA42">
        <f t="shared" si="82"/>
        <v>2.9812649098702974E-4</v>
      </c>
      <c r="GB42">
        <f t="shared" si="83"/>
        <v>2.4267902053434984E-4</v>
      </c>
      <c r="GC42">
        <f t="shared" si="84"/>
        <v>1.7606177490457121E-4</v>
      </c>
      <c r="GD42">
        <f t="shared" si="85"/>
        <v>9.8290810315006374E-5</v>
      </c>
      <c r="GE42">
        <f t="shared" si="86"/>
        <v>1.5829289441201356E-4</v>
      </c>
    </row>
    <row r="43" spans="1:187">
      <c r="A43" s="4">
        <v>1991</v>
      </c>
      <c r="B43" s="17">
        <v>3988.7919999999999</v>
      </c>
      <c r="C43" s="17">
        <v>3954.0259999999998</v>
      </c>
      <c r="D43" s="17">
        <v>3906.1280000000002</v>
      </c>
      <c r="E43" s="17">
        <v>3857.442</v>
      </c>
      <c r="F43" s="17">
        <v>3808.7640000000001</v>
      </c>
      <c r="G43" s="17">
        <v>3760.8939999999998</v>
      </c>
      <c r="H43" s="17">
        <v>3714.72</v>
      </c>
      <c r="I43" s="17">
        <v>3671.1260000000002</v>
      </c>
      <c r="J43" s="17">
        <v>3630.47</v>
      </c>
      <c r="K43" s="17">
        <v>3593.3710000000001</v>
      </c>
      <c r="L43" s="17">
        <v>3560.895</v>
      </c>
      <c r="M43" s="17">
        <v>3533.4949999999999</v>
      </c>
      <c r="N43" s="17">
        <v>3511.0949999999998</v>
      </c>
      <c r="O43" s="17">
        <v>3498.8719999999998</v>
      </c>
      <c r="P43" s="17">
        <v>3499.4609999999998</v>
      </c>
      <c r="Q43" s="17">
        <v>3511.125</v>
      </c>
      <c r="R43" s="17">
        <v>3528.6950000000002</v>
      </c>
      <c r="S43" s="17">
        <v>3552.2539999999999</v>
      </c>
      <c r="T43" s="17">
        <v>3586.7049999999999</v>
      </c>
      <c r="U43" s="17">
        <v>3633.6619999999998</v>
      </c>
      <c r="V43" s="17">
        <v>3690.73</v>
      </c>
      <c r="W43" s="17">
        <v>3750.6759999999999</v>
      </c>
      <c r="X43" s="17">
        <v>3811.0810000000001</v>
      </c>
      <c r="Y43" s="17">
        <v>3884.1039999999998</v>
      </c>
      <c r="Z43" s="17">
        <v>3973.808</v>
      </c>
      <c r="AA43" s="17">
        <v>4072.1190000000001</v>
      </c>
      <c r="AB43" s="17">
        <v>4165.1059999999998</v>
      </c>
      <c r="AC43" s="17">
        <v>4253.4170000000004</v>
      </c>
      <c r="AD43" s="17">
        <v>4329.076</v>
      </c>
      <c r="AE43" s="17">
        <v>4385.99</v>
      </c>
      <c r="AF43" s="17">
        <v>4425.25</v>
      </c>
      <c r="AG43" s="17">
        <v>4457.1819999999998</v>
      </c>
      <c r="AH43" s="17">
        <v>4483.4949999999999</v>
      </c>
      <c r="AI43" s="17">
        <v>4476.3310000000001</v>
      </c>
      <c r="AJ43" s="17">
        <v>4424.05</v>
      </c>
      <c r="AK43" s="17">
        <v>4339.6530000000002</v>
      </c>
      <c r="AL43" s="17">
        <v>4246.4139999999998</v>
      </c>
      <c r="AM43" s="17">
        <v>4138.04</v>
      </c>
      <c r="AN43" s="17">
        <v>4035.2939999999999</v>
      </c>
      <c r="AO43" s="17">
        <v>3950.3389999999999</v>
      </c>
      <c r="AP43" s="17">
        <v>3872.7910000000002</v>
      </c>
      <c r="AQ43" s="17">
        <v>3785.2559999999999</v>
      </c>
      <c r="AR43" s="17">
        <v>3697.39</v>
      </c>
      <c r="AS43" s="17">
        <v>3579.7669999999998</v>
      </c>
      <c r="AT43" s="17">
        <v>3417.9960000000001</v>
      </c>
      <c r="AU43" s="17">
        <v>3230.252</v>
      </c>
      <c r="AV43" s="17">
        <v>3048.04</v>
      </c>
      <c r="AW43" s="17">
        <v>2863.7779999999998</v>
      </c>
      <c r="AX43" s="17">
        <v>2707.1869999999999</v>
      </c>
      <c r="AY43" s="17">
        <v>2595.8539999999998</v>
      </c>
      <c r="AZ43" s="17">
        <v>2516.2719999999999</v>
      </c>
      <c r="BA43" s="17">
        <v>2437.5189999999998</v>
      </c>
      <c r="BB43" s="17">
        <v>2365.971</v>
      </c>
      <c r="BC43" s="17">
        <v>2300.636</v>
      </c>
      <c r="BD43" s="17">
        <v>2237.9879999999998</v>
      </c>
      <c r="BE43" s="17">
        <v>2180.6460000000002</v>
      </c>
      <c r="BF43" s="17">
        <v>2131.5700000000002</v>
      </c>
      <c r="BG43" s="17">
        <v>2086.3510000000001</v>
      </c>
      <c r="BH43" s="17">
        <v>2060.6320000000001</v>
      </c>
      <c r="BI43" s="17">
        <v>2061.259</v>
      </c>
      <c r="BJ43" s="17">
        <v>2078.3649999999998</v>
      </c>
      <c r="BK43" s="17">
        <v>2094.473</v>
      </c>
      <c r="BL43" s="17">
        <v>2112.1640000000002</v>
      </c>
      <c r="BM43" s="17">
        <v>2119.5120000000002</v>
      </c>
      <c r="BN43" s="17">
        <v>2108.5</v>
      </c>
      <c r="BO43" s="17">
        <v>2083.1999999999998</v>
      </c>
      <c r="BP43" s="17">
        <v>2057.607</v>
      </c>
      <c r="BQ43" s="17">
        <v>2031.212</v>
      </c>
      <c r="BR43" s="17">
        <v>1987.462</v>
      </c>
      <c r="BS43" s="17">
        <v>1920.2439999999999</v>
      </c>
      <c r="BT43" s="17">
        <v>1836.8150000000001</v>
      </c>
      <c r="BU43" s="17">
        <v>1750.5060000000001</v>
      </c>
      <c r="BV43" s="17">
        <v>1658.595</v>
      </c>
      <c r="BW43" s="17">
        <v>1570.0930000000001</v>
      </c>
      <c r="BX43" s="17">
        <v>1490.82</v>
      </c>
      <c r="BY43" s="17">
        <v>1416.82</v>
      </c>
      <c r="BZ43" s="17">
        <v>1338.989</v>
      </c>
      <c r="CA43" s="17">
        <v>1259.9490000000001</v>
      </c>
      <c r="CB43" s="17">
        <v>1178.047</v>
      </c>
      <c r="CC43" s="17">
        <v>1091.8140000000001</v>
      </c>
      <c r="CD43" s="17">
        <v>1003.343</v>
      </c>
      <c r="CE43" s="17">
        <v>916.44399999999996</v>
      </c>
      <c r="CF43" s="17">
        <v>830.65499999999997</v>
      </c>
      <c r="CG43" s="17">
        <v>748.02599999999995</v>
      </c>
      <c r="CH43" s="17">
        <v>670.06500000000005</v>
      </c>
      <c r="CI43" s="17">
        <v>596.17999999999995</v>
      </c>
      <c r="CJ43" s="17">
        <v>523.495</v>
      </c>
      <c r="CK43" s="17">
        <v>456.92599999999999</v>
      </c>
      <c r="CL43" s="17">
        <v>394.51100000000002</v>
      </c>
      <c r="CM43" s="17">
        <v>330.524</v>
      </c>
      <c r="CN43" s="17">
        <v>266.48</v>
      </c>
      <c r="CO43" s="17">
        <v>203.08799999999999</v>
      </c>
      <c r="CP43" s="17">
        <v>154.84899999999999</v>
      </c>
      <c r="CQ43" s="17">
        <v>129.346</v>
      </c>
      <c r="CR43" s="17">
        <v>101.274</v>
      </c>
      <c r="CS43" s="17">
        <v>70.631</v>
      </c>
      <c r="CT43" s="17">
        <v>56.752000000000002</v>
      </c>
      <c r="CU43" s="17">
        <v>46.094999999999999</v>
      </c>
      <c r="CV43" s="17">
        <v>33.506999999999998</v>
      </c>
      <c r="CW43" s="17">
        <v>18.989000000000001</v>
      </c>
      <c r="CX43" s="17">
        <v>31.702000000000002</v>
      </c>
      <c r="CY43" s="3">
        <f t="shared" si="87"/>
        <v>254539.37099999998</v>
      </c>
      <c r="CZ43" s="21">
        <f t="shared" si="3"/>
        <v>188457.74599999998</v>
      </c>
      <c r="DA43">
        <f t="shared" si="4"/>
        <v>1.9031878901915766E-2</v>
      </c>
      <c r="DB43">
        <f t="shared" si="5"/>
        <v>1.9281043507757969E-2</v>
      </c>
      <c r="DC43">
        <f t="shared" si="6"/>
        <v>1.9583859397320821E-2</v>
      </c>
      <c r="DD43">
        <f t="shared" si="7"/>
        <v>1.9901946614600815E-2</v>
      </c>
      <c r="DE43">
        <f t="shared" si="8"/>
        <v>2.0222469391096298E-2</v>
      </c>
      <c r="DF43">
        <f t="shared" si="9"/>
        <v>2.0609946167986112E-2</v>
      </c>
      <c r="DG43">
        <f t="shared" si="10"/>
        <v>2.1085936154622162E-2</v>
      </c>
      <c r="DH43">
        <f t="shared" si="11"/>
        <v>2.1607596856220494E-2</v>
      </c>
      <c r="DI43">
        <f t="shared" si="12"/>
        <v>2.2101007193410876E-2</v>
      </c>
      <c r="DJ43">
        <f t="shared" si="13"/>
        <v>2.2569605602732832E-2</v>
      </c>
      <c r="DK43">
        <f t="shared" si="14"/>
        <v>2.2971069599866702E-2</v>
      </c>
      <c r="DL43">
        <f t="shared" si="15"/>
        <v>2.3273068330128495E-2</v>
      </c>
      <c r="DM43">
        <f t="shared" si="16"/>
        <v>2.3481390889605568E-2</v>
      </c>
      <c r="DN43">
        <f t="shared" si="17"/>
        <v>2.3650829401302507E-2</v>
      </c>
      <c r="DO43">
        <f t="shared" si="18"/>
        <v>2.379045221096935E-2</v>
      </c>
      <c r="DP43">
        <f t="shared" si="19"/>
        <v>2.3752438384782554E-2</v>
      </c>
      <c r="DQ43">
        <f t="shared" si="20"/>
        <v>2.3475023414532403E-2</v>
      </c>
      <c r="DR43">
        <f t="shared" si="21"/>
        <v>2.3027193586407431E-2</v>
      </c>
      <c r="DS43">
        <f t="shared" si="22"/>
        <v>2.2532446079451679E-2</v>
      </c>
      <c r="DT43">
        <f t="shared" si="23"/>
        <v>2.1957388793135624E-2</v>
      </c>
      <c r="DU43">
        <f t="shared" si="24"/>
        <v>2.1412194964912718E-2</v>
      </c>
      <c r="DV43">
        <f t="shared" si="25"/>
        <v>2.0961404260878724E-2</v>
      </c>
      <c r="DW43">
        <f t="shared" si="26"/>
        <v>2.0549916796733843E-2</v>
      </c>
      <c r="DX43">
        <f t="shared" si="27"/>
        <v>2.0085436021292539E-2</v>
      </c>
      <c r="DY43">
        <f t="shared" si="28"/>
        <v>1.9619198883976889E-2</v>
      </c>
      <c r="DZ43">
        <f t="shared" si="29"/>
        <v>1.899506428353441E-2</v>
      </c>
      <c r="EA43">
        <f t="shared" si="30"/>
        <v>1.8136670275150167E-2</v>
      </c>
      <c r="EB43">
        <f t="shared" si="31"/>
        <v>1.7140457575036478E-2</v>
      </c>
      <c r="EC43">
        <f t="shared" si="32"/>
        <v>1.6173598935010081E-2</v>
      </c>
      <c r="ED43">
        <f t="shared" si="33"/>
        <v>1.5195862525067026E-2</v>
      </c>
      <c r="EE43">
        <f t="shared" si="34"/>
        <v>1.4364954784081946E-2</v>
      </c>
      <c r="EF43">
        <f t="shared" si="35"/>
        <v>1.3774196365481311E-2</v>
      </c>
      <c r="EG43">
        <f t="shared" si="36"/>
        <v>1.3351916031087416E-2</v>
      </c>
      <c r="EH43">
        <f t="shared" si="37"/>
        <v>1.2934034560723229E-2</v>
      </c>
      <c r="EI43">
        <f t="shared" si="38"/>
        <v>1.2554384471944178E-2</v>
      </c>
      <c r="EJ43">
        <f t="shared" si="39"/>
        <v>1.2207701985356442E-2</v>
      </c>
      <c r="EK43">
        <f t="shared" si="40"/>
        <v>1.1875277336703368E-2</v>
      </c>
      <c r="EL43">
        <f t="shared" si="41"/>
        <v>1.1571007540332147E-2</v>
      </c>
      <c r="EM43">
        <f t="shared" si="42"/>
        <v>1.1310599034756577E-2</v>
      </c>
      <c r="EN43">
        <f t="shared" si="43"/>
        <v>1.1070656655312009E-2</v>
      </c>
      <c r="EO43">
        <f t="shared" si="44"/>
        <v>1.0934185745806384E-2</v>
      </c>
      <c r="EP43">
        <f t="shared" si="45"/>
        <v>1.0937512751532114E-2</v>
      </c>
      <c r="EQ43">
        <f t="shared" si="46"/>
        <v>1.102828110870009E-2</v>
      </c>
      <c r="ER43">
        <f t="shared" si="47"/>
        <v>1.1113753849098885E-2</v>
      </c>
      <c r="ES43">
        <f t="shared" si="48"/>
        <v>1.1207626350365032E-2</v>
      </c>
      <c r="ET43">
        <f t="shared" si="49"/>
        <v>1.1246616522729718E-2</v>
      </c>
      <c r="EU43">
        <f t="shared" si="50"/>
        <v>1.1188184326474965E-2</v>
      </c>
      <c r="EV43">
        <f t="shared" si="51"/>
        <v>1.1053936727015721E-2</v>
      </c>
      <c r="EW43">
        <f t="shared" si="52"/>
        <v>1.0918134402392778E-2</v>
      </c>
      <c r="EX43">
        <f t="shared" si="53"/>
        <v>1.0778076481929272E-2</v>
      </c>
      <c r="EY43">
        <f t="shared" si="54"/>
        <v>1.0545928953220103E-2</v>
      </c>
      <c r="EZ43">
        <f t="shared" si="55"/>
        <v>1.0189254836996724E-2</v>
      </c>
      <c r="FA43">
        <f t="shared" si="56"/>
        <v>9.746561438764104E-3</v>
      </c>
      <c r="FB43">
        <f t="shared" si="57"/>
        <v>9.2885861003558865E-3</v>
      </c>
      <c r="FC43">
        <f t="shared" si="58"/>
        <v>8.8008852658144395E-3</v>
      </c>
      <c r="FD43">
        <f t="shared" si="59"/>
        <v>8.3312733667100115E-3</v>
      </c>
      <c r="FE43">
        <f t="shared" si="60"/>
        <v>7.9106326571474553E-3</v>
      </c>
      <c r="FF43">
        <f t="shared" si="61"/>
        <v>7.5179716943022338E-3</v>
      </c>
      <c r="FG43">
        <f t="shared" si="62"/>
        <v>7.1049825672859319E-3</v>
      </c>
      <c r="FH43">
        <f t="shared" si="63"/>
        <v>6.6855782091334156E-3</v>
      </c>
      <c r="FI43">
        <f t="shared" si="64"/>
        <v>6.2509874229313986E-3</v>
      </c>
      <c r="FJ43">
        <f t="shared" si="65"/>
        <v>5.793415357944481E-3</v>
      </c>
      <c r="FK43">
        <f t="shared" si="66"/>
        <v>5.3239679519461094E-3</v>
      </c>
      <c r="FL43">
        <f t="shared" si="67"/>
        <v>4.8628619382935848E-3</v>
      </c>
      <c r="FM43">
        <f t="shared" si="68"/>
        <v>4.4076458390837382E-3</v>
      </c>
      <c r="FN43">
        <f t="shared" si="69"/>
        <v>3.9691974242332282E-3</v>
      </c>
      <c r="FO43">
        <f t="shared" si="70"/>
        <v>3.5555184874173341E-3</v>
      </c>
      <c r="FP43">
        <f t="shared" si="71"/>
        <v>3.1634677409332914E-3</v>
      </c>
      <c r="FQ43">
        <f t="shared" si="72"/>
        <v>2.777784469522415E-3</v>
      </c>
      <c r="FR43">
        <f t="shared" si="73"/>
        <v>2.4245540960677733E-3</v>
      </c>
      <c r="FS43">
        <f t="shared" si="74"/>
        <v>2.0933657988247405E-3</v>
      </c>
      <c r="FT43">
        <f t="shared" si="75"/>
        <v>1.7538361092358603E-3</v>
      </c>
      <c r="FU43">
        <f t="shared" si="76"/>
        <v>1.414003964581005E-3</v>
      </c>
      <c r="FV43">
        <f t="shared" si="77"/>
        <v>1.0776314813825696E-3</v>
      </c>
      <c r="FW43">
        <f t="shared" si="78"/>
        <v>8.2166428967053447E-4</v>
      </c>
      <c r="FX43">
        <f t="shared" si="79"/>
        <v>6.8633952567807963E-4</v>
      </c>
      <c r="FY43">
        <f t="shared" si="80"/>
        <v>5.3738305879982243E-4</v>
      </c>
      <c r="FZ43">
        <f t="shared" si="81"/>
        <v>3.7478427657730774E-4</v>
      </c>
      <c r="GA43">
        <f t="shared" si="82"/>
        <v>3.011391211269183E-4</v>
      </c>
      <c r="GB43">
        <f t="shared" si="83"/>
        <v>2.4459063624797893E-4</v>
      </c>
      <c r="GC43">
        <f t="shared" si="84"/>
        <v>1.777958227304703E-4</v>
      </c>
      <c r="GD43">
        <f t="shared" si="85"/>
        <v>1.0075998680362017E-4</v>
      </c>
      <c r="GE43">
        <f t="shared" si="86"/>
        <v>1.6821807897458353E-4</v>
      </c>
    </row>
    <row r="44" spans="1:187">
      <c r="A44" s="4">
        <v>1992</v>
      </c>
      <c r="B44" s="17">
        <v>4015.7049999999999</v>
      </c>
      <c r="C44" s="17">
        <v>3973.8130000000001</v>
      </c>
      <c r="D44" s="17">
        <v>3950.7849999999999</v>
      </c>
      <c r="E44" s="17">
        <v>3909.681</v>
      </c>
      <c r="F44" s="17">
        <v>3867.3969999999999</v>
      </c>
      <c r="G44" s="17">
        <v>3824.6439999999998</v>
      </c>
      <c r="H44" s="17">
        <v>3782.136</v>
      </c>
      <c r="I44" s="17">
        <v>3740.761</v>
      </c>
      <c r="J44" s="17">
        <v>3701.4079999999999</v>
      </c>
      <c r="K44" s="17">
        <v>3663.904</v>
      </c>
      <c r="L44" s="17">
        <v>3628.607</v>
      </c>
      <c r="M44" s="17">
        <v>3596.76</v>
      </c>
      <c r="N44" s="17">
        <v>3569.614</v>
      </c>
      <c r="O44" s="17">
        <v>3547.3560000000002</v>
      </c>
      <c r="P44" s="17">
        <v>3533.3220000000001</v>
      </c>
      <c r="Q44" s="17">
        <v>3529.4490000000001</v>
      </c>
      <c r="R44" s="17">
        <v>3535.0520000000001</v>
      </c>
      <c r="S44" s="17">
        <v>3546.712</v>
      </c>
      <c r="T44" s="17">
        <v>3564.1489999999999</v>
      </c>
      <c r="U44" s="17">
        <v>3594.0810000000001</v>
      </c>
      <c r="V44" s="17">
        <v>3639.2069999999999</v>
      </c>
      <c r="W44" s="17">
        <v>3696.3910000000001</v>
      </c>
      <c r="X44" s="17">
        <v>3756.0709999999999</v>
      </c>
      <c r="Y44" s="17">
        <v>3815.6759999999999</v>
      </c>
      <c r="Z44" s="17">
        <v>3890.25</v>
      </c>
      <c r="AA44" s="17">
        <v>3984.8620000000001</v>
      </c>
      <c r="AB44" s="17">
        <v>4089.9050000000002</v>
      </c>
      <c r="AC44" s="17">
        <v>4189.3890000000001</v>
      </c>
      <c r="AD44" s="17">
        <v>4284.9409999999998</v>
      </c>
      <c r="AE44" s="17">
        <v>4363.6310000000003</v>
      </c>
      <c r="AF44" s="17">
        <v>4416.8770000000004</v>
      </c>
      <c r="AG44" s="17">
        <v>4448.2160000000003</v>
      </c>
      <c r="AH44" s="17">
        <v>4472.7479999999996</v>
      </c>
      <c r="AI44" s="17">
        <v>4491.0190000000002</v>
      </c>
      <c r="AJ44" s="17">
        <v>4477.8680000000004</v>
      </c>
      <c r="AK44" s="17">
        <v>4423.4110000000001</v>
      </c>
      <c r="AL44" s="17">
        <v>4339.1930000000002</v>
      </c>
      <c r="AM44" s="17">
        <v>4245.5389999999998</v>
      </c>
      <c r="AN44" s="17">
        <v>4137.0559999999996</v>
      </c>
      <c r="AO44" s="17">
        <v>4032.8319999999999</v>
      </c>
      <c r="AP44" s="17">
        <v>3943.998</v>
      </c>
      <c r="AQ44" s="17">
        <v>3861.2919999999999</v>
      </c>
      <c r="AR44" s="17">
        <v>3769.1089999999999</v>
      </c>
      <c r="AS44" s="17">
        <v>3676.32</v>
      </c>
      <c r="AT44" s="17">
        <v>3556.4110000000001</v>
      </c>
      <c r="AU44" s="17">
        <v>3396.482</v>
      </c>
      <c r="AV44" s="17">
        <v>3213.12</v>
      </c>
      <c r="AW44" s="17">
        <v>3034.922</v>
      </c>
      <c r="AX44" s="17">
        <v>2855.0990000000002</v>
      </c>
      <c r="AY44" s="17">
        <v>2700.9670000000001</v>
      </c>
      <c r="AZ44" s="17">
        <v>2588.69</v>
      </c>
      <c r="BA44" s="17">
        <v>2506.0050000000001</v>
      </c>
      <c r="BB44" s="17">
        <v>2424.558</v>
      </c>
      <c r="BC44" s="17">
        <v>2350.1039999999998</v>
      </c>
      <c r="BD44" s="17">
        <v>2282.627</v>
      </c>
      <c r="BE44" s="17">
        <v>2219.3119999999999</v>
      </c>
      <c r="BF44" s="17">
        <v>2162.152</v>
      </c>
      <c r="BG44" s="17">
        <v>2112.7689999999998</v>
      </c>
      <c r="BH44" s="17">
        <v>2067.0160000000001</v>
      </c>
      <c r="BI44" s="17">
        <v>2040.2739999999999</v>
      </c>
      <c r="BJ44" s="17">
        <v>2039.1179999999999</v>
      </c>
      <c r="BK44" s="17">
        <v>2053.8580000000002</v>
      </c>
      <c r="BL44" s="17">
        <v>2067.6460000000002</v>
      </c>
      <c r="BM44" s="17">
        <v>2083.1610000000001</v>
      </c>
      <c r="BN44" s="17">
        <v>2087.42</v>
      </c>
      <c r="BO44" s="17">
        <v>2072.0160000000001</v>
      </c>
      <c r="BP44" s="17">
        <v>2041.596</v>
      </c>
      <c r="BQ44" s="17">
        <v>2010.912</v>
      </c>
      <c r="BR44" s="17">
        <v>1979.048</v>
      </c>
      <c r="BS44" s="17">
        <v>1931.4639999999999</v>
      </c>
      <c r="BT44" s="17">
        <v>1863.047</v>
      </c>
      <c r="BU44" s="17">
        <v>1780.0340000000001</v>
      </c>
      <c r="BV44" s="17">
        <v>1694.0509999999999</v>
      </c>
      <c r="BW44" s="17">
        <v>1603.1020000000001</v>
      </c>
      <c r="BX44" s="17">
        <v>1513.729</v>
      </c>
      <c r="BY44" s="17">
        <v>1430.4739999999999</v>
      </c>
      <c r="BZ44" s="17">
        <v>1350.7650000000001</v>
      </c>
      <c r="CA44" s="17">
        <v>1267.9549999999999</v>
      </c>
      <c r="CB44" s="17">
        <v>1183.9359999999999</v>
      </c>
      <c r="CC44" s="17">
        <v>1099.423</v>
      </c>
      <c r="CD44" s="17">
        <v>1014.297</v>
      </c>
      <c r="CE44" s="17">
        <v>929.42100000000005</v>
      </c>
      <c r="CF44" s="17">
        <v>846.08199999999999</v>
      </c>
      <c r="CG44" s="17">
        <v>764.39200000000005</v>
      </c>
      <c r="CH44" s="17">
        <v>685.43600000000004</v>
      </c>
      <c r="CI44" s="17">
        <v>610.01</v>
      </c>
      <c r="CJ44" s="17">
        <v>538.096</v>
      </c>
      <c r="CK44" s="17">
        <v>466.56099999999998</v>
      </c>
      <c r="CL44" s="17">
        <v>403.79599999999999</v>
      </c>
      <c r="CM44" s="17">
        <v>347.858</v>
      </c>
      <c r="CN44" s="17">
        <v>288.24599999999998</v>
      </c>
      <c r="CO44" s="17">
        <v>226.09100000000001</v>
      </c>
      <c r="CP44" s="17">
        <v>169.85599999999999</v>
      </c>
      <c r="CQ44" s="17">
        <v>130.97399999999999</v>
      </c>
      <c r="CR44" s="17">
        <v>108.883</v>
      </c>
      <c r="CS44" s="17">
        <v>84.613</v>
      </c>
      <c r="CT44" s="17">
        <v>58.164000000000001</v>
      </c>
      <c r="CU44" s="17">
        <v>46.244999999999997</v>
      </c>
      <c r="CV44" s="17">
        <v>33.670999999999999</v>
      </c>
      <c r="CW44" s="17">
        <v>19.463999999999999</v>
      </c>
      <c r="CX44" s="17">
        <v>34.052</v>
      </c>
      <c r="CY44" s="3">
        <f t="shared" si="87"/>
        <v>256990.60799999995</v>
      </c>
      <c r="CZ44" s="21">
        <f t="shared" si="3"/>
        <v>190073.50200000004</v>
      </c>
      <c r="DA44">
        <f t="shared" si="4"/>
        <v>1.8751424909296401E-2</v>
      </c>
      <c r="DB44">
        <f t="shared" si="5"/>
        <v>1.8908900831426777E-2</v>
      </c>
      <c r="DC44">
        <f t="shared" si="6"/>
        <v>1.9146314250578701E-2</v>
      </c>
      <c r="DD44">
        <f t="shared" si="7"/>
        <v>1.9447166286229625E-2</v>
      </c>
      <c r="DE44">
        <f t="shared" si="8"/>
        <v>1.9761150083929105E-2</v>
      </c>
      <c r="DF44">
        <f t="shared" si="9"/>
        <v>2.0074739297432417E-2</v>
      </c>
      <c r="DG44">
        <f t="shared" si="10"/>
        <v>2.0467082255368765E-2</v>
      </c>
      <c r="DH44">
        <f t="shared" si="11"/>
        <v>2.0964847588276662E-2</v>
      </c>
      <c r="DI44">
        <f t="shared" si="12"/>
        <v>2.1517491691187968E-2</v>
      </c>
      <c r="DJ44">
        <f t="shared" si="13"/>
        <v>2.2040889213479107E-2</v>
      </c>
      <c r="DK44">
        <f t="shared" si="14"/>
        <v>2.2543600001645674E-2</v>
      </c>
      <c r="DL44">
        <f t="shared" si="15"/>
        <v>2.2957597740267864E-2</v>
      </c>
      <c r="DM44">
        <f t="shared" si="16"/>
        <v>2.3237731475058525E-2</v>
      </c>
      <c r="DN44">
        <f t="shared" si="17"/>
        <v>2.3402609796709061E-2</v>
      </c>
      <c r="DO44">
        <f t="shared" si="18"/>
        <v>2.3531675656715153E-2</v>
      </c>
      <c r="DP44">
        <f t="shared" si="19"/>
        <v>2.3627801628024928E-2</v>
      </c>
      <c r="DQ44">
        <f t="shared" si="20"/>
        <v>2.3558612604507069E-2</v>
      </c>
      <c r="DR44">
        <f t="shared" si="21"/>
        <v>2.3272107650228906E-2</v>
      </c>
      <c r="DS44">
        <f t="shared" si="22"/>
        <v>2.2829026425787637E-2</v>
      </c>
      <c r="DT44">
        <f t="shared" si="23"/>
        <v>2.2336301248345489E-2</v>
      </c>
      <c r="DU44">
        <f t="shared" si="24"/>
        <v>2.1765558883636495E-2</v>
      </c>
      <c r="DV44">
        <f t="shared" si="25"/>
        <v>2.1217223640147373E-2</v>
      </c>
      <c r="DW44">
        <f t="shared" si="26"/>
        <v>2.074985707371246E-2</v>
      </c>
      <c r="DX44">
        <f t="shared" si="27"/>
        <v>2.0314730666665989E-2</v>
      </c>
      <c r="DY44">
        <f t="shared" si="28"/>
        <v>1.9829744600591403E-2</v>
      </c>
      <c r="DZ44">
        <f t="shared" si="29"/>
        <v>1.9341570294211758E-2</v>
      </c>
      <c r="EA44">
        <f t="shared" si="30"/>
        <v>1.8710714342496826E-2</v>
      </c>
      <c r="EB44">
        <f t="shared" si="31"/>
        <v>1.7869308263705266E-2</v>
      </c>
      <c r="EC44">
        <f t="shared" si="32"/>
        <v>1.6904618298662164E-2</v>
      </c>
      <c r="ED44">
        <f t="shared" si="33"/>
        <v>1.5967096770806061E-2</v>
      </c>
      <c r="EE44">
        <f t="shared" si="34"/>
        <v>1.5021025918699596E-2</v>
      </c>
      <c r="EF44">
        <f t="shared" si="35"/>
        <v>1.4210118567710714E-2</v>
      </c>
      <c r="EG44">
        <f t="shared" si="36"/>
        <v>1.3619415503798101E-2</v>
      </c>
      <c r="EH44">
        <f t="shared" si="37"/>
        <v>1.3184399580326561E-2</v>
      </c>
      <c r="EI44">
        <f t="shared" si="38"/>
        <v>1.2755896926653141E-2</v>
      </c>
      <c r="EJ44">
        <f t="shared" si="39"/>
        <v>1.2364185303430666E-2</v>
      </c>
      <c r="EK44">
        <f t="shared" si="40"/>
        <v>1.200918053269729E-2</v>
      </c>
      <c r="EL44">
        <f t="shared" si="41"/>
        <v>1.1676072554290073E-2</v>
      </c>
      <c r="EM44">
        <f t="shared" si="42"/>
        <v>1.1375346785581926E-2</v>
      </c>
      <c r="EN44">
        <f t="shared" si="43"/>
        <v>1.1115536767455357E-2</v>
      </c>
      <c r="EO44">
        <f t="shared" si="44"/>
        <v>1.0874824624423449E-2</v>
      </c>
      <c r="EP44">
        <f t="shared" si="45"/>
        <v>1.073413168343686E-2</v>
      </c>
      <c r="EQ44">
        <f t="shared" si="46"/>
        <v>1.0728049825693219E-2</v>
      </c>
      <c r="ER44">
        <f t="shared" si="47"/>
        <v>1.080559877304728E-2</v>
      </c>
      <c r="ES44">
        <f t="shared" si="48"/>
        <v>1.0878139131671282E-2</v>
      </c>
      <c r="ET44">
        <f t="shared" si="49"/>
        <v>1.0959765449052439E-2</v>
      </c>
      <c r="EU44">
        <f t="shared" si="50"/>
        <v>1.0982172570272314E-2</v>
      </c>
      <c r="EV44">
        <f t="shared" si="51"/>
        <v>1.0901130237501489E-2</v>
      </c>
      <c r="EW44">
        <f t="shared" si="52"/>
        <v>1.0741086887534695E-2</v>
      </c>
      <c r="EX44">
        <f t="shared" si="53"/>
        <v>1.0579654601197381E-2</v>
      </c>
      <c r="EY44">
        <f t="shared" si="54"/>
        <v>1.041201419017365E-2</v>
      </c>
      <c r="EZ44">
        <f t="shared" si="55"/>
        <v>1.0161668931632561E-2</v>
      </c>
      <c r="FA44">
        <f t="shared" si="56"/>
        <v>9.801718705640514E-3</v>
      </c>
      <c r="FB44">
        <f t="shared" si="57"/>
        <v>9.3649771339510534E-3</v>
      </c>
      <c r="FC44">
        <f t="shared" si="58"/>
        <v>8.9126100280932357E-3</v>
      </c>
      <c r="FD44">
        <f t="shared" si="59"/>
        <v>8.4341161873263109E-3</v>
      </c>
      <c r="FE44">
        <f t="shared" si="60"/>
        <v>7.9639138758015818E-3</v>
      </c>
      <c r="FF44">
        <f t="shared" si="61"/>
        <v>7.525899112439143E-3</v>
      </c>
      <c r="FG44">
        <f t="shared" si="62"/>
        <v>7.1065402898716507E-3</v>
      </c>
      <c r="FH44">
        <f t="shared" si="63"/>
        <v>6.6708667260731574E-3</v>
      </c>
      <c r="FI44">
        <f t="shared" si="64"/>
        <v>6.2288324650323938E-3</v>
      </c>
      <c r="FJ44">
        <f t="shared" si="65"/>
        <v>5.7841992094195211E-3</v>
      </c>
      <c r="FK44">
        <f t="shared" si="66"/>
        <v>5.3363408856432802E-3</v>
      </c>
      <c r="FL44">
        <f t="shared" si="67"/>
        <v>4.8897978425209414E-3</v>
      </c>
      <c r="FM44">
        <f t="shared" si="68"/>
        <v>4.4513411448587918E-3</v>
      </c>
      <c r="FN44">
        <f t="shared" si="69"/>
        <v>4.0215600383897796E-3</v>
      </c>
      <c r="FO44">
        <f t="shared" si="70"/>
        <v>3.6061628411518396E-3</v>
      </c>
      <c r="FP44">
        <f t="shared" si="71"/>
        <v>3.2093374067469955E-3</v>
      </c>
      <c r="FQ44">
        <f t="shared" si="72"/>
        <v>2.8309890349681667E-3</v>
      </c>
      <c r="FR44">
        <f t="shared" si="73"/>
        <v>2.4546346286606529E-3</v>
      </c>
      <c r="FS44">
        <f t="shared" si="74"/>
        <v>2.124420267692021E-3</v>
      </c>
      <c r="FT44">
        <f t="shared" si="75"/>
        <v>1.8301235908201447E-3</v>
      </c>
      <c r="FU44">
        <f t="shared" si="76"/>
        <v>1.5164975494585244E-3</v>
      </c>
      <c r="FV44">
        <f t="shared" si="77"/>
        <v>1.1894924732854134E-3</v>
      </c>
      <c r="FW44">
        <f t="shared" si="78"/>
        <v>8.9363324299670112E-4</v>
      </c>
      <c r="FX44">
        <f t="shared" si="79"/>
        <v>6.8907027345663349E-4</v>
      </c>
      <c r="FY44">
        <f t="shared" si="80"/>
        <v>5.7284681375523866E-4</v>
      </c>
      <c r="FZ44">
        <f t="shared" si="81"/>
        <v>4.4515936787443408E-4</v>
      </c>
      <c r="GA44">
        <f t="shared" si="82"/>
        <v>3.0600793581421986E-4</v>
      </c>
      <c r="GB44">
        <f t="shared" si="83"/>
        <v>2.4330061535878889E-4</v>
      </c>
      <c r="GC44">
        <f t="shared" si="84"/>
        <v>1.7714725959013474E-4</v>
      </c>
      <c r="GD44">
        <f t="shared" si="85"/>
        <v>1.0240249059019282E-4</v>
      </c>
      <c r="GE44">
        <f t="shared" si="86"/>
        <v>1.7915174730668136E-4</v>
      </c>
    </row>
    <row r="45" spans="1:187">
      <c r="A45" s="4">
        <v>1993</v>
      </c>
      <c r="B45" s="17">
        <v>4032.2860000000001</v>
      </c>
      <c r="C45" s="17">
        <v>3997.3339999999998</v>
      </c>
      <c r="D45" s="17">
        <v>3960.8180000000002</v>
      </c>
      <c r="E45" s="17">
        <v>3948.8240000000001</v>
      </c>
      <c r="F45" s="17">
        <v>3914.4940000000001</v>
      </c>
      <c r="G45" s="17">
        <v>3878.5929999999998</v>
      </c>
      <c r="H45" s="17">
        <v>3841.7469999999998</v>
      </c>
      <c r="I45" s="17">
        <v>3804.5810000000001</v>
      </c>
      <c r="J45" s="17">
        <v>3767.9879999999998</v>
      </c>
      <c r="K45" s="17">
        <v>3732.8589999999999</v>
      </c>
      <c r="L45" s="17">
        <v>3698.4929999999999</v>
      </c>
      <c r="M45" s="17">
        <v>3664.9830000000002</v>
      </c>
      <c r="N45" s="17">
        <v>3633.7550000000001</v>
      </c>
      <c r="O45" s="17">
        <v>3606.8530000000001</v>
      </c>
      <c r="P45" s="17">
        <v>3584.7310000000002</v>
      </c>
      <c r="Q45" s="17">
        <v>3568.8829999999998</v>
      </c>
      <c r="R45" s="17">
        <v>3560.55</v>
      </c>
      <c r="S45" s="17">
        <v>3560.1019999999999</v>
      </c>
      <c r="T45" s="17">
        <v>3565.8580000000002</v>
      </c>
      <c r="U45" s="17">
        <v>3577.1840000000002</v>
      </c>
      <c r="V45" s="17">
        <v>3602.614</v>
      </c>
      <c r="W45" s="17">
        <v>3645.922</v>
      </c>
      <c r="X45" s="17">
        <v>3703.2429999999999</v>
      </c>
      <c r="Y45" s="17">
        <v>3762.6790000000001</v>
      </c>
      <c r="Z45" s="17">
        <v>3821.5039999999999</v>
      </c>
      <c r="AA45" s="17">
        <v>3897.652</v>
      </c>
      <c r="AB45" s="17">
        <v>3997.1970000000001</v>
      </c>
      <c r="AC45" s="17">
        <v>4109</v>
      </c>
      <c r="AD45" s="17">
        <v>4215.0069999999996</v>
      </c>
      <c r="AE45" s="17">
        <v>4317.8209999999999</v>
      </c>
      <c r="AF45" s="17">
        <v>4399.5659999999998</v>
      </c>
      <c r="AG45" s="17">
        <v>4449.1620000000003</v>
      </c>
      <c r="AH45" s="17">
        <v>4472.5940000000001</v>
      </c>
      <c r="AI45" s="17">
        <v>4489.7359999999999</v>
      </c>
      <c r="AJ45" s="17">
        <v>4499.9759999999997</v>
      </c>
      <c r="AK45" s="17">
        <v>4480.8370000000004</v>
      </c>
      <c r="AL45" s="17">
        <v>4424.1869999999999</v>
      </c>
      <c r="AM45" s="17">
        <v>4340.1210000000001</v>
      </c>
      <c r="AN45" s="17">
        <v>4246.0200000000004</v>
      </c>
      <c r="AO45" s="17">
        <v>4137.393</v>
      </c>
      <c r="AP45" s="17">
        <v>4031.6559999999999</v>
      </c>
      <c r="AQ45" s="17">
        <v>3938.92</v>
      </c>
      <c r="AR45" s="17">
        <v>3851.0309999999999</v>
      </c>
      <c r="AS45" s="17">
        <v>3754.1729999999998</v>
      </c>
      <c r="AT45" s="17">
        <v>3656.4340000000002</v>
      </c>
      <c r="AU45" s="17">
        <v>3534.201</v>
      </c>
      <c r="AV45" s="17">
        <v>3376.06</v>
      </c>
      <c r="AW45" s="17">
        <v>3197.0169999999998</v>
      </c>
      <c r="AX45" s="17">
        <v>3022.7710000000002</v>
      </c>
      <c r="AY45" s="17">
        <v>2847.3220000000001</v>
      </c>
      <c r="AZ45" s="17">
        <v>2695.598</v>
      </c>
      <c r="BA45" s="17">
        <v>2582.3440000000001</v>
      </c>
      <c r="BB45" s="17">
        <v>2496.5349999999999</v>
      </c>
      <c r="BC45" s="17">
        <v>2412.3739999999998</v>
      </c>
      <c r="BD45" s="17">
        <v>2334.9949999999999</v>
      </c>
      <c r="BE45" s="17">
        <v>2265.3589999999999</v>
      </c>
      <c r="BF45" s="17">
        <v>2201.3560000000002</v>
      </c>
      <c r="BG45" s="17">
        <v>2144.357</v>
      </c>
      <c r="BH45" s="17">
        <v>2094.6480000000001</v>
      </c>
      <c r="BI45" s="17">
        <v>2048.3449999999998</v>
      </c>
      <c r="BJ45" s="17">
        <v>2020.568</v>
      </c>
      <c r="BK45" s="17">
        <v>2017.6310000000001</v>
      </c>
      <c r="BL45" s="17">
        <v>2030.009</v>
      </c>
      <c r="BM45" s="17">
        <v>2041.4780000000001</v>
      </c>
      <c r="BN45" s="17">
        <v>2054.8240000000001</v>
      </c>
      <c r="BO45" s="17">
        <v>2055.9969999999998</v>
      </c>
      <c r="BP45" s="17">
        <v>2036.1969999999999</v>
      </c>
      <c r="BQ45" s="17">
        <v>2000.65</v>
      </c>
      <c r="BR45" s="17">
        <v>1964.867</v>
      </c>
      <c r="BS45" s="17">
        <v>1927.5260000000001</v>
      </c>
      <c r="BT45" s="17">
        <v>1876.097</v>
      </c>
      <c r="BU45" s="17">
        <v>1806.4590000000001</v>
      </c>
      <c r="BV45" s="17">
        <v>1723.8340000000001</v>
      </c>
      <c r="BW45" s="17">
        <v>1638.15</v>
      </c>
      <c r="BX45" s="17">
        <v>1548.1320000000001</v>
      </c>
      <c r="BY45" s="17">
        <v>1457.8589999999999</v>
      </c>
      <c r="BZ45" s="17">
        <v>1370.6010000000001</v>
      </c>
      <c r="CA45" s="17">
        <v>1285.1610000000001</v>
      </c>
      <c r="CB45" s="17">
        <v>1197.3499999999999</v>
      </c>
      <c r="CC45" s="17">
        <v>1108.329</v>
      </c>
      <c r="CD45" s="17">
        <v>1021.181</v>
      </c>
      <c r="CE45" s="17">
        <v>937.13400000000001</v>
      </c>
      <c r="CF45" s="17">
        <v>855.82100000000003</v>
      </c>
      <c r="CG45" s="17">
        <v>776.01199999999994</v>
      </c>
      <c r="CH45" s="17">
        <v>698.39</v>
      </c>
      <c r="CI45" s="17">
        <v>623.07899999999995</v>
      </c>
      <c r="CJ45" s="17">
        <v>550.16499999999996</v>
      </c>
      <c r="CK45" s="17">
        <v>480.19900000000001</v>
      </c>
      <c r="CL45" s="17">
        <v>409.79399999999998</v>
      </c>
      <c r="CM45" s="17">
        <v>350.81599999999997</v>
      </c>
      <c r="CN45" s="17">
        <v>301.33499999999998</v>
      </c>
      <c r="CO45" s="17">
        <v>246.07599999999999</v>
      </c>
      <c r="CP45" s="17">
        <v>185.79499999999999</v>
      </c>
      <c r="CQ45" s="17">
        <v>136.69399999999999</v>
      </c>
      <c r="CR45" s="17">
        <v>107.15</v>
      </c>
      <c r="CS45" s="17">
        <v>88.46</v>
      </c>
      <c r="CT45" s="17">
        <v>67.983999999999995</v>
      </c>
      <c r="CU45" s="17">
        <v>45.720999999999997</v>
      </c>
      <c r="CV45" s="17">
        <v>33.703000000000003</v>
      </c>
      <c r="CW45" s="17">
        <v>19.873000000000001</v>
      </c>
      <c r="CX45" s="17">
        <v>36.386000000000003</v>
      </c>
      <c r="CY45" s="3">
        <f t="shared" si="87"/>
        <v>259532.12999999995</v>
      </c>
      <c r="CZ45" s="21">
        <f t="shared" si="3"/>
        <v>191774.25599999988</v>
      </c>
      <c r="DA45">
        <f t="shared" si="4"/>
        <v>1.8594039024716656E-2</v>
      </c>
      <c r="DB45">
        <f t="shared" si="5"/>
        <v>1.8653098046695082E-2</v>
      </c>
      <c r="DC45">
        <f t="shared" si="6"/>
        <v>1.8785701872309712E-2</v>
      </c>
      <c r="DD45">
        <f t="shared" si="7"/>
        <v>1.9011529889601045E-2</v>
      </c>
      <c r="DE45">
        <f t="shared" si="8"/>
        <v>1.9310428194282775E-2</v>
      </c>
      <c r="DF45">
        <f t="shared" si="9"/>
        <v>1.962035509083139E-2</v>
      </c>
      <c r="DG45">
        <f t="shared" si="10"/>
        <v>1.9927095949729575E-2</v>
      </c>
      <c r="DH45">
        <f t="shared" si="11"/>
        <v>2.0324166972651443E-2</v>
      </c>
      <c r="DI45">
        <f t="shared" si="12"/>
        <v>2.0843240815388707E-2</v>
      </c>
      <c r="DJ45">
        <f t="shared" si="13"/>
        <v>2.1426233560775762E-2</v>
      </c>
      <c r="DK45">
        <f t="shared" si="14"/>
        <v>2.197900327142973E-2</v>
      </c>
      <c r="DL45">
        <f t="shared" si="15"/>
        <v>2.2515123197766454E-2</v>
      </c>
      <c r="DM45">
        <f t="shared" si="16"/>
        <v>2.2941379577037714E-2</v>
      </c>
      <c r="DN45">
        <f t="shared" si="17"/>
        <v>2.3199996145468051E-2</v>
      </c>
      <c r="DO45">
        <f t="shared" si="18"/>
        <v>2.3322181471531835E-2</v>
      </c>
      <c r="DP45">
        <f t="shared" si="19"/>
        <v>2.341156781752814E-2</v>
      </c>
      <c r="DQ45">
        <f t="shared" si="20"/>
        <v>2.346496393134229E-2</v>
      </c>
      <c r="DR45">
        <f t="shared" si="21"/>
        <v>2.3365164300259381E-2</v>
      </c>
      <c r="DS45">
        <f t="shared" si="22"/>
        <v>2.3069764901082462E-2</v>
      </c>
      <c r="DT45">
        <f t="shared" si="23"/>
        <v>2.2631405750310942E-2</v>
      </c>
      <c r="DU45">
        <f t="shared" si="24"/>
        <v>2.2140719450894405E-2</v>
      </c>
      <c r="DV45">
        <f t="shared" si="25"/>
        <v>2.1574287843932519E-2</v>
      </c>
      <c r="DW45">
        <f t="shared" si="26"/>
        <v>2.1022926038623258E-2</v>
      </c>
      <c r="DX45">
        <f t="shared" si="27"/>
        <v>2.0539357482893858E-2</v>
      </c>
      <c r="DY45">
        <f t="shared" si="28"/>
        <v>2.0081063435334105E-2</v>
      </c>
      <c r="DZ45">
        <f t="shared" si="29"/>
        <v>1.9576000858008816E-2</v>
      </c>
      <c r="EA45">
        <f t="shared" si="30"/>
        <v>1.9066344337688383E-2</v>
      </c>
      <c r="EB45">
        <f t="shared" si="31"/>
        <v>1.842896473028164E-2</v>
      </c>
      <c r="EC45">
        <f t="shared" si="32"/>
        <v>1.7604344140957073E-2</v>
      </c>
      <c r="ED45">
        <f t="shared" si="33"/>
        <v>1.667073082009507E-2</v>
      </c>
      <c r="EE45">
        <f t="shared" si="34"/>
        <v>1.5762131284190732E-2</v>
      </c>
      <c r="EF45">
        <f t="shared" si="35"/>
        <v>1.4847258747806076E-2</v>
      </c>
      <c r="EG45">
        <f t="shared" si="36"/>
        <v>1.4056099375507428E-2</v>
      </c>
      <c r="EH45">
        <f t="shared" si="37"/>
        <v>1.3465540442508622E-2</v>
      </c>
      <c r="EI45">
        <f t="shared" si="38"/>
        <v>1.3018092480567367E-2</v>
      </c>
      <c r="EJ45">
        <f t="shared" si="39"/>
        <v>1.257923795569308E-2</v>
      </c>
      <c r="EK45">
        <f t="shared" si="40"/>
        <v>1.2175747927292188E-2</v>
      </c>
      <c r="EL45">
        <f t="shared" si="41"/>
        <v>1.1812633495499008E-2</v>
      </c>
      <c r="EM45">
        <f t="shared" si="42"/>
        <v>1.147889214076785E-2</v>
      </c>
      <c r="EN45">
        <f t="shared" si="43"/>
        <v>1.118167289357129E-2</v>
      </c>
      <c r="EO45">
        <f t="shared" si="44"/>
        <v>1.0922467090681877E-2</v>
      </c>
      <c r="EP45">
        <f t="shared" si="45"/>
        <v>1.0681021752992754E-2</v>
      </c>
      <c r="EQ45">
        <f t="shared" si="46"/>
        <v>1.0536179579807632E-2</v>
      </c>
      <c r="ER45">
        <f t="shared" si="47"/>
        <v>1.0520864698335741E-2</v>
      </c>
      <c r="ES45">
        <f t="shared" si="48"/>
        <v>1.0585409336694291E-2</v>
      </c>
      <c r="ET45">
        <f t="shared" si="49"/>
        <v>1.0645214027058989E-2</v>
      </c>
      <c r="EU45">
        <f t="shared" si="50"/>
        <v>1.0714806266801533E-2</v>
      </c>
      <c r="EV45">
        <f t="shared" si="51"/>
        <v>1.0720922833354657E-2</v>
      </c>
      <c r="EW45">
        <f t="shared" si="52"/>
        <v>1.0617676441409327E-2</v>
      </c>
      <c r="EX45">
        <f t="shared" si="53"/>
        <v>1.0432317881082023E-2</v>
      </c>
      <c r="EY45">
        <f t="shared" si="54"/>
        <v>1.0245728707194156E-2</v>
      </c>
      <c r="EZ45">
        <f t="shared" si="55"/>
        <v>1.0051015398020896E-2</v>
      </c>
      <c r="FA45">
        <f t="shared" si="56"/>
        <v>9.7828407166392611E-3</v>
      </c>
      <c r="FB45">
        <f t="shared" si="57"/>
        <v>9.4197158559176011E-3</v>
      </c>
      <c r="FC45">
        <f t="shared" si="58"/>
        <v>8.9888707481154354E-3</v>
      </c>
      <c r="FD45">
        <f t="shared" si="59"/>
        <v>8.5420745942041409E-3</v>
      </c>
      <c r="FE45">
        <f t="shared" si="60"/>
        <v>8.0726789522781468E-3</v>
      </c>
      <c r="FF45">
        <f t="shared" si="61"/>
        <v>7.601953621971037E-3</v>
      </c>
      <c r="FG45">
        <f t="shared" si="62"/>
        <v>7.1469499013465136E-3</v>
      </c>
      <c r="FH45">
        <f t="shared" si="63"/>
        <v>6.7014260767096958E-3</v>
      </c>
      <c r="FI45">
        <f t="shared" si="64"/>
        <v>6.2435387573606367E-3</v>
      </c>
      <c r="FJ45">
        <f t="shared" si="65"/>
        <v>5.7793419362815865E-3</v>
      </c>
      <c r="FK45">
        <f t="shared" si="66"/>
        <v>5.3249118067234249E-3</v>
      </c>
      <c r="FL45">
        <f t="shared" si="67"/>
        <v>4.8866517307724587E-3</v>
      </c>
      <c r="FM45">
        <f t="shared" si="68"/>
        <v>4.4626480000527317E-3</v>
      </c>
      <c r="FN45">
        <f t="shared" si="69"/>
        <v>4.0464868235494571E-3</v>
      </c>
      <c r="FO45">
        <f t="shared" si="70"/>
        <v>3.6417296803383267E-3</v>
      </c>
      <c r="FP45">
        <f t="shared" si="71"/>
        <v>3.2490231639850571E-3</v>
      </c>
      <c r="FQ45">
        <f t="shared" si="72"/>
        <v>2.8688157184142606E-3</v>
      </c>
      <c r="FR45">
        <f t="shared" si="73"/>
        <v>2.503980513421991E-3</v>
      </c>
      <c r="FS45">
        <f t="shared" si="74"/>
        <v>2.1368561586285087E-3</v>
      </c>
      <c r="FT45">
        <f t="shared" si="75"/>
        <v>1.8293174867016571E-3</v>
      </c>
      <c r="FU45">
        <f t="shared" si="76"/>
        <v>1.5713005816588863E-3</v>
      </c>
      <c r="FV45">
        <f t="shared" si="77"/>
        <v>1.283154502239342E-3</v>
      </c>
      <c r="FW45">
        <f t="shared" si="78"/>
        <v>9.688213834082094E-4</v>
      </c>
      <c r="FX45">
        <f t="shared" si="79"/>
        <v>7.1278597477651055E-4</v>
      </c>
      <c r="FY45">
        <f t="shared" si="80"/>
        <v>5.5872984327990337E-4</v>
      </c>
      <c r="FZ45">
        <f t="shared" si="81"/>
        <v>4.6127150664059961E-4</v>
      </c>
      <c r="GA45">
        <f t="shared" si="82"/>
        <v>3.5450013686925757E-4</v>
      </c>
      <c r="GB45">
        <f t="shared" si="83"/>
        <v>2.3841051950163753E-4</v>
      </c>
      <c r="GC45">
        <f t="shared" si="84"/>
        <v>1.7574308826936617E-4</v>
      </c>
      <c r="GD45">
        <f t="shared" si="85"/>
        <v>1.036270478348252E-4</v>
      </c>
      <c r="GE45">
        <f t="shared" si="86"/>
        <v>1.8973349582438232E-4</v>
      </c>
    </row>
    <row r="46" spans="1:187">
      <c r="A46" s="4">
        <v>1994</v>
      </c>
      <c r="B46" s="17">
        <v>4030.6190000000001</v>
      </c>
      <c r="C46" s="17">
        <v>4008.134</v>
      </c>
      <c r="D46" s="17">
        <v>3983.299</v>
      </c>
      <c r="E46" s="17">
        <v>3956.5160000000001</v>
      </c>
      <c r="F46" s="17">
        <v>3949.56</v>
      </c>
      <c r="G46" s="17">
        <v>3921.982</v>
      </c>
      <c r="H46" s="17">
        <v>3892.44</v>
      </c>
      <c r="I46" s="17">
        <v>3861.4749999999999</v>
      </c>
      <c r="J46" s="17">
        <v>3829.6260000000002</v>
      </c>
      <c r="K46" s="17">
        <v>3797.7910000000002</v>
      </c>
      <c r="L46" s="17">
        <v>3766.8620000000001</v>
      </c>
      <c r="M46" s="17">
        <v>3735.61</v>
      </c>
      <c r="N46" s="17">
        <v>3703.8670000000002</v>
      </c>
      <c r="O46" s="17">
        <v>3673.2359999999999</v>
      </c>
      <c r="P46" s="17">
        <v>3646.56</v>
      </c>
      <c r="Q46" s="17">
        <v>3624.5590000000002</v>
      </c>
      <c r="R46" s="17">
        <v>3606.8879999999999</v>
      </c>
      <c r="S46" s="17">
        <v>3594.087</v>
      </c>
      <c r="T46" s="17">
        <v>3587.585</v>
      </c>
      <c r="U46" s="17">
        <v>3587.442</v>
      </c>
      <c r="V46" s="17">
        <v>3592.6619999999998</v>
      </c>
      <c r="W46" s="17">
        <v>3613.605</v>
      </c>
      <c r="X46" s="17">
        <v>3655.1280000000002</v>
      </c>
      <c r="Y46" s="17">
        <v>3712.6239999999998</v>
      </c>
      <c r="Z46" s="17">
        <v>3771.855</v>
      </c>
      <c r="AA46" s="17">
        <v>3829.942</v>
      </c>
      <c r="AB46" s="17">
        <v>3907.7159999999999</v>
      </c>
      <c r="AC46" s="17">
        <v>4012.2620000000002</v>
      </c>
      <c r="AD46" s="17">
        <v>4130.902</v>
      </c>
      <c r="AE46" s="17">
        <v>4243.5050000000001</v>
      </c>
      <c r="AF46" s="17">
        <v>4353.6530000000002</v>
      </c>
      <c r="AG46" s="17">
        <v>4438.5069999999996</v>
      </c>
      <c r="AH46" s="17">
        <v>4484.4859999999999</v>
      </c>
      <c r="AI46" s="17">
        <v>4500.027</v>
      </c>
      <c r="AJ46" s="17">
        <v>4509.7879999999996</v>
      </c>
      <c r="AK46" s="17">
        <v>4512.0029999999997</v>
      </c>
      <c r="AL46" s="17">
        <v>4486.8609999999999</v>
      </c>
      <c r="AM46" s="17">
        <v>4427.9759999999997</v>
      </c>
      <c r="AN46" s="17">
        <v>4344.0039999999999</v>
      </c>
      <c r="AO46" s="17">
        <v>4249.393</v>
      </c>
      <c r="AP46" s="17">
        <v>4140.5479999999998</v>
      </c>
      <c r="AQ46" s="17">
        <v>4033.2280000000001</v>
      </c>
      <c r="AR46" s="17">
        <v>3936.5210000000002</v>
      </c>
      <c r="AS46" s="17">
        <v>3843.39</v>
      </c>
      <c r="AT46" s="17">
        <v>3741.79</v>
      </c>
      <c r="AU46" s="17">
        <v>3639.0329999999999</v>
      </c>
      <c r="AV46" s="17">
        <v>3514.3910000000001</v>
      </c>
      <c r="AW46" s="17">
        <v>3357.931</v>
      </c>
      <c r="AX46" s="17">
        <v>3183.0830000000001</v>
      </c>
      <c r="AY46" s="17">
        <v>3012.6709999999998</v>
      </c>
      <c r="AZ46" s="17">
        <v>2841.4780000000001</v>
      </c>
      <c r="BA46" s="17">
        <v>2692.058</v>
      </c>
      <c r="BB46" s="17">
        <v>2577.7510000000002</v>
      </c>
      <c r="BC46" s="17">
        <v>2488.759</v>
      </c>
      <c r="BD46" s="17">
        <v>2401.828</v>
      </c>
      <c r="BE46" s="17">
        <v>2321.4720000000002</v>
      </c>
      <c r="BF46" s="17">
        <v>2249.6280000000002</v>
      </c>
      <c r="BG46" s="17">
        <v>2184.895</v>
      </c>
      <c r="BH46" s="17">
        <v>2128.0169999999998</v>
      </c>
      <c r="BI46" s="17">
        <v>2077.9470000000001</v>
      </c>
      <c r="BJ46" s="17">
        <v>2031.06</v>
      </c>
      <c r="BK46" s="17">
        <v>2002.229</v>
      </c>
      <c r="BL46" s="17">
        <v>1997.5070000000001</v>
      </c>
      <c r="BM46" s="17">
        <v>2007.53</v>
      </c>
      <c r="BN46" s="17">
        <v>2016.6890000000001</v>
      </c>
      <c r="BO46" s="17">
        <v>2027.8720000000001</v>
      </c>
      <c r="BP46" s="17">
        <v>2025.9590000000001</v>
      </c>
      <c r="BQ46" s="17">
        <v>2001.748</v>
      </c>
      <c r="BR46" s="17">
        <v>1961.049</v>
      </c>
      <c r="BS46" s="17">
        <v>1920.143</v>
      </c>
      <c r="BT46" s="17">
        <v>1877.298</v>
      </c>
      <c r="BU46" s="17">
        <v>1821.9860000000001</v>
      </c>
      <c r="BV46" s="17">
        <v>1751.0809999999999</v>
      </c>
      <c r="BW46" s="17">
        <v>1668.7860000000001</v>
      </c>
      <c r="BX46" s="17">
        <v>1583.3430000000001</v>
      </c>
      <c r="BY46" s="17">
        <v>1494.194</v>
      </c>
      <c r="BZ46" s="17">
        <v>1402.96</v>
      </c>
      <c r="CA46" s="17">
        <v>1311.6369999999999</v>
      </c>
      <c r="CB46" s="17">
        <v>1220.4090000000001</v>
      </c>
      <c r="CC46" s="17">
        <v>1127.5360000000001</v>
      </c>
      <c r="CD46" s="17">
        <v>1033.4549999999999</v>
      </c>
      <c r="CE46" s="17">
        <v>943.61199999999997</v>
      </c>
      <c r="CF46" s="17">
        <v>860.58699999999999</v>
      </c>
      <c r="CG46" s="17">
        <v>782.78200000000004</v>
      </c>
      <c r="CH46" s="17">
        <v>706.44799999999998</v>
      </c>
      <c r="CI46" s="17">
        <v>632.84299999999996</v>
      </c>
      <c r="CJ46" s="17">
        <v>561.12800000000004</v>
      </c>
      <c r="CK46" s="17">
        <v>490.67700000000002</v>
      </c>
      <c r="CL46" s="17">
        <v>422.61399999999998</v>
      </c>
      <c r="CM46" s="17">
        <v>353.29399999999998</v>
      </c>
      <c r="CN46" s="17">
        <v>298.06400000000002</v>
      </c>
      <c r="CO46" s="17">
        <v>255.00899999999999</v>
      </c>
      <c r="CP46" s="17">
        <v>204.06700000000001</v>
      </c>
      <c r="CQ46" s="17">
        <v>145.619</v>
      </c>
      <c r="CR46" s="17">
        <v>103.621</v>
      </c>
      <c r="CS46" s="17">
        <v>83.396000000000001</v>
      </c>
      <c r="CT46" s="17">
        <v>68.096999999999994</v>
      </c>
      <c r="CU46" s="17">
        <v>51.401000000000003</v>
      </c>
      <c r="CV46" s="17">
        <v>33.308</v>
      </c>
      <c r="CW46" s="17">
        <v>20.331</v>
      </c>
      <c r="CX46" s="17">
        <v>38.378999999999998</v>
      </c>
      <c r="CY46" s="3">
        <f t="shared" si="87"/>
        <v>262241.20400000009</v>
      </c>
      <c r="CZ46" s="21">
        <f t="shared" si="3"/>
        <v>193658.09299999994</v>
      </c>
      <c r="DA46">
        <f t="shared" si="4"/>
        <v>1.8525355405622015E-2</v>
      </c>
      <c r="DB46">
        <f t="shared" si="5"/>
        <v>1.8524616990832399E-2</v>
      </c>
      <c r="DC46">
        <f t="shared" si="6"/>
        <v>1.8551571712523272E-2</v>
      </c>
      <c r="DD46">
        <f t="shared" si="7"/>
        <v>1.8659715914893373E-2</v>
      </c>
      <c r="DE46">
        <f t="shared" si="8"/>
        <v>1.8874129882090709E-2</v>
      </c>
      <c r="DF46">
        <f t="shared" si="9"/>
        <v>1.9171024264914148E-2</v>
      </c>
      <c r="DG46">
        <f t="shared" si="10"/>
        <v>1.9476877736268949E-2</v>
      </c>
      <c r="DH46">
        <f t="shared" si="11"/>
        <v>1.9776823889306818E-2</v>
      </c>
      <c r="DI46">
        <f t="shared" si="12"/>
        <v>2.0178428587541659E-2</v>
      </c>
      <c r="DJ46">
        <f t="shared" si="13"/>
        <v>2.0718276927368079E-2</v>
      </c>
      <c r="DK46">
        <f t="shared" si="14"/>
        <v>2.133090301575985E-2</v>
      </c>
      <c r="DL46">
        <f t="shared" si="15"/>
        <v>2.1912355607054342E-2</v>
      </c>
      <c r="DM46">
        <f t="shared" si="16"/>
        <v>2.2481131217170467E-2</v>
      </c>
      <c r="DN46">
        <f t="shared" si="17"/>
        <v>2.2919295193100972E-2</v>
      </c>
      <c r="DO46">
        <f t="shared" si="18"/>
        <v>2.3156718784791509E-2</v>
      </c>
      <c r="DP46">
        <f t="shared" si="19"/>
        <v>2.3236968464829411E-2</v>
      </c>
      <c r="DQ46">
        <f t="shared" si="20"/>
        <v>2.3287371728895424E-2</v>
      </c>
      <c r="DR46">
        <f t="shared" si="21"/>
        <v>2.3298809412524789E-2</v>
      </c>
      <c r="DS46">
        <f t="shared" si="22"/>
        <v>2.316898266678688E-2</v>
      </c>
      <c r="DT46">
        <f t="shared" si="23"/>
        <v>2.2864915849398565E-2</v>
      </c>
      <c r="DU46">
        <f t="shared" si="24"/>
        <v>2.2431306291960652E-2</v>
      </c>
      <c r="DV46">
        <f t="shared" si="25"/>
        <v>2.194275970692328E-2</v>
      </c>
      <c r="DW46">
        <f t="shared" si="26"/>
        <v>2.1380712449750299E-2</v>
      </c>
      <c r="DX46">
        <f t="shared" si="27"/>
        <v>2.0826539895753293E-2</v>
      </c>
      <c r="DY46">
        <f t="shared" si="28"/>
        <v>2.0327170112121269E-2</v>
      </c>
      <c r="DZ46">
        <f t="shared" si="29"/>
        <v>1.9846265861969432E-2</v>
      </c>
      <c r="EA46">
        <f t="shared" si="30"/>
        <v>1.9321629899557057E-2</v>
      </c>
      <c r="EB46">
        <f t="shared" si="31"/>
        <v>1.8791019490210517E-2</v>
      </c>
      <c r="EC46">
        <f t="shared" si="32"/>
        <v>1.8147400635614031E-2</v>
      </c>
      <c r="ED46">
        <f t="shared" si="33"/>
        <v>1.7339481908458125E-2</v>
      </c>
      <c r="EE46">
        <f t="shared" si="34"/>
        <v>1.6436612334089239E-2</v>
      </c>
      <c r="EF46">
        <f t="shared" si="35"/>
        <v>1.5556649109417807E-2</v>
      </c>
      <c r="EG46">
        <f t="shared" si="36"/>
        <v>1.467265300397232E-2</v>
      </c>
      <c r="EH46">
        <f t="shared" si="37"/>
        <v>1.3901087004920579E-2</v>
      </c>
      <c r="EI46">
        <f t="shared" si="38"/>
        <v>1.3310835401028146E-2</v>
      </c>
      <c r="EJ46">
        <f t="shared" si="39"/>
        <v>1.2851303869856867E-2</v>
      </c>
      <c r="EK46">
        <f t="shared" si="40"/>
        <v>1.2402414806387672E-2</v>
      </c>
      <c r="EL46">
        <f t="shared" si="41"/>
        <v>1.1987477332021445E-2</v>
      </c>
      <c r="EM46">
        <f t="shared" si="42"/>
        <v>1.1616493610726617E-2</v>
      </c>
      <c r="EN46">
        <f t="shared" si="43"/>
        <v>1.1282229243060866E-2</v>
      </c>
      <c r="EO46">
        <f t="shared" si="44"/>
        <v>1.098852605142611E-2</v>
      </c>
      <c r="EP46">
        <f t="shared" si="45"/>
        <v>1.0729977600264817E-2</v>
      </c>
      <c r="EQ46">
        <f t="shared" si="46"/>
        <v>1.0487865332847209E-2</v>
      </c>
      <c r="ER46">
        <f t="shared" si="47"/>
        <v>1.0338989551033123E-2</v>
      </c>
      <c r="ES46">
        <f t="shared" si="48"/>
        <v>1.0314606371756437E-2</v>
      </c>
      <c r="ET46">
        <f t="shared" si="49"/>
        <v>1.0366362535646784E-2</v>
      </c>
      <c r="EU46">
        <f t="shared" si="50"/>
        <v>1.041365722836071E-2</v>
      </c>
      <c r="EV46">
        <f t="shared" si="51"/>
        <v>1.0471403330404585E-2</v>
      </c>
      <c r="EW46">
        <f t="shared" si="52"/>
        <v>1.0461525096191053E-2</v>
      </c>
      <c r="EX46">
        <f t="shared" si="53"/>
        <v>1.0336505792195324E-2</v>
      </c>
      <c r="EY46">
        <f t="shared" si="54"/>
        <v>1.012634674658291E-2</v>
      </c>
      <c r="EZ46">
        <f t="shared" si="55"/>
        <v>9.91511880683448E-3</v>
      </c>
      <c r="FA46">
        <f t="shared" si="56"/>
        <v>9.693878375638041E-3</v>
      </c>
      <c r="FB46">
        <f t="shared" si="57"/>
        <v>9.4082616005105486E-3</v>
      </c>
      <c r="FC46">
        <f t="shared" si="58"/>
        <v>9.042126630876203E-3</v>
      </c>
      <c r="FD46">
        <f t="shared" si="59"/>
        <v>8.617176665061968E-3</v>
      </c>
      <c r="FE46">
        <f t="shared" si="60"/>
        <v>8.1759712463966103E-3</v>
      </c>
      <c r="FF46">
        <f t="shared" si="61"/>
        <v>7.7156290080786886E-3</v>
      </c>
      <c r="FG46">
        <f t="shared" si="62"/>
        <v>7.2445203723037824E-3</v>
      </c>
      <c r="FH46">
        <f t="shared" si="63"/>
        <v>6.7729521636877852E-3</v>
      </c>
      <c r="FI46">
        <f t="shared" si="64"/>
        <v>6.3018745103516046E-3</v>
      </c>
      <c r="FJ46">
        <f t="shared" si="65"/>
        <v>5.822302505064947E-3</v>
      </c>
      <c r="FK46">
        <f t="shared" si="66"/>
        <v>5.3364927021149599E-3</v>
      </c>
      <c r="FL46">
        <f t="shared" si="67"/>
        <v>4.8725668283844991E-3</v>
      </c>
      <c r="FM46">
        <f t="shared" si="68"/>
        <v>4.4438473325253709E-3</v>
      </c>
      <c r="FN46">
        <f t="shared" si="69"/>
        <v>4.0420825583571164E-3</v>
      </c>
      <c r="FO46">
        <f t="shared" si="70"/>
        <v>3.6479136454163072E-3</v>
      </c>
      <c r="FP46">
        <f t="shared" si="71"/>
        <v>3.2678365783556495E-3</v>
      </c>
      <c r="FQ46">
        <f t="shared" si="72"/>
        <v>2.8975189794934117E-3</v>
      </c>
      <c r="FR46">
        <f t="shared" si="73"/>
        <v>2.5337283477226032E-3</v>
      </c>
      <c r="FS46">
        <f t="shared" si="74"/>
        <v>2.1822687265644E-3</v>
      </c>
      <c r="FT46">
        <f t="shared" si="75"/>
        <v>1.8243182844932802E-3</v>
      </c>
      <c r="FU46">
        <f t="shared" si="76"/>
        <v>1.5391249360283648E-3</v>
      </c>
      <c r="FV46">
        <f t="shared" si="77"/>
        <v>1.316800119476546E-3</v>
      </c>
      <c r="FW46">
        <f t="shared" si="78"/>
        <v>1.053748887220531E-3</v>
      </c>
      <c r="FX46">
        <f t="shared" si="79"/>
        <v>7.5193862411936509E-4</v>
      </c>
      <c r="FY46">
        <f t="shared" si="80"/>
        <v>5.3507188052295872E-4</v>
      </c>
      <c r="FZ46">
        <f t="shared" si="81"/>
        <v>4.3063524332029866E-4</v>
      </c>
      <c r="GA46">
        <f t="shared" si="82"/>
        <v>3.5163518831097867E-4</v>
      </c>
      <c r="GB46">
        <f t="shared" si="83"/>
        <v>2.6542138881848859E-4</v>
      </c>
      <c r="GC46">
        <f t="shared" si="84"/>
        <v>1.719938448428283E-4</v>
      </c>
      <c r="GD46">
        <f t="shared" si="85"/>
        <v>1.0498399362013756E-4</v>
      </c>
      <c r="GE46">
        <f t="shared" si="86"/>
        <v>1.9817916930535927E-4</v>
      </c>
    </row>
    <row r="47" spans="1:187">
      <c r="A47" s="4">
        <v>1995</v>
      </c>
      <c r="B47" s="17">
        <v>4006.4290000000001</v>
      </c>
      <c r="C47" s="17">
        <v>4004.2190000000001</v>
      </c>
      <c r="D47" s="17">
        <v>3997.373</v>
      </c>
      <c r="E47" s="17">
        <v>3986.3449999999998</v>
      </c>
      <c r="F47" s="17">
        <v>3971.5909999999999</v>
      </c>
      <c r="G47" s="17">
        <v>3953.567</v>
      </c>
      <c r="H47" s="17">
        <v>3932.7280000000001</v>
      </c>
      <c r="I47" s="17">
        <v>3909.5309999999999</v>
      </c>
      <c r="J47" s="17">
        <v>3884.431</v>
      </c>
      <c r="K47" s="17">
        <v>3857.8820000000001</v>
      </c>
      <c r="L47" s="17">
        <v>3830.7849999999999</v>
      </c>
      <c r="M47" s="17">
        <v>3804.038</v>
      </c>
      <c r="N47" s="17">
        <v>3775.8789999999999</v>
      </c>
      <c r="O47" s="17">
        <v>3745.8780000000002</v>
      </c>
      <c r="P47" s="17">
        <v>3715.8209999999999</v>
      </c>
      <c r="Q47" s="17">
        <v>3689.3510000000001</v>
      </c>
      <c r="R47" s="17">
        <v>3667.4520000000002</v>
      </c>
      <c r="S47" s="17">
        <v>3647.9389999999999</v>
      </c>
      <c r="T47" s="17">
        <v>3630.654</v>
      </c>
      <c r="U47" s="17">
        <v>3618.0819999999999</v>
      </c>
      <c r="V47" s="17">
        <v>3612.029</v>
      </c>
      <c r="W47" s="17">
        <v>3611.1379999999999</v>
      </c>
      <c r="X47" s="17">
        <v>3627.6030000000001</v>
      </c>
      <c r="Y47" s="17">
        <v>3667.3710000000001</v>
      </c>
      <c r="Z47" s="17">
        <v>3725.0909999999999</v>
      </c>
      <c r="AA47" s="17">
        <v>3784.1660000000002</v>
      </c>
      <c r="AB47" s="17">
        <v>3841.56</v>
      </c>
      <c r="AC47" s="17">
        <v>3921.0279999999998</v>
      </c>
      <c r="AD47" s="17">
        <v>4030.6709999999998</v>
      </c>
      <c r="AE47" s="17">
        <v>4156.2569999999996</v>
      </c>
      <c r="AF47" s="17">
        <v>4275.5600000000004</v>
      </c>
      <c r="AG47" s="17">
        <v>4393.1459999999997</v>
      </c>
      <c r="AH47" s="17">
        <v>4481.1840000000002</v>
      </c>
      <c r="AI47" s="17">
        <v>4523.5789999999997</v>
      </c>
      <c r="AJ47" s="17">
        <v>4531.2290000000003</v>
      </c>
      <c r="AK47" s="17">
        <v>4533.6059999999998</v>
      </c>
      <c r="AL47" s="17">
        <v>4527.7839999999997</v>
      </c>
      <c r="AM47" s="17">
        <v>4496.6080000000002</v>
      </c>
      <c r="AN47" s="17">
        <v>4435.4390000000003</v>
      </c>
      <c r="AO47" s="17">
        <v>4351.491</v>
      </c>
      <c r="AP47" s="17">
        <v>4256.2910000000002</v>
      </c>
      <c r="AQ47" s="17">
        <v>4147.1350000000002</v>
      </c>
      <c r="AR47" s="17">
        <v>4038.14</v>
      </c>
      <c r="AS47" s="17">
        <v>3937.377</v>
      </c>
      <c r="AT47" s="17">
        <v>3838.9169999999999</v>
      </c>
      <c r="AU47" s="17">
        <v>3732.4839999999999</v>
      </c>
      <c r="AV47" s="17">
        <v>3624.616</v>
      </c>
      <c r="AW47" s="17">
        <v>3497.4589999999998</v>
      </c>
      <c r="AX47" s="17">
        <v>3342.5529999999999</v>
      </c>
      <c r="AY47" s="17">
        <v>3171.7629999999999</v>
      </c>
      <c r="AZ47" s="17">
        <v>3005.049</v>
      </c>
      <c r="BA47" s="17">
        <v>2837.9760000000001</v>
      </c>
      <c r="BB47" s="17">
        <v>2690.74</v>
      </c>
      <c r="BC47" s="17">
        <v>2575.2829999999999</v>
      </c>
      <c r="BD47" s="17">
        <v>2483.0300000000002</v>
      </c>
      <c r="BE47" s="17">
        <v>2393.2530000000002</v>
      </c>
      <c r="BF47" s="17">
        <v>2309.8490000000002</v>
      </c>
      <c r="BG47" s="17">
        <v>2235.7350000000001</v>
      </c>
      <c r="BH47" s="17">
        <v>2170.2139999999999</v>
      </c>
      <c r="BI47" s="17">
        <v>2113.4110000000001</v>
      </c>
      <c r="BJ47" s="17">
        <v>2062.9389999999999</v>
      </c>
      <c r="BK47" s="17">
        <v>2015.4290000000001</v>
      </c>
      <c r="BL47" s="17">
        <v>1985.5170000000001</v>
      </c>
      <c r="BM47" s="17">
        <v>1979.0029999999999</v>
      </c>
      <c r="BN47" s="17">
        <v>1986.6769999999999</v>
      </c>
      <c r="BO47" s="17">
        <v>1993.528</v>
      </c>
      <c r="BP47" s="17">
        <v>2002.5550000000001</v>
      </c>
      <c r="BQ47" s="17">
        <v>1997.548</v>
      </c>
      <c r="BR47" s="17">
        <v>1968.8989999999999</v>
      </c>
      <c r="BS47" s="17">
        <v>1923.008</v>
      </c>
      <c r="BT47" s="17">
        <v>1876.9349999999999</v>
      </c>
      <c r="BU47" s="17">
        <v>1828.5429999999999</v>
      </c>
      <c r="BV47" s="17">
        <v>1769.298</v>
      </c>
      <c r="BW47" s="17">
        <v>1697.0640000000001</v>
      </c>
      <c r="BX47" s="17">
        <v>1615.0319999999999</v>
      </c>
      <c r="BY47" s="17">
        <v>1529.758</v>
      </c>
      <c r="BZ47" s="17">
        <v>1441.4069999999999</v>
      </c>
      <c r="CA47" s="17">
        <v>1349.134</v>
      </c>
      <c r="CB47" s="17">
        <v>1253.6659999999999</v>
      </c>
      <c r="CC47" s="17">
        <v>1156.5650000000001</v>
      </c>
      <c r="CD47" s="17">
        <v>1058.546</v>
      </c>
      <c r="CE47" s="17">
        <v>959.31799999999998</v>
      </c>
      <c r="CF47" s="17">
        <v>866.70299999999997</v>
      </c>
      <c r="CG47" s="17">
        <v>784.63199999999995</v>
      </c>
      <c r="CH47" s="17">
        <v>710.27700000000004</v>
      </c>
      <c r="CI47" s="17">
        <v>637.36199999999997</v>
      </c>
      <c r="CJ47" s="17">
        <v>567.71900000000005</v>
      </c>
      <c r="CK47" s="17">
        <v>499.54599999999999</v>
      </c>
      <c r="CL47" s="17">
        <v>431.505</v>
      </c>
      <c r="CM47" s="17">
        <v>365.29199999999997</v>
      </c>
      <c r="CN47" s="17">
        <v>297.00099999999998</v>
      </c>
      <c r="CO47" s="17">
        <v>245.48</v>
      </c>
      <c r="CP47" s="17">
        <v>208.82300000000001</v>
      </c>
      <c r="CQ47" s="17">
        <v>162.16399999999999</v>
      </c>
      <c r="CR47" s="17">
        <v>105.504</v>
      </c>
      <c r="CS47" s="17">
        <v>70.584999999999994</v>
      </c>
      <c r="CT47" s="17">
        <v>59.676000000000002</v>
      </c>
      <c r="CU47" s="17">
        <v>47.76</v>
      </c>
      <c r="CV47" s="17">
        <v>34.835999999999999</v>
      </c>
      <c r="CW47" s="17">
        <v>20.905000000000001</v>
      </c>
      <c r="CX47" s="17">
        <v>39.811999999999998</v>
      </c>
      <c r="CY47" s="3">
        <f t="shared" si="87"/>
        <v>265163.74099999998</v>
      </c>
      <c r="CZ47" s="21">
        <f t="shared" si="3"/>
        <v>195782.50199999998</v>
      </c>
      <c r="DA47">
        <f t="shared" si="4"/>
        <v>1.8544323230683814E-2</v>
      </c>
      <c r="DB47">
        <f t="shared" si="5"/>
        <v>1.8480109116186492E-2</v>
      </c>
      <c r="DC47">
        <f t="shared" si="6"/>
        <v>1.8449192155078294E-2</v>
      </c>
      <c r="DD47">
        <f t="shared" si="7"/>
        <v>1.8444641186575499E-2</v>
      </c>
      <c r="DE47">
        <f t="shared" si="8"/>
        <v>1.8528739611265159E-2</v>
      </c>
      <c r="DF47">
        <f t="shared" si="9"/>
        <v>1.8731862973127192E-2</v>
      </c>
      <c r="DG47">
        <f t="shared" si="10"/>
        <v>1.9026679922601052E-2</v>
      </c>
      <c r="DH47">
        <f t="shared" si="11"/>
        <v>1.9328417817441115E-2</v>
      </c>
      <c r="DI47">
        <f t="shared" si="12"/>
        <v>1.9621569653860079E-2</v>
      </c>
      <c r="DJ47">
        <f t="shared" si="13"/>
        <v>2.0027469053388643E-2</v>
      </c>
      <c r="DK47">
        <f t="shared" si="14"/>
        <v>2.0587493564670045E-2</v>
      </c>
      <c r="DL47">
        <f t="shared" si="15"/>
        <v>2.122895027666977E-2</v>
      </c>
      <c r="DM47">
        <f t="shared" si="16"/>
        <v>2.1838315254547113E-2</v>
      </c>
      <c r="DN47">
        <f t="shared" si="17"/>
        <v>2.243891029648809E-2</v>
      </c>
      <c r="DO47">
        <f t="shared" si="18"/>
        <v>2.288858276006709E-2</v>
      </c>
      <c r="DP47">
        <f t="shared" si="19"/>
        <v>2.310512407283466E-2</v>
      </c>
      <c r="DQ47">
        <f t="shared" si="20"/>
        <v>2.314419804482834E-2</v>
      </c>
      <c r="DR47">
        <f t="shared" si="21"/>
        <v>2.3156339068544543E-2</v>
      </c>
      <c r="DS47">
        <f t="shared" si="22"/>
        <v>2.3126601988159291E-2</v>
      </c>
      <c r="DT47">
        <f t="shared" si="23"/>
        <v>2.2967364059940355E-2</v>
      </c>
      <c r="DU47">
        <f t="shared" si="24"/>
        <v>2.2654930622962418E-2</v>
      </c>
      <c r="DV47">
        <f t="shared" si="25"/>
        <v>2.2226148688200952E-2</v>
      </c>
      <c r="DW47">
        <f t="shared" si="26"/>
        <v>2.1739894814501864E-2</v>
      </c>
      <c r="DX47">
        <f t="shared" si="27"/>
        <v>2.1182357757385289E-2</v>
      </c>
      <c r="DY47">
        <f t="shared" si="28"/>
        <v>2.0625643041378643E-2</v>
      </c>
      <c r="DZ47">
        <f t="shared" si="29"/>
        <v>2.011097498386245E-2</v>
      </c>
      <c r="EA47">
        <f t="shared" si="30"/>
        <v>1.960806997961442E-2</v>
      </c>
      <c r="EB47">
        <f t="shared" si="31"/>
        <v>1.906444121344409E-2</v>
      </c>
      <c r="EC47">
        <f t="shared" si="32"/>
        <v>1.8513482885206975E-2</v>
      </c>
      <c r="ED47">
        <f t="shared" si="33"/>
        <v>1.7864001962749461E-2</v>
      </c>
      <c r="EE47">
        <f t="shared" si="34"/>
        <v>1.7072787229984426E-2</v>
      </c>
      <c r="EF47">
        <f t="shared" si="35"/>
        <v>1.6200441651317749E-2</v>
      </c>
      <c r="EG47">
        <f t="shared" si="36"/>
        <v>1.5348915093546002E-2</v>
      </c>
      <c r="EH47">
        <f t="shared" si="37"/>
        <v>1.449555486833037E-2</v>
      </c>
      <c r="EI47">
        <f t="shared" si="38"/>
        <v>1.3743516261734156E-2</v>
      </c>
      <c r="EJ47">
        <f t="shared" si="39"/>
        <v>1.3153795531737561E-2</v>
      </c>
      <c r="EK47">
        <f t="shared" si="40"/>
        <v>1.2682594075746362E-2</v>
      </c>
      <c r="EL47">
        <f t="shared" si="41"/>
        <v>1.2224039306638346E-2</v>
      </c>
      <c r="EM47">
        <f t="shared" si="42"/>
        <v>1.1798035965440877E-2</v>
      </c>
      <c r="EN47">
        <f t="shared" si="43"/>
        <v>1.1419483238599129E-2</v>
      </c>
      <c r="EO47">
        <f t="shared" si="44"/>
        <v>1.108482105310923E-2</v>
      </c>
      <c r="EP47">
        <f t="shared" si="45"/>
        <v>1.0794687872565855E-2</v>
      </c>
      <c r="EQ47">
        <f t="shared" si="46"/>
        <v>1.0536891596165219E-2</v>
      </c>
      <c r="ER47">
        <f t="shared" si="47"/>
        <v>1.0294224353103835E-2</v>
      </c>
      <c r="ES47">
        <f t="shared" si="48"/>
        <v>1.014144256875418E-2</v>
      </c>
      <c r="ET47">
        <f t="shared" si="49"/>
        <v>1.0108170953908844E-2</v>
      </c>
      <c r="EU47">
        <f t="shared" si="50"/>
        <v>1.0147367510912697E-2</v>
      </c>
      <c r="EV47">
        <f t="shared" si="51"/>
        <v>1.0182360423609257E-2</v>
      </c>
      <c r="EW47">
        <f t="shared" si="52"/>
        <v>1.0228467710561797E-2</v>
      </c>
      <c r="EX47">
        <f t="shared" si="53"/>
        <v>1.0202893412813777E-2</v>
      </c>
      <c r="EY47">
        <f t="shared" si="54"/>
        <v>1.0056562664624647E-2</v>
      </c>
      <c r="EZ47">
        <f t="shared" si="55"/>
        <v>9.8221648020414016E-3</v>
      </c>
      <c r="FA47">
        <f t="shared" si="56"/>
        <v>9.586837336464319E-3</v>
      </c>
      <c r="FB47">
        <f t="shared" si="57"/>
        <v>9.3396650942789566E-3</v>
      </c>
      <c r="FC47">
        <f t="shared" si="58"/>
        <v>9.0370588889501485E-3</v>
      </c>
      <c r="FD47">
        <f t="shared" si="59"/>
        <v>8.6681086545722062E-3</v>
      </c>
      <c r="FE47">
        <f t="shared" si="60"/>
        <v>8.2491130897898116E-3</v>
      </c>
      <c r="FF47">
        <f t="shared" si="61"/>
        <v>7.8135583332161127E-3</v>
      </c>
      <c r="FG47">
        <f t="shared" si="62"/>
        <v>7.3622871567960661E-3</v>
      </c>
      <c r="FH47">
        <f t="shared" si="63"/>
        <v>6.8909835466297196E-3</v>
      </c>
      <c r="FI47">
        <f t="shared" si="64"/>
        <v>6.4033608069836599E-3</v>
      </c>
      <c r="FJ47">
        <f t="shared" si="65"/>
        <v>5.9073971789368601E-3</v>
      </c>
      <c r="FK47">
        <f t="shared" si="66"/>
        <v>5.4067446742508182E-3</v>
      </c>
      <c r="FL47">
        <f t="shared" si="67"/>
        <v>4.8999169496771475E-3</v>
      </c>
      <c r="FM47">
        <f t="shared" si="68"/>
        <v>4.4268665031157893E-3</v>
      </c>
      <c r="FN47">
        <f t="shared" si="69"/>
        <v>4.0076717376918598E-3</v>
      </c>
      <c r="FO47">
        <f t="shared" si="70"/>
        <v>3.6278880530395924E-3</v>
      </c>
      <c r="FP47">
        <f t="shared" si="71"/>
        <v>3.2554594689978987E-3</v>
      </c>
      <c r="FQ47">
        <f t="shared" si="72"/>
        <v>2.8997433080102334E-3</v>
      </c>
      <c r="FR47">
        <f t="shared" si="73"/>
        <v>2.5515354788958619E-3</v>
      </c>
      <c r="FS47">
        <f t="shared" si="74"/>
        <v>2.2040018673374602E-3</v>
      </c>
      <c r="FT47">
        <f t="shared" si="75"/>
        <v>1.8658051473874821E-3</v>
      </c>
      <c r="FU47">
        <f t="shared" si="76"/>
        <v>1.5169946086397445E-3</v>
      </c>
      <c r="FV47">
        <f t="shared" si="77"/>
        <v>1.2538403457526557E-3</v>
      </c>
      <c r="FW47">
        <f t="shared" si="78"/>
        <v>1.0666070658347192E-3</v>
      </c>
      <c r="FX47">
        <f t="shared" si="79"/>
        <v>8.2828648292583367E-4</v>
      </c>
      <c r="FY47">
        <f t="shared" si="80"/>
        <v>5.3888370473475719E-4</v>
      </c>
      <c r="FZ47">
        <f t="shared" si="81"/>
        <v>3.6052762263708325E-4</v>
      </c>
      <c r="GA47">
        <f t="shared" si="82"/>
        <v>3.0480762780322427E-4</v>
      </c>
      <c r="GB47">
        <f t="shared" si="83"/>
        <v>2.4394417025072038E-4</v>
      </c>
      <c r="GC47">
        <f t="shared" si="84"/>
        <v>1.7793214227081438E-4</v>
      </c>
      <c r="GD47">
        <f t="shared" si="85"/>
        <v>1.0677665157226361E-4</v>
      </c>
      <c r="GE47">
        <f t="shared" si="86"/>
        <v>2.0334810104735511E-4</v>
      </c>
    </row>
    <row r="48" spans="1:187">
      <c r="A48" s="4">
        <v>1996</v>
      </c>
      <c r="B48" s="17">
        <v>3941.7629999999999</v>
      </c>
      <c r="C48" s="17">
        <v>4027.3429999999998</v>
      </c>
      <c r="D48" s="17">
        <v>4032.654</v>
      </c>
      <c r="E48" s="17">
        <v>4031.7779999999998</v>
      </c>
      <c r="F48" s="17">
        <v>4025.3110000000001</v>
      </c>
      <c r="G48" s="17">
        <v>4013.8539999999998</v>
      </c>
      <c r="H48" s="17">
        <v>3997.951</v>
      </c>
      <c r="I48" s="17">
        <v>3978.15</v>
      </c>
      <c r="J48" s="17">
        <v>3955.3130000000001</v>
      </c>
      <c r="K48" s="17">
        <v>3930.1480000000001</v>
      </c>
      <c r="L48" s="17">
        <v>3903.0920000000001</v>
      </c>
      <c r="M48" s="17">
        <v>3874.998</v>
      </c>
      <c r="N48" s="17">
        <v>3847.0410000000002</v>
      </c>
      <c r="O48" s="17">
        <v>3816.9450000000002</v>
      </c>
      <c r="P48" s="17">
        <v>3784.11</v>
      </c>
      <c r="Q48" s="17">
        <v>3750.8029999999999</v>
      </c>
      <c r="R48" s="17">
        <v>3721.0129999999999</v>
      </c>
      <c r="S48" s="17">
        <v>3695.2869999999998</v>
      </c>
      <c r="T48" s="17">
        <v>3674.1709999999998</v>
      </c>
      <c r="U48" s="17">
        <v>3658.7860000000001</v>
      </c>
      <c r="V48" s="17">
        <v>3650.2489999999998</v>
      </c>
      <c r="W48" s="17">
        <v>3647.7510000000002</v>
      </c>
      <c r="X48" s="17">
        <v>3650.4850000000001</v>
      </c>
      <c r="Y48" s="17">
        <v>3669.2049999999999</v>
      </c>
      <c r="Z48" s="17">
        <v>3708.884</v>
      </c>
      <c r="AA48" s="17">
        <v>3764.8609999999999</v>
      </c>
      <c r="AB48" s="17">
        <v>3822.3780000000002</v>
      </c>
      <c r="AC48" s="17">
        <v>3878.241</v>
      </c>
      <c r="AD48" s="17">
        <v>3955.1370000000002</v>
      </c>
      <c r="AE48" s="17">
        <v>4060.886</v>
      </c>
      <c r="AF48" s="17">
        <v>4181.7389999999996</v>
      </c>
      <c r="AG48" s="17">
        <v>4296.26</v>
      </c>
      <c r="AH48" s="17">
        <v>4408.8950000000004</v>
      </c>
      <c r="AI48" s="17">
        <v>4492.5659999999998</v>
      </c>
      <c r="AJ48" s="17">
        <v>4531.6440000000002</v>
      </c>
      <c r="AK48" s="17">
        <v>4536.768</v>
      </c>
      <c r="AL48" s="17">
        <v>4536.6270000000004</v>
      </c>
      <c r="AM48" s="17">
        <v>4528.3850000000002</v>
      </c>
      <c r="AN48" s="17">
        <v>4495.4930000000004</v>
      </c>
      <c r="AO48" s="17">
        <v>4433.5119999999997</v>
      </c>
      <c r="AP48" s="17">
        <v>4349.4319999999998</v>
      </c>
      <c r="AQ48" s="17">
        <v>4254.1459999999997</v>
      </c>
      <c r="AR48" s="17">
        <v>4144.8379999999997</v>
      </c>
      <c r="AS48" s="17">
        <v>4036.3890000000001</v>
      </c>
      <c r="AT48" s="17">
        <v>3937.114</v>
      </c>
      <c r="AU48" s="17">
        <v>3840.5839999999998</v>
      </c>
      <c r="AV48" s="17">
        <v>3736.0619999999999</v>
      </c>
      <c r="AW48" s="17">
        <v>3630.5120000000002</v>
      </c>
      <c r="AX48" s="17">
        <v>3503.625</v>
      </c>
      <c r="AY48" s="17">
        <v>3345.7759999999998</v>
      </c>
      <c r="AZ48" s="17">
        <v>3170.07</v>
      </c>
      <c r="BA48" s="17">
        <v>2998.6790000000001</v>
      </c>
      <c r="BB48" s="17">
        <v>2826.5030000000002</v>
      </c>
      <c r="BC48" s="17">
        <v>2675.8539999999998</v>
      </c>
      <c r="BD48" s="17">
        <v>2559.8870000000002</v>
      </c>
      <c r="BE48" s="17">
        <v>2468.904</v>
      </c>
      <c r="BF48" s="17">
        <v>2379.8449999999998</v>
      </c>
      <c r="BG48" s="17">
        <v>2297.0610000000001</v>
      </c>
      <c r="BH48" s="17">
        <v>2222.875</v>
      </c>
      <c r="BI48" s="17">
        <v>2156.0529999999999</v>
      </c>
      <c r="BJ48" s="17">
        <v>2097.056</v>
      </c>
      <c r="BK48" s="17">
        <v>2044.5229999999999</v>
      </c>
      <c r="BL48" s="17">
        <v>1995.069</v>
      </c>
      <c r="BM48" s="17">
        <v>1962.298</v>
      </c>
      <c r="BN48" s="17">
        <v>1951.6579999999999</v>
      </c>
      <c r="BO48" s="17">
        <v>1954.4349999999999</v>
      </c>
      <c r="BP48" s="17">
        <v>1956.3869999999999</v>
      </c>
      <c r="BQ48" s="17">
        <v>1960.271</v>
      </c>
      <c r="BR48" s="17">
        <v>1951.009</v>
      </c>
      <c r="BS48" s="17">
        <v>1919.61</v>
      </c>
      <c r="BT48" s="17">
        <v>1871.94</v>
      </c>
      <c r="BU48" s="17">
        <v>1824.0170000000001</v>
      </c>
      <c r="BV48" s="17">
        <v>1774.04</v>
      </c>
      <c r="BW48" s="17">
        <v>1712.7370000000001</v>
      </c>
      <c r="BX48" s="17">
        <v>1637.547</v>
      </c>
      <c r="BY48" s="17">
        <v>1552.1189999999999</v>
      </c>
      <c r="BZ48" s="17">
        <v>1463.904</v>
      </c>
      <c r="CA48" s="17">
        <v>1372.893</v>
      </c>
      <c r="CB48" s="17">
        <v>1278.665</v>
      </c>
      <c r="CC48" s="17">
        <v>1182.251</v>
      </c>
      <c r="CD48" s="17">
        <v>1085.019</v>
      </c>
      <c r="CE48" s="17">
        <v>987.17600000000004</v>
      </c>
      <c r="CF48" s="17">
        <v>888.52</v>
      </c>
      <c r="CG48" s="17">
        <v>797.05</v>
      </c>
      <c r="CH48" s="17">
        <v>716.73500000000001</v>
      </c>
      <c r="CI48" s="17">
        <v>644.70600000000002</v>
      </c>
      <c r="CJ48" s="17">
        <v>573.28599999999994</v>
      </c>
      <c r="CK48" s="17">
        <v>507.98099999999999</v>
      </c>
      <c r="CL48" s="17">
        <v>445.77600000000001</v>
      </c>
      <c r="CM48" s="17">
        <v>381.61599999999999</v>
      </c>
      <c r="CN48" s="17">
        <v>316.85899999999998</v>
      </c>
      <c r="CO48" s="17">
        <v>254.92500000000001</v>
      </c>
      <c r="CP48" s="17">
        <v>211.316</v>
      </c>
      <c r="CQ48" s="17">
        <v>179.11</v>
      </c>
      <c r="CR48" s="17">
        <v>138.42699999999999</v>
      </c>
      <c r="CS48" s="17">
        <v>89.266999999999996</v>
      </c>
      <c r="CT48" s="17">
        <v>62.131999999999998</v>
      </c>
      <c r="CU48" s="17">
        <v>49.732999999999997</v>
      </c>
      <c r="CV48" s="17">
        <v>36.210999999999999</v>
      </c>
      <c r="CW48" s="17">
        <v>21.567</v>
      </c>
      <c r="CX48" s="17">
        <v>40.481000000000002</v>
      </c>
      <c r="CY48" s="3">
        <f t="shared" si="87"/>
        <v>268335.00799999997</v>
      </c>
      <c r="CZ48" s="21">
        <f t="shared" si="3"/>
        <v>198007.45399999994</v>
      </c>
      <c r="DA48">
        <f t="shared" si="4"/>
        <v>1.8555720634638336E-2</v>
      </c>
      <c r="DB48">
        <f t="shared" si="5"/>
        <v>1.8478021539532551E-2</v>
      </c>
      <c r="DC48">
        <f t="shared" si="6"/>
        <v>1.8434907001026339E-2</v>
      </c>
      <c r="DD48">
        <f t="shared" si="7"/>
        <v>1.8422291314346181E-2</v>
      </c>
      <c r="DE48">
        <f t="shared" si="8"/>
        <v>1.8436098875348406E-2</v>
      </c>
      <c r="DF48">
        <f t="shared" si="9"/>
        <v>1.8530640770725738E-2</v>
      </c>
      <c r="DG48">
        <f t="shared" si="10"/>
        <v>1.8731032216595247E-2</v>
      </c>
      <c r="DH48">
        <f t="shared" si="11"/>
        <v>1.9013733695096149E-2</v>
      </c>
      <c r="DI48">
        <f t="shared" si="12"/>
        <v>1.9304212658580022E-2</v>
      </c>
      <c r="DJ48">
        <f t="shared" si="13"/>
        <v>1.9586338401179591E-2</v>
      </c>
      <c r="DK48">
        <f t="shared" si="14"/>
        <v>1.9974687417575712E-2</v>
      </c>
      <c r="DL48">
        <f t="shared" si="15"/>
        <v>2.0508753170474084E-2</v>
      </c>
      <c r="DM48">
        <f t="shared" si="16"/>
        <v>2.1119098879984591E-2</v>
      </c>
      <c r="DN48">
        <f t="shared" si="17"/>
        <v>2.1697465995396324E-2</v>
      </c>
      <c r="DO48">
        <f t="shared" si="18"/>
        <v>2.2266308216861382E-2</v>
      </c>
      <c r="DP48">
        <f t="shared" si="19"/>
        <v>2.2688873116867618E-2</v>
      </c>
      <c r="DQ48">
        <f t="shared" si="20"/>
        <v>2.2886229323467802E-2</v>
      </c>
      <c r="DR48">
        <f t="shared" si="21"/>
        <v>2.2912107137138388E-2</v>
      </c>
      <c r="DS48">
        <f t="shared" si="22"/>
        <v>2.2911395042734109E-2</v>
      </c>
      <c r="DT48">
        <f t="shared" si="23"/>
        <v>2.2869770347130475E-2</v>
      </c>
      <c r="DU48">
        <f t="shared" si="24"/>
        <v>2.2703655388650174E-2</v>
      </c>
      <c r="DV48">
        <f t="shared" si="25"/>
        <v>2.2390631819345554E-2</v>
      </c>
      <c r="DW48">
        <f t="shared" si="26"/>
        <v>2.1966001340535397E-2</v>
      </c>
      <c r="DX48">
        <f t="shared" si="27"/>
        <v>2.1484777032686867E-2</v>
      </c>
      <c r="DY48">
        <f t="shared" si="28"/>
        <v>2.0932737208973966E-2</v>
      </c>
      <c r="DZ48">
        <f t="shared" si="29"/>
        <v>2.0385035605780786E-2</v>
      </c>
      <c r="EA48">
        <f t="shared" si="30"/>
        <v>1.9883665591700409E-2</v>
      </c>
      <c r="EB48">
        <f t="shared" si="31"/>
        <v>1.9396158692086416E-2</v>
      </c>
      <c r="EC48">
        <f t="shared" si="32"/>
        <v>1.8868289675599795E-2</v>
      </c>
      <c r="ED48">
        <f t="shared" si="33"/>
        <v>1.83352289353713E-2</v>
      </c>
      <c r="EE48">
        <f t="shared" si="34"/>
        <v>1.7694409625609354E-2</v>
      </c>
      <c r="EF48">
        <f t="shared" si="35"/>
        <v>1.6897222465170433E-2</v>
      </c>
      <c r="EG48">
        <f t="shared" si="36"/>
        <v>1.6009851831133595E-2</v>
      </c>
      <c r="EH48">
        <f t="shared" si="37"/>
        <v>1.5144273305993829E-2</v>
      </c>
      <c r="EI48">
        <f t="shared" si="38"/>
        <v>1.4274730283638721E-2</v>
      </c>
      <c r="EJ48">
        <f t="shared" si="39"/>
        <v>1.3513905390652619E-2</v>
      </c>
      <c r="EK48">
        <f t="shared" si="40"/>
        <v>1.2928235519860788E-2</v>
      </c>
      <c r="EL48">
        <f t="shared" si="41"/>
        <v>1.2468742717130239E-2</v>
      </c>
      <c r="EM48">
        <f t="shared" si="42"/>
        <v>1.2018966720313471E-2</v>
      </c>
      <c r="EN48">
        <f t="shared" si="43"/>
        <v>1.1600881449644823E-2</v>
      </c>
      <c r="EO48">
        <f t="shared" si="44"/>
        <v>1.122621878669275E-2</v>
      </c>
      <c r="EP48">
        <f t="shared" si="45"/>
        <v>1.0888746642841035E-2</v>
      </c>
      <c r="EQ48">
        <f t="shared" si="46"/>
        <v>1.0590793213269641E-2</v>
      </c>
      <c r="ER48">
        <f t="shared" si="47"/>
        <v>1.0325485019367002E-2</v>
      </c>
      <c r="ES48">
        <f t="shared" si="48"/>
        <v>1.0075726745115365E-2</v>
      </c>
      <c r="ET48">
        <f t="shared" si="49"/>
        <v>9.9102228747408698E-3</v>
      </c>
      <c r="EU48">
        <f t="shared" si="50"/>
        <v>9.8564875239494799E-3</v>
      </c>
      <c r="EV48">
        <f t="shared" si="51"/>
        <v>9.8705122484934356E-3</v>
      </c>
      <c r="EW48">
        <f t="shared" si="52"/>
        <v>9.8803704632250897E-3</v>
      </c>
      <c r="EX48">
        <f t="shared" si="53"/>
        <v>9.8999858863899164E-3</v>
      </c>
      <c r="EY48">
        <f t="shared" si="54"/>
        <v>9.8532098695638028E-3</v>
      </c>
      <c r="EZ48">
        <f t="shared" si="55"/>
        <v>9.6946350312650375E-3</v>
      </c>
      <c r="FA48">
        <f t="shared" si="56"/>
        <v>9.453886518837825E-3</v>
      </c>
      <c r="FB48">
        <f t="shared" si="57"/>
        <v>9.211860276734837E-3</v>
      </c>
      <c r="FC48">
        <f t="shared" si="58"/>
        <v>8.9594606877779481E-3</v>
      </c>
      <c r="FD48">
        <f t="shared" si="59"/>
        <v>8.6498612319918042E-3</v>
      </c>
      <c r="FE48">
        <f t="shared" si="60"/>
        <v>8.2701280528560336E-3</v>
      </c>
      <c r="FF48">
        <f t="shared" si="61"/>
        <v>7.8386897495283207E-3</v>
      </c>
      <c r="FG48">
        <f t="shared" si="62"/>
        <v>7.3931762185074123E-3</v>
      </c>
      <c r="FH48">
        <f t="shared" si="63"/>
        <v>6.9335420069589924E-3</v>
      </c>
      <c r="FI48">
        <f t="shared" si="64"/>
        <v>6.4576609323000553E-3</v>
      </c>
      <c r="FJ48">
        <f t="shared" si="65"/>
        <v>5.9707398692172486E-3</v>
      </c>
      <c r="FK48">
        <f t="shared" si="66"/>
        <v>5.479687648526607E-3</v>
      </c>
      <c r="FL48">
        <f t="shared" si="67"/>
        <v>4.9855496854174005E-3</v>
      </c>
      <c r="FM48">
        <f t="shared" si="68"/>
        <v>4.4873058162749786E-3</v>
      </c>
      <c r="FN48">
        <f t="shared" si="69"/>
        <v>4.0253535101764408E-3</v>
      </c>
      <c r="FO48">
        <f t="shared" si="70"/>
        <v>3.6197374670551554E-3</v>
      </c>
      <c r="FP48">
        <f t="shared" si="71"/>
        <v>3.255968333394157E-3</v>
      </c>
      <c r="FQ48">
        <f t="shared" si="72"/>
        <v>2.8952748415218758E-3</v>
      </c>
      <c r="FR48">
        <f t="shared" si="73"/>
        <v>2.5654640254098725E-3</v>
      </c>
      <c r="FS48">
        <f t="shared" si="74"/>
        <v>2.2513091855622777E-3</v>
      </c>
      <c r="FT48">
        <f t="shared" si="75"/>
        <v>1.9272809800382571E-3</v>
      </c>
      <c r="FU48">
        <f t="shared" si="76"/>
        <v>1.6002377365046069E-3</v>
      </c>
      <c r="FV48">
        <f t="shared" si="77"/>
        <v>1.2874515320014169E-3</v>
      </c>
      <c r="FW48">
        <f t="shared" si="78"/>
        <v>1.0672123484805783E-3</v>
      </c>
      <c r="FX48">
        <f t="shared" si="79"/>
        <v>9.0456190603814372E-4</v>
      </c>
      <c r="FY48">
        <f t="shared" si="80"/>
        <v>6.9909994398493721E-4</v>
      </c>
      <c r="FZ48">
        <f t="shared" si="81"/>
        <v>4.5082646232095901E-4</v>
      </c>
      <c r="GA48">
        <f t="shared" si="82"/>
        <v>3.1378616685814273E-4</v>
      </c>
      <c r="GB48">
        <f t="shared" si="83"/>
        <v>2.5116731211543186E-4</v>
      </c>
      <c r="GC48">
        <f t="shared" si="84"/>
        <v>1.8287695371306583E-4</v>
      </c>
      <c r="GD48">
        <f t="shared" si="85"/>
        <v>1.0892014196596865E-4</v>
      </c>
      <c r="GE48">
        <f t="shared" si="86"/>
        <v>2.0444179843855784E-4</v>
      </c>
    </row>
    <row r="49" spans="1:187">
      <c r="A49" s="4">
        <v>1997</v>
      </c>
      <c r="B49" s="17">
        <v>3855.01</v>
      </c>
      <c r="C49" s="17">
        <v>3924.8139999999999</v>
      </c>
      <c r="D49" s="17">
        <v>4052.8939999999998</v>
      </c>
      <c r="E49" s="17">
        <v>4065.732</v>
      </c>
      <c r="F49" s="17">
        <v>4070.8229999999999</v>
      </c>
      <c r="G49" s="17">
        <v>4068.9110000000001</v>
      </c>
      <c r="H49" s="17">
        <v>4060.7370000000001</v>
      </c>
      <c r="I49" s="17">
        <v>4046.9389999999999</v>
      </c>
      <c r="J49" s="17">
        <v>4028.1489999999999</v>
      </c>
      <c r="K49" s="17">
        <v>4005.6469999999999</v>
      </c>
      <c r="L49" s="17">
        <v>3980.3879999999999</v>
      </c>
      <c r="M49" s="17">
        <v>3952.7939999999999</v>
      </c>
      <c r="N49" s="17">
        <v>3923.672</v>
      </c>
      <c r="O49" s="17">
        <v>3894.471</v>
      </c>
      <c r="P49" s="17">
        <v>3862.404</v>
      </c>
      <c r="Q49" s="17">
        <v>3826.6970000000001</v>
      </c>
      <c r="R49" s="17">
        <v>3790.1019999999999</v>
      </c>
      <c r="S49" s="17">
        <v>3756.9589999999998</v>
      </c>
      <c r="T49" s="17">
        <v>3727.3760000000002</v>
      </c>
      <c r="U49" s="17">
        <v>3704.6320000000001</v>
      </c>
      <c r="V49" s="17">
        <v>3691.1280000000002</v>
      </c>
      <c r="W49" s="17">
        <v>3686.6179999999999</v>
      </c>
      <c r="X49" s="17">
        <v>3687.672</v>
      </c>
      <c r="Y49" s="17">
        <v>3694.0340000000001</v>
      </c>
      <c r="Z49" s="17">
        <v>3715.0309999999999</v>
      </c>
      <c r="AA49" s="17">
        <v>3754.6669999999999</v>
      </c>
      <c r="AB49" s="17">
        <v>3808.9639999999999</v>
      </c>
      <c r="AC49" s="17">
        <v>3864.989</v>
      </c>
      <c r="AD49" s="17">
        <v>3919.3850000000002</v>
      </c>
      <c r="AE49" s="17">
        <v>3993.7979999999998</v>
      </c>
      <c r="AF49" s="17">
        <v>4095.7759999999998</v>
      </c>
      <c r="AG49" s="17">
        <v>4212.0339999999997</v>
      </c>
      <c r="AH49" s="17">
        <v>4321.9049999999997</v>
      </c>
      <c r="AI49" s="17">
        <v>4429.7179999999998</v>
      </c>
      <c r="AJ49" s="17">
        <v>4509.1180000000004</v>
      </c>
      <c r="AK49" s="17">
        <v>4544.924</v>
      </c>
      <c r="AL49" s="17">
        <v>4547.53</v>
      </c>
      <c r="AM49" s="17">
        <v>4544.8710000000001</v>
      </c>
      <c r="AN49" s="17">
        <v>4534.1980000000003</v>
      </c>
      <c r="AO49" s="17">
        <v>4499.5510000000004</v>
      </c>
      <c r="AP49" s="17">
        <v>4436.6890000000003</v>
      </c>
      <c r="AQ49" s="17">
        <v>4352.3789999999999</v>
      </c>
      <c r="AR49" s="17">
        <v>4256.8999999999996</v>
      </c>
      <c r="AS49" s="17">
        <v>4147.3119999999999</v>
      </c>
      <c r="AT49" s="17">
        <v>4039.2840000000001</v>
      </c>
      <c r="AU49" s="17">
        <v>3941.3829999999998</v>
      </c>
      <c r="AV49" s="17">
        <v>3846.672</v>
      </c>
      <c r="AW49" s="17">
        <v>3743.9409999999998</v>
      </c>
      <c r="AX49" s="17">
        <v>3640.5889999999999</v>
      </c>
      <c r="AY49" s="17">
        <v>3513.8249999999998</v>
      </c>
      <c r="AZ49" s="17">
        <v>3352.8510000000001</v>
      </c>
      <c r="BA49" s="17">
        <v>3172.0259999999998</v>
      </c>
      <c r="BB49" s="17">
        <v>2995.761</v>
      </c>
      <c r="BC49" s="17">
        <v>2818.2829999999999</v>
      </c>
      <c r="BD49" s="17">
        <v>2664.05</v>
      </c>
      <c r="BE49" s="17">
        <v>2547.4369999999999</v>
      </c>
      <c r="BF49" s="17">
        <v>2457.6210000000001</v>
      </c>
      <c r="BG49" s="17">
        <v>2369.1799999999998</v>
      </c>
      <c r="BH49" s="17">
        <v>2286.9189999999999</v>
      </c>
      <c r="BI49" s="17">
        <v>2212.5729999999999</v>
      </c>
      <c r="BJ49" s="17">
        <v>2144.373</v>
      </c>
      <c r="BK49" s="17">
        <v>2083.1149999999998</v>
      </c>
      <c r="BL49" s="17">
        <v>2028.463</v>
      </c>
      <c r="BM49" s="17">
        <v>1977.0070000000001</v>
      </c>
      <c r="BN49" s="17">
        <v>1941.338</v>
      </c>
      <c r="BO49" s="17">
        <v>1926.5609999999999</v>
      </c>
      <c r="BP49" s="17">
        <v>1924.444</v>
      </c>
      <c r="BQ49" s="17">
        <v>1921.499</v>
      </c>
      <c r="BR49" s="17">
        <v>1920.2439999999999</v>
      </c>
      <c r="BS49" s="17">
        <v>1906.7180000000001</v>
      </c>
      <c r="BT49" s="17">
        <v>1872.5319999999999</v>
      </c>
      <c r="BU49" s="17">
        <v>1823.027</v>
      </c>
      <c r="BV49" s="17">
        <v>1773.202</v>
      </c>
      <c r="BW49" s="17">
        <v>1721.58</v>
      </c>
      <c r="BX49" s="17">
        <v>1658.15</v>
      </c>
      <c r="BY49" s="17">
        <v>1579.9159999999999</v>
      </c>
      <c r="BZ49" s="17">
        <v>1490.9949999999999</v>
      </c>
      <c r="CA49" s="17">
        <v>1399.7360000000001</v>
      </c>
      <c r="CB49" s="17">
        <v>1305.96</v>
      </c>
      <c r="CC49" s="17">
        <v>1209.67</v>
      </c>
      <c r="CD49" s="17">
        <v>1112.1990000000001</v>
      </c>
      <c r="CE49" s="17">
        <v>1014.723</v>
      </c>
      <c r="CF49" s="17">
        <v>916.94399999999996</v>
      </c>
      <c r="CG49" s="17">
        <v>818.74599999999998</v>
      </c>
      <c r="CH49" s="17">
        <v>728.31799999999998</v>
      </c>
      <c r="CI49" s="17">
        <v>649.66499999999996</v>
      </c>
      <c r="CJ49" s="17">
        <v>579.87800000000004</v>
      </c>
      <c r="CK49" s="17">
        <v>509.87299999999999</v>
      </c>
      <c r="CL49" s="17">
        <v>448.83100000000002</v>
      </c>
      <c r="CM49" s="17">
        <v>392.52100000000002</v>
      </c>
      <c r="CN49" s="17">
        <v>332.16899999999998</v>
      </c>
      <c r="CO49" s="17">
        <v>268.79199999999997</v>
      </c>
      <c r="CP49" s="17">
        <v>213.14500000000001</v>
      </c>
      <c r="CQ49" s="17">
        <v>177.39599999999999</v>
      </c>
      <c r="CR49" s="17">
        <v>149.60400000000001</v>
      </c>
      <c r="CS49" s="17">
        <v>114.85</v>
      </c>
      <c r="CT49" s="17">
        <v>73.135000000000005</v>
      </c>
      <c r="CU49" s="17">
        <v>52.497</v>
      </c>
      <c r="CV49" s="17">
        <v>38.118000000000002</v>
      </c>
      <c r="CW49" s="17">
        <v>22.349</v>
      </c>
      <c r="CX49" s="17">
        <v>40.613999999999997</v>
      </c>
      <c r="CY49" s="3">
        <f t="shared" si="87"/>
        <v>271713.63400000002</v>
      </c>
      <c r="CZ49" s="21">
        <f t="shared" si="3"/>
        <v>200546.49099999995</v>
      </c>
      <c r="DA49">
        <f t="shared" si="4"/>
        <v>1.8586094333607667E-2</v>
      </c>
      <c r="DB49">
        <f t="shared" si="5"/>
        <v>1.8472684221635175E-2</v>
      </c>
      <c r="DC49">
        <f t="shared" si="6"/>
        <v>1.8405348214245248E-2</v>
      </c>
      <c r="DD49">
        <f t="shared" si="7"/>
        <v>1.8382859663198997E-2</v>
      </c>
      <c r="DE49">
        <f t="shared" si="8"/>
        <v>1.8388115302401382E-2</v>
      </c>
      <c r="DF49">
        <f t="shared" si="9"/>
        <v>1.8419838619863963E-2</v>
      </c>
      <c r="DG49">
        <f t="shared" si="10"/>
        <v>1.8524537534790379E-2</v>
      </c>
      <c r="DH49">
        <f t="shared" si="11"/>
        <v>1.8722177492499735E-2</v>
      </c>
      <c r="DI49">
        <f t="shared" si="12"/>
        <v>1.8992922693421749E-2</v>
      </c>
      <c r="DJ49">
        <f t="shared" si="13"/>
        <v>1.9272284350265699E-2</v>
      </c>
      <c r="DK49">
        <f t="shared" si="14"/>
        <v>1.9543523202308243E-2</v>
      </c>
      <c r="DL49">
        <f t="shared" si="15"/>
        <v>1.991457432182147E-2</v>
      </c>
      <c r="DM49">
        <f t="shared" si="16"/>
        <v>2.0423074866964392E-2</v>
      </c>
      <c r="DN49">
        <f t="shared" si="17"/>
        <v>2.1002780846462184E-2</v>
      </c>
      <c r="DO49">
        <f t="shared" si="18"/>
        <v>2.1550638849123522E-2</v>
      </c>
      <c r="DP49">
        <f t="shared" si="19"/>
        <v>2.2088234892127835E-2</v>
      </c>
      <c r="DQ49">
        <f t="shared" si="20"/>
        <v>2.248415306354077E-2</v>
      </c>
      <c r="DR49">
        <f t="shared" si="21"/>
        <v>2.2662695205173153E-2</v>
      </c>
      <c r="DS49">
        <f t="shared" si="22"/>
        <v>2.2675689698305423E-2</v>
      </c>
      <c r="DT49">
        <f t="shared" si="23"/>
        <v>2.266243092730055E-2</v>
      </c>
      <c r="DU49">
        <f t="shared" si="24"/>
        <v>2.2609211347407725E-2</v>
      </c>
      <c r="DV49">
        <f t="shared" si="25"/>
        <v>2.2436448414347981E-2</v>
      </c>
      <c r="DW49">
        <f t="shared" si="26"/>
        <v>2.2122994911937907E-2</v>
      </c>
      <c r="DX49">
        <f t="shared" si="27"/>
        <v>2.1702593639496795E-2</v>
      </c>
      <c r="DY49">
        <f t="shared" si="28"/>
        <v>2.1226499545185264E-2</v>
      </c>
      <c r="DZ49">
        <f t="shared" si="29"/>
        <v>2.0680052686636141E-2</v>
      </c>
      <c r="EA49">
        <f t="shared" si="30"/>
        <v>2.0141384573016542E-2</v>
      </c>
      <c r="EB49">
        <f t="shared" si="31"/>
        <v>1.9653213478564434E-2</v>
      </c>
      <c r="EC49">
        <f t="shared" si="32"/>
        <v>1.918094892021821E-2</v>
      </c>
      <c r="ED49">
        <f t="shared" si="33"/>
        <v>1.8668693634734307E-2</v>
      </c>
      <c r="EE49">
        <f t="shared" si="34"/>
        <v>1.815334181040346E-2</v>
      </c>
      <c r="EF49">
        <f t="shared" si="35"/>
        <v>1.7521248975630298E-2</v>
      </c>
      <c r="EG49">
        <f t="shared" si="36"/>
        <v>1.6718572253652648E-2</v>
      </c>
      <c r="EH49">
        <f t="shared" si="37"/>
        <v>1.5816911002446813E-2</v>
      </c>
      <c r="EI49">
        <f t="shared" si="38"/>
        <v>1.4937987621034968E-2</v>
      </c>
      <c r="EJ49">
        <f t="shared" si="39"/>
        <v>1.4053015766802924E-2</v>
      </c>
      <c r="EK49">
        <f t="shared" si="40"/>
        <v>1.3283952198395737E-2</v>
      </c>
      <c r="EL49">
        <f t="shared" si="41"/>
        <v>1.2702476055788982E-2</v>
      </c>
      <c r="EM49">
        <f t="shared" si="42"/>
        <v>1.2254619802846617E-2</v>
      </c>
      <c r="EN49">
        <f t="shared" si="43"/>
        <v>1.181361981546713E-2</v>
      </c>
      <c r="EO49">
        <f t="shared" si="44"/>
        <v>1.1403435625308451E-2</v>
      </c>
      <c r="EP49">
        <f t="shared" si="45"/>
        <v>1.1032718592917193E-2</v>
      </c>
      <c r="EQ49">
        <f t="shared" si="46"/>
        <v>1.0692647820998278E-2</v>
      </c>
      <c r="ER49">
        <f t="shared" si="47"/>
        <v>1.0387192464015739E-2</v>
      </c>
      <c r="ES49">
        <f t="shared" si="48"/>
        <v>1.0114677099984764E-2</v>
      </c>
      <c r="ET49">
        <f t="shared" si="49"/>
        <v>9.8580981903094011E-3</v>
      </c>
      <c r="EU49">
        <f t="shared" si="50"/>
        <v>9.6802391820458248E-3</v>
      </c>
      <c r="EV49">
        <f t="shared" si="51"/>
        <v>9.6065555193384083E-3</v>
      </c>
      <c r="EW49">
        <f t="shared" si="52"/>
        <v>9.5959993635590483E-3</v>
      </c>
      <c r="EX49">
        <f t="shared" si="53"/>
        <v>9.581314489317096E-3</v>
      </c>
      <c r="EY49">
        <f t="shared" si="54"/>
        <v>9.575056588748793E-3</v>
      </c>
      <c r="EZ49">
        <f t="shared" si="55"/>
        <v>9.5076108811098601E-3</v>
      </c>
      <c r="FA49">
        <f t="shared" si="56"/>
        <v>9.3371466669042863E-3</v>
      </c>
      <c r="FB49">
        <f t="shared" si="57"/>
        <v>9.0902961747657829E-3</v>
      </c>
      <c r="FC49">
        <f t="shared" si="58"/>
        <v>8.8418500426417357E-3</v>
      </c>
      <c r="FD49">
        <f t="shared" si="59"/>
        <v>8.5844433947238723E-3</v>
      </c>
      <c r="FE49">
        <f t="shared" si="60"/>
        <v>8.2681576313394615E-3</v>
      </c>
      <c r="FF49">
        <f t="shared" si="61"/>
        <v>7.8780535731238516E-3</v>
      </c>
      <c r="FG49">
        <f t="shared" si="62"/>
        <v>7.4346601257660513E-3</v>
      </c>
      <c r="FH49">
        <f t="shared" si="63"/>
        <v>6.9796085337638768E-3</v>
      </c>
      <c r="FI49">
        <f t="shared" si="64"/>
        <v>6.5120062360004109E-3</v>
      </c>
      <c r="FJ49">
        <f t="shared" si="65"/>
        <v>6.031868191600522E-3</v>
      </c>
      <c r="FK49">
        <f t="shared" si="66"/>
        <v>5.5458412383789868E-3</v>
      </c>
      <c r="FL49">
        <f t="shared" si="67"/>
        <v>5.0597893532826769E-3</v>
      </c>
      <c r="FM49">
        <f t="shared" si="68"/>
        <v>4.5722265965750563E-3</v>
      </c>
      <c r="FN49">
        <f t="shared" si="69"/>
        <v>4.0825745487613647E-3</v>
      </c>
      <c r="FO49">
        <f t="shared" si="70"/>
        <v>3.6316666343466472E-3</v>
      </c>
      <c r="FP49">
        <f t="shared" si="71"/>
        <v>3.2394732850249677E-3</v>
      </c>
      <c r="FQ49">
        <f t="shared" si="72"/>
        <v>2.8914891360527478E-3</v>
      </c>
      <c r="FR49">
        <f t="shared" si="73"/>
        <v>2.5424179573403762E-3</v>
      </c>
      <c r="FS49">
        <f t="shared" si="74"/>
        <v>2.2380396573480816E-3</v>
      </c>
      <c r="FT49">
        <f t="shared" si="75"/>
        <v>1.9572568836420086E-3</v>
      </c>
      <c r="FU49">
        <f t="shared" si="76"/>
        <v>1.6563191823685416E-3</v>
      </c>
      <c r="FV49">
        <f t="shared" si="77"/>
        <v>1.3402976968567356E-3</v>
      </c>
      <c r="FW49">
        <f t="shared" si="78"/>
        <v>1.0628208897457102E-3</v>
      </c>
      <c r="FX49">
        <f t="shared" si="79"/>
        <v>8.8456297148574903E-4</v>
      </c>
      <c r="FY49">
        <f t="shared" si="80"/>
        <v>7.4598163874131337E-4</v>
      </c>
      <c r="FZ49">
        <f t="shared" si="81"/>
        <v>5.7268516356140094E-4</v>
      </c>
      <c r="GA49">
        <f t="shared" si="82"/>
        <v>3.6467853232096704E-4</v>
      </c>
      <c r="GB49">
        <f t="shared" si="83"/>
        <v>2.6176972600333364E-4</v>
      </c>
      <c r="GC49">
        <f t="shared" si="84"/>
        <v>1.900706405279363E-4</v>
      </c>
      <c r="GD49">
        <f t="shared" si="85"/>
        <v>1.1144049386533523E-4</v>
      </c>
      <c r="GE49">
        <f t="shared" si="86"/>
        <v>2.0251663241517402E-4</v>
      </c>
    </row>
    <row r="50" spans="1:187">
      <c r="A50" s="4">
        <v>1998</v>
      </c>
      <c r="B50" s="17">
        <v>3769.1640000000002</v>
      </c>
      <c r="C50" s="17">
        <v>3876.3879999999999</v>
      </c>
      <c r="D50" s="17">
        <v>3962.1019999999999</v>
      </c>
      <c r="E50" s="17">
        <v>4079.8159999999998</v>
      </c>
      <c r="F50" s="17">
        <v>4100.1970000000001</v>
      </c>
      <c r="G50" s="17">
        <v>4111.2669999999998</v>
      </c>
      <c r="H50" s="17">
        <v>4113.915</v>
      </c>
      <c r="I50" s="17">
        <v>4109.027</v>
      </c>
      <c r="J50" s="17">
        <v>4097.33</v>
      </c>
      <c r="K50" s="17">
        <v>4079.549</v>
      </c>
      <c r="L50" s="17">
        <v>4057.375</v>
      </c>
      <c r="M50" s="17">
        <v>4032.0129999999999</v>
      </c>
      <c r="N50" s="17">
        <v>4003.8710000000001</v>
      </c>
      <c r="O50" s="17">
        <v>3973.71</v>
      </c>
      <c r="P50" s="17">
        <v>3943.2539999999999</v>
      </c>
      <c r="Q50" s="17">
        <v>3909.203</v>
      </c>
      <c r="R50" s="17">
        <v>3870.6080000000002</v>
      </c>
      <c r="S50" s="17">
        <v>3830.7069999999999</v>
      </c>
      <c r="T50" s="17">
        <v>3794.194</v>
      </c>
      <c r="U50" s="17">
        <v>3760.7370000000001</v>
      </c>
      <c r="V50" s="17">
        <v>3736.357</v>
      </c>
      <c r="W50" s="17">
        <v>3724.7330000000002</v>
      </c>
      <c r="X50" s="17">
        <v>3724.2550000000001</v>
      </c>
      <c r="Y50" s="17">
        <v>3728.8670000000002</v>
      </c>
      <c r="Z50" s="17">
        <v>3738.864</v>
      </c>
      <c r="AA50" s="17">
        <v>3762.1480000000001</v>
      </c>
      <c r="AB50" s="17">
        <v>3801.7539999999999</v>
      </c>
      <c r="AC50" s="17">
        <v>3854.3879999999999</v>
      </c>
      <c r="AD50" s="17">
        <v>3908.9360000000001</v>
      </c>
      <c r="AE50" s="17">
        <v>3961.8809999999999</v>
      </c>
      <c r="AF50" s="17">
        <v>4033.8319999999999</v>
      </c>
      <c r="AG50" s="17">
        <v>4132.0659999999998</v>
      </c>
      <c r="AH50" s="17">
        <v>4243.7610000000004</v>
      </c>
      <c r="AI50" s="17">
        <v>4349.0110000000004</v>
      </c>
      <c r="AJ50" s="17">
        <v>4452.0309999999999</v>
      </c>
      <c r="AK50" s="17">
        <v>4527.1790000000001</v>
      </c>
      <c r="AL50" s="17">
        <v>4559.7209999999995</v>
      </c>
      <c r="AM50" s="17">
        <v>4559.8040000000001</v>
      </c>
      <c r="AN50" s="17">
        <v>4554.6229999999996</v>
      </c>
      <c r="AO50" s="17">
        <v>4541.5150000000003</v>
      </c>
      <c r="AP50" s="17">
        <v>4505.0990000000002</v>
      </c>
      <c r="AQ50" s="17">
        <v>4441.3310000000001</v>
      </c>
      <c r="AR50" s="17">
        <v>4356.7650000000003</v>
      </c>
      <c r="AS50" s="17">
        <v>4261.0600000000004</v>
      </c>
      <c r="AT50" s="17">
        <v>4151.1570000000002</v>
      </c>
      <c r="AU50" s="17">
        <v>4043.5160000000001</v>
      </c>
      <c r="AV50" s="17">
        <v>3946.9580000000001</v>
      </c>
      <c r="AW50" s="17">
        <v>3854.0369999999998</v>
      </c>
      <c r="AX50" s="17">
        <v>3753.067</v>
      </c>
      <c r="AY50" s="17">
        <v>3651.8820000000001</v>
      </c>
      <c r="AZ50" s="17">
        <v>3525.2</v>
      </c>
      <c r="BA50" s="17">
        <v>3361.0439999999999</v>
      </c>
      <c r="BB50" s="17">
        <v>3175.0320000000002</v>
      </c>
      <c r="BC50" s="17">
        <v>2993.828</v>
      </c>
      <c r="BD50" s="17">
        <v>2810.982</v>
      </c>
      <c r="BE50" s="17">
        <v>2653.1089999999999</v>
      </c>
      <c r="BF50" s="17">
        <v>2535.81</v>
      </c>
      <c r="BG50" s="17">
        <v>2447.1320000000001</v>
      </c>
      <c r="BH50" s="17">
        <v>2359.279</v>
      </c>
      <c r="BI50" s="17">
        <v>2277.5160000000001</v>
      </c>
      <c r="BJ50" s="17">
        <v>2202.9859999999999</v>
      </c>
      <c r="BK50" s="17">
        <v>2133.3850000000002</v>
      </c>
      <c r="BL50" s="17">
        <v>2069.8420000000001</v>
      </c>
      <c r="BM50" s="17">
        <v>2013.048</v>
      </c>
      <c r="BN50" s="17">
        <v>1959.5709999999999</v>
      </c>
      <c r="BO50" s="17">
        <v>1920.99</v>
      </c>
      <c r="BP50" s="17">
        <v>1902.0640000000001</v>
      </c>
      <c r="BQ50" s="17">
        <v>1895.046</v>
      </c>
      <c r="BR50" s="17">
        <v>1887.1969999999999</v>
      </c>
      <c r="BS50" s="17">
        <v>1880.7929999999999</v>
      </c>
      <c r="BT50" s="17">
        <v>1862.991</v>
      </c>
      <c r="BU50" s="17">
        <v>1826.0050000000001</v>
      </c>
      <c r="BV50" s="17">
        <v>1774.6469999999999</v>
      </c>
      <c r="BW50" s="17">
        <v>1722.8969999999999</v>
      </c>
      <c r="BX50" s="17">
        <v>1669.6130000000001</v>
      </c>
      <c r="BY50" s="17">
        <v>1604.0319999999999</v>
      </c>
      <c r="BZ50" s="17">
        <v>1522.7249999999999</v>
      </c>
      <c r="CA50" s="17">
        <v>1430.2750000000001</v>
      </c>
      <c r="CB50" s="17">
        <v>1335.94</v>
      </c>
      <c r="CC50" s="17">
        <v>1239.3630000000001</v>
      </c>
      <c r="CD50" s="17">
        <v>1140.9739999999999</v>
      </c>
      <c r="CE50" s="17">
        <v>1042.413</v>
      </c>
      <c r="CF50" s="17">
        <v>944.66300000000001</v>
      </c>
      <c r="CG50" s="17">
        <v>846.91300000000001</v>
      </c>
      <c r="CH50" s="17">
        <v>749.14099999999996</v>
      </c>
      <c r="CI50" s="17">
        <v>659.72699999999998</v>
      </c>
      <c r="CJ50" s="17">
        <v>582.71400000000006</v>
      </c>
      <c r="CK50" s="17">
        <v>515.149</v>
      </c>
      <c r="CL50" s="17">
        <v>446.53699999999998</v>
      </c>
      <c r="CM50" s="17">
        <v>389.74299999999999</v>
      </c>
      <c r="CN50" s="17">
        <v>339.32</v>
      </c>
      <c r="CO50" s="17">
        <v>282.76</v>
      </c>
      <c r="CP50" s="17">
        <v>220.745</v>
      </c>
      <c r="CQ50" s="17">
        <v>171.376</v>
      </c>
      <c r="CR50" s="17">
        <v>143.48599999999999</v>
      </c>
      <c r="CS50" s="17">
        <v>120.105</v>
      </c>
      <c r="CT50" s="17">
        <v>91.277000000000001</v>
      </c>
      <c r="CU50" s="17">
        <v>57.002000000000002</v>
      </c>
      <c r="CV50" s="17">
        <v>40.29</v>
      </c>
      <c r="CW50" s="17">
        <v>23.178000000000001</v>
      </c>
      <c r="CX50" s="17">
        <v>40.429000000000002</v>
      </c>
      <c r="CY50" s="3">
        <f t="shared" si="87"/>
        <v>275175.30900000007</v>
      </c>
      <c r="CZ50" s="21">
        <f t="shared" si="3"/>
        <v>203255.81300000017</v>
      </c>
      <c r="DA50">
        <f t="shared" si="4"/>
        <v>1.8667087272923391E-2</v>
      </c>
      <c r="DB50">
        <f t="shared" si="5"/>
        <v>1.8502481894576844E-2</v>
      </c>
      <c r="DC50">
        <f t="shared" si="6"/>
        <v>1.838253452559311E-2</v>
      </c>
      <c r="DD50">
        <f t="shared" si="7"/>
        <v>1.8325345509306527E-2</v>
      </c>
      <c r="DE50">
        <f t="shared" si="8"/>
        <v>1.8322993793048355E-2</v>
      </c>
      <c r="DF50">
        <f t="shared" si="9"/>
        <v>1.8345684411003767E-2</v>
      </c>
      <c r="DG50">
        <f t="shared" si="10"/>
        <v>1.8394868736177288E-2</v>
      </c>
      <c r="DH50">
        <f t="shared" si="11"/>
        <v>1.8509423885456094E-2</v>
      </c>
      <c r="DI50">
        <f t="shared" si="12"/>
        <v>1.8704281781107026E-2</v>
      </c>
      <c r="DJ50">
        <f t="shared" si="13"/>
        <v>1.8963236244564363E-2</v>
      </c>
      <c r="DK50">
        <f t="shared" si="14"/>
        <v>1.923160741287137E-2</v>
      </c>
      <c r="DL50">
        <f t="shared" si="15"/>
        <v>1.9492091967869066E-2</v>
      </c>
      <c r="DM50">
        <f t="shared" si="16"/>
        <v>1.9846084303625777E-2</v>
      </c>
      <c r="DN50">
        <f t="shared" si="17"/>
        <v>2.0329386594222506E-2</v>
      </c>
      <c r="DO50">
        <f t="shared" si="18"/>
        <v>2.0878915773001765E-2</v>
      </c>
      <c r="DP50">
        <f t="shared" si="19"/>
        <v>2.1396736141563621E-2</v>
      </c>
      <c r="DQ50">
        <f t="shared" si="20"/>
        <v>2.1903585114193002E-2</v>
      </c>
      <c r="DR50">
        <f t="shared" si="21"/>
        <v>2.2273306397391921E-2</v>
      </c>
      <c r="DS50">
        <f t="shared" si="22"/>
        <v>2.2433410059470211E-2</v>
      </c>
      <c r="DT50">
        <f t="shared" si="23"/>
        <v>2.2433818411874872E-2</v>
      </c>
      <c r="DU50">
        <f t="shared" si="24"/>
        <v>2.2408328365988706E-2</v>
      </c>
      <c r="DV50">
        <f t="shared" si="25"/>
        <v>2.2343838205503116E-2</v>
      </c>
      <c r="DW50">
        <f t="shared" si="26"/>
        <v>2.2164674817934955E-2</v>
      </c>
      <c r="DX50">
        <f t="shared" si="27"/>
        <v>2.1850942093351085E-2</v>
      </c>
      <c r="DY50">
        <f t="shared" si="28"/>
        <v>2.1434885111994297E-2</v>
      </c>
      <c r="DZ50">
        <f t="shared" si="29"/>
        <v>2.0964025269968524E-2</v>
      </c>
      <c r="EA50">
        <f t="shared" si="30"/>
        <v>2.0423312567203165E-2</v>
      </c>
      <c r="EB50">
        <f t="shared" si="31"/>
        <v>1.9893728697441961E-2</v>
      </c>
      <c r="EC50">
        <f t="shared" si="32"/>
        <v>1.9418672173474306E-2</v>
      </c>
      <c r="ED50">
        <f t="shared" si="33"/>
        <v>1.8961509356684409E-2</v>
      </c>
      <c r="EE50">
        <f t="shared" si="34"/>
        <v>1.8464746196459322E-2</v>
      </c>
      <c r="EF50">
        <f t="shared" si="35"/>
        <v>1.7966925255908903E-2</v>
      </c>
      <c r="EG50">
        <f t="shared" si="36"/>
        <v>1.7343661408591532E-2</v>
      </c>
      <c r="EH50">
        <f t="shared" si="37"/>
        <v>1.6536028910523692E-2</v>
      </c>
      <c r="EI50">
        <f t="shared" si="38"/>
        <v>1.5620866892500623E-2</v>
      </c>
      <c r="EJ50">
        <f t="shared" si="39"/>
        <v>1.4729359794496985E-2</v>
      </c>
      <c r="EK50">
        <f t="shared" si="40"/>
        <v>1.3829774206752934E-2</v>
      </c>
      <c r="EL50">
        <f t="shared" si="41"/>
        <v>1.3053053493727127E-2</v>
      </c>
      <c r="EM50">
        <f t="shared" si="42"/>
        <v>1.247595314777048E-2</v>
      </c>
      <c r="EN50">
        <f t="shared" si="43"/>
        <v>1.2039665502703226E-2</v>
      </c>
      <c r="EO50">
        <f t="shared" si="44"/>
        <v>1.160743678214014E-2</v>
      </c>
      <c r="EP50">
        <f t="shared" si="45"/>
        <v>1.1205170304280539E-2</v>
      </c>
      <c r="EQ50">
        <f t="shared" si="46"/>
        <v>1.0838489524528374E-2</v>
      </c>
      <c r="ER50">
        <f t="shared" si="47"/>
        <v>1.0496058973722924E-2</v>
      </c>
      <c r="ES50">
        <f t="shared" si="48"/>
        <v>1.0183433228549279E-2</v>
      </c>
      <c r="ET50">
        <f t="shared" si="49"/>
        <v>9.9040119457739616E-3</v>
      </c>
      <c r="EU50">
        <f t="shared" si="50"/>
        <v>9.6409099994596379E-3</v>
      </c>
      <c r="EV50">
        <f t="shared" si="51"/>
        <v>9.4510950100108494E-3</v>
      </c>
      <c r="EW50">
        <f t="shared" si="52"/>
        <v>9.3579808219310234E-3</v>
      </c>
      <c r="EX50">
        <f t="shared" si="53"/>
        <v>9.3234529041489132E-3</v>
      </c>
      <c r="EY50">
        <f t="shared" si="54"/>
        <v>9.2848365424116966E-3</v>
      </c>
      <c r="EZ50">
        <f t="shared" si="55"/>
        <v>9.2533294484423833E-3</v>
      </c>
      <c r="FA50">
        <f t="shared" si="56"/>
        <v>9.1657452375052042E-3</v>
      </c>
      <c r="FB50">
        <f t="shared" si="57"/>
        <v>8.9837775020978044E-3</v>
      </c>
      <c r="FC50">
        <f t="shared" si="58"/>
        <v>8.7311008418735781E-3</v>
      </c>
      <c r="FD50">
        <f t="shared" si="59"/>
        <v>8.4764955775213108E-3</v>
      </c>
      <c r="FE50">
        <f t="shared" si="60"/>
        <v>8.2143431735455397E-3</v>
      </c>
      <c r="FF50">
        <f t="shared" si="61"/>
        <v>7.8916906548694796E-3</v>
      </c>
      <c r="FG50">
        <f t="shared" si="62"/>
        <v>7.4916676552812715E-3</v>
      </c>
      <c r="FH50">
        <f t="shared" si="63"/>
        <v>7.0368221153901209E-3</v>
      </c>
      <c r="FI50">
        <f t="shared" si="64"/>
        <v>6.5727025479955098E-3</v>
      </c>
      <c r="FJ50">
        <f t="shared" si="65"/>
        <v>6.0975525457665457E-3</v>
      </c>
      <c r="FK50">
        <f t="shared" si="66"/>
        <v>5.6134876693538843E-3</v>
      </c>
      <c r="FL50">
        <f t="shared" si="67"/>
        <v>5.128576568680961E-3</v>
      </c>
      <c r="FM50">
        <f t="shared" si="68"/>
        <v>4.6476555137933461E-3</v>
      </c>
      <c r="FN50">
        <f t="shared" si="69"/>
        <v>4.1667344589057303E-3</v>
      </c>
      <c r="FO50">
        <f t="shared" si="70"/>
        <v>3.6857051660313367E-3</v>
      </c>
      <c r="FP50">
        <f t="shared" si="71"/>
        <v>3.2457964683155183E-3</v>
      </c>
      <c r="FQ50">
        <f t="shared" si="72"/>
        <v>2.8668995557829362E-3</v>
      </c>
      <c r="FR50">
        <f t="shared" si="73"/>
        <v>2.5344859386629182E-3</v>
      </c>
      <c r="FS50">
        <f t="shared" si="74"/>
        <v>2.1969211773539762E-3</v>
      </c>
      <c r="FT50">
        <f t="shared" si="75"/>
        <v>1.9174998945786592E-3</v>
      </c>
      <c r="FU50">
        <f t="shared" si="76"/>
        <v>1.6694233487924879E-3</v>
      </c>
      <c r="FV50">
        <f t="shared" si="77"/>
        <v>1.3911533246038074E-3</v>
      </c>
      <c r="FW50">
        <f t="shared" si="78"/>
        <v>1.0860451996027283E-3</v>
      </c>
      <c r="FX50">
        <f t="shared" si="79"/>
        <v>8.4315423736491053E-4</v>
      </c>
      <c r="FY50">
        <f t="shared" si="80"/>
        <v>7.0593798958163063E-4</v>
      </c>
      <c r="FZ50">
        <f t="shared" si="81"/>
        <v>5.9090560917930506E-4</v>
      </c>
      <c r="GA50">
        <f t="shared" si="82"/>
        <v>4.490744872325001E-4</v>
      </c>
      <c r="GB50">
        <f t="shared" si="83"/>
        <v>2.8044462374121599E-4</v>
      </c>
      <c r="GC50">
        <f t="shared" si="84"/>
        <v>1.9822311305802589E-4</v>
      </c>
      <c r="GD50">
        <f t="shared" si="85"/>
        <v>1.1403363897887625E-4</v>
      </c>
      <c r="GE50">
        <f t="shared" si="86"/>
        <v>1.9890698033812185E-4</v>
      </c>
    </row>
    <row r="51" spans="1:187">
      <c r="A51" s="4">
        <v>1999</v>
      </c>
      <c r="B51" s="17">
        <v>3716.2429999999999</v>
      </c>
      <c r="C51" s="17">
        <v>3841.9870000000001</v>
      </c>
      <c r="D51" s="17">
        <v>3944.6439999999998</v>
      </c>
      <c r="E51" s="17">
        <v>4025.9760000000001</v>
      </c>
      <c r="F51" s="17">
        <v>4103.7960000000003</v>
      </c>
      <c r="G51" s="17">
        <v>4131.7110000000002</v>
      </c>
      <c r="H51" s="17">
        <v>4148.76</v>
      </c>
      <c r="I51" s="17">
        <v>4155.9709999999995</v>
      </c>
      <c r="J51" s="17">
        <v>4154.3760000000002</v>
      </c>
      <c r="K51" s="17">
        <v>4144.79</v>
      </c>
      <c r="L51" s="17">
        <v>4128.0330000000004</v>
      </c>
      <c r="M51" s="17">
        <v>4106.2030000000004</v>
      </c>
      <c r="N51" s="17">
        <v>4080.7579999999998</v>
      </c>
      <c r="O51" s="17">
        <v>4052.087</v>
      </c>
      <c r="P51" s="17">
        <v>4020.9070000000002</v>
      </c>
      <c r="Q51" s="17">
        <v>3989.2170000000001</v>
      </c>
      <c r="R51" s="17">
        <v>3953.203</v>
      </c>
      <c r="S51" s="17">
        <v>3911.7460000000001</v>
      </c>
      <c r="T51" s="17">
        <v>3868.5650000000001</v>
      </c>
      <c r="U51" s="17">
        <v>3828.7060000000001</v>
      </c>
      <c r="V51" s="17">
        <v>3791.3969999999999</v>
      </c>
      <c r="W51" s="17">
        <v>3765.395</v>
      </c>
      <c r="X51" s="17">
        <v>3755.6610000000001</v>
      </c>
      <c r="Y51" s="17">
        <v>3759.22</v>
      </c>
      <c r="Z51" s="17">
        <v>3767.3890000000001</v>
      </c>
      <c r="AA51" s="17">
        <v>3781.02</v>
      </c>
      <c r="AB51" s="17">
        <v>3806.5770000000002</v>
      </c>
      <c r="AC51" s="17">
        <v>3846.123</v>
      </c>
      <c r="AD51" s="17">
        <v>3897.0540000000001</v>
      </c>
      <c r="AE51" s="17">
        <v>3950.0830000000001</v>
      </c>
      <c r="AF51" s="17">
        <v>4001.5369999999998</v>
      </c>
      <c r="AG51" s="17">
        <v>4070.97</v>
      </c>
      <c r="AH51" s="17">
        <v>4165.3850000000002</v>
      </c>
      <c r="AI51" s="17">
        <v>4272.4309999999996</v>
      </c>
      <c r="AJ51" s="17">
        <v>4372.9790000000003</v>
      </c>
      <c r="AK51" s="17">
        <v>4471.1239999999998</v>
      </c>
      <c r="AL51" s="17">
        <v>4541.9620000000004</v>
      </c>
      <c r="AM51" s="17">
        <v>4571.2120000000004</v>
      </c>
      <c r="AN51" s="17">
        <v>4568.7709999999997</v>
      </c>
      <c r="AO51" s="17">
        <v>4561.0680000000002</v>
      </c>
      <c r="AP51" s="17">
        <v>4545.53</v>
      </c>
      <c r="AQ51" s="17">
        <v>4507.3710000000001</v>
      </c>
      <c r="AR51" s="17">
        <v>4442.7439999999997</v>
      </c>
      <c r="AS51" s="17">
        <v>4357.9830000000002</v>
      </c>
      <c r="AT51" s="17">
        <v>4262.1210000000001</v>
      </c>
      <c r="AU51" s="17">
        <v>4151.982</v>
      </c>
      <c r="AV51" s="17">
        <v>4044.8069999999998</v>
      </c>
      <c r="AW51" s="17">
        <v>3949.6640000000002</v>
      </c>
      <c r="AX51" s="17">
        <v>3858.6039999999998</v>
      </c>
      <c r="AY51" s="17">
        <v>3759.471</v>
      </c>
      <c r="AZ51" s="17">
        <v>3660.5279999999998</v>
      </c>
      <c r="BA51" s="17">
        <v>3534.0210000000002</v>
      </c>
      <c r="BB51" s="17">
        <v>3366.799</v>
      </c>
      <c r="BC51" s="17">
        <v>3175.7310000000002</v>
      </c>
      <c r="BD51" s="17">
        <v>2989.7139999999999</v>
      </c>
      <c r="BE51" s="17">
        <v>2801.627</v>
      </c>
      <c r="BF51" s="17">
        <v>2640.2240000000002</v>
      </c>
      <c r="BG51" s="17">
        <v>2522.3249999999998</v>
      </c>
      <c r="BH51" s="17">
        <v>2434.8510000000001</v>
      </c>
      <c r="BI51" s="17">
        <v>2347.65</v>
      </c>
      <c r="BJ51" s="17">
        <v>2266.444</v>
      </c>
      <c r="BK51" s="17">
        <v>2191.7849999999999</v>
      </c>
      <c r="BL51" s="17">
        <v>2120.83</v>
      </c>
      <c r="BM51" s="17">
        <v>2055.047</v>
      </c>
      <c r="BN51" s="17">
        <v>1996.152</v>
      </c>
      <c r="BO51" s="17">
        <v>1940.69</v>
      </c>
      <c r="BP51" s="17">
        <v>1899.22</v>
      </c>
      <c r="BQ51" s="17">
        <v>1876.1569999999999</v>
      </c>
      <c r="BR51" s="17">
        <v>1864.2370000000001</v>
      </c>
      <c r="BS51" s="17">
        <v>1851.4829999999999</v>
      </c>
      <c r="BT51" s="17">
        <v>1839.932</v>
      </c>
      <c r="BU51" s="17">
        <v>1817.864</v>
      </c>
      <c r="BV51" s="17">
        <v>1778.1</v>
      </c>
      <c r="BW51" s="17">
        <v>1724.925</v>
      </c>
      <c r="BX51" s="17">
        <v>1671.288</v>
      </c>
      <c r="BY51" s="17">
        <v>1616.376</v>
      </c>
      <c r="BZ51" s="17">
        <v>1548.69</v>
      </c>
      <c r="CA51" s="17">
        <v>1464.366</v>
      </c>
      <c r="CB51" s="17">
        <v>1368.45</v>
      </c>
      <c r="CC51" s="17">
        <v>1271.1030000000001</v>
      </c>
      <c r="CD51" s="17">
        <v>1171.7940000000001</v>
      </c>
      <c r="CE51" s="17">
        <v>1071.377</v>
      </c>
      <c r="CF51" s="17">
        <v>971.79499999999996</v>
      </c>
      <c r="CG51" s="17">
        <v>873.84</v>
      </c>
      <c r="CH51" s="17">
        <v>776.19200000000001</v>
      </c>
      <c r="CI51" s="17">
        <v>678.91800000000001</v>
      </c>
      <c r="CJ51" s="17">
        <v>590.58199999999999</v>
      </c>
      <c r="CK51" s="17">
        <v>515.26800000000003</v>
      </c>
      <c r="CL51" s="17">
        <v>449.976</v>
      </c>
      <c r="CM51" s="17">
        <v>382.80799999999999</v>
      </c>
      <c r="CN51" s="17">
        <v>330.30900000000003</v>
      </c>
      <c r="CO51" s="17">
        <v>285.81400000000002</v>
      </c>
      <c r="CP51" s="17">
        <v>233.09299999999999</v>
      </c>
      <c r="CQ51" s="17">
        <v>172.48599999999999</v>
      </c>
      <c r="CR51" s="17">
        <v>129.435</v>
      </c>
      <c r="CS51" s="17">
        <v>109.435</v>
      </c>
      <c r="CT51" s="17">
        <v>90.486000000000004</v>
      </c>
      <c r="CU51" s="17">
        <v>67.611999999999995</v>
      </c>
      <c r="CV51" s="17">
        <v>40.811</v>
      </c>
      <c r="CW51" s="17">
        <v>23.946000000000002</v>
      </c>
      <c r="CX51" s="17">
        <v>40.247999999999998</v>
      </c>
      <c r="CY51" s="3">
        <f t="shared" si="87"/>
        <v>278548.14799999999</v>
      </c>
      <c r="CZ51" s="21">
        <f t="shared" si="3"/>
        <v>205937.74</v>
      </c>
      <c r="DA51">
        <f t="shared" si="4"/>
        <v>1.8785119230695646E-2</v>
      </c>
      <c r="DB51">
        <f t="shared" si="5"/>
        <v>1.859157044260076E-2</v>
      </c>
      <c r="DC51">
        <f t="shared" si="6"/>
        <v>1.8410404037647495E-2</v>
      </c>
      <c r="DD51">
        <f t="shared" si="7"/>
        <v>1.8284142576295147E-2</v>
      </c>
      <c r="DE51">
        <f t="shared" si="8"/>
        <v>1.8236875863549828E-2</v>
      </c>
      <c r="DF51">
        <f t="shared" si="9"/>
        <v>1.8254157785746312E-2</v>
      </c>
      <c r="DG51">
        <f t="shared" si="10"/>
        <v>1.8293825114328244E-2</v>
      </c>
      <c r="DH51">
        <f t="shared" si="11"/>
        <v>1.8360015022015879E-2</v>
      </c>
      <c r="DI51">
        <f t="shared" si="12"/>
        <v>1.8484115636114101E-2</v>
      </c>
      <c r="DJ51">
        <f t="shared" si="13"/>
        <v>1.867614454737631E-2</v>
      </c>
      <c r="DK51">
        <f t="shared" si="14"/>
        <v>1.8923457157488475E-2</v>
      </c>
      <c r="DL51">
        <f t="shared" si="15"/>
        <v>1.918095731263245E-2</v>
      </c>
      <c r="DM51">
        <f t="shared" si="16"/>
        <v>1.9430809525247776E-2</v>
      </c>
      <c r="DN51">
        <f t="shared" si="17"/>
        <v>1.9767964822766337E-2</v>
      </c>
      <c r="DO51">
        <f t="shared" si="18"/>
        <v>2.0226428628380599E-2</v>
      </c>
      <c r="DP51">
        <f t="shared" si="19"/>
        <v>2.0746226505156364E-2</v>
      </c>
      <c r="DQ51">
        <f t="shared" si="20"/>
        <v>2.1234471156185361E-2</v>
      </c>
      <c r="DR51">
        <f t="shared" si="21"/>
        <v>2.1711047232042074E-2</v>
      </c>
      <c r="DS51">
        <f t="shared" si="22"/>
        <v>2.2055024979879843E-2</v>
      </c>
      <c r="DT51">
        <f t="shared" si="23"/>
        <v>2.2197058198269053E-2</v>
      </c>
      <c r="DU51">
        <f t="shared" si="24"/>
        <v>2.2185205101308773E-2</v>
      </c>
      <c r="DV51">
        <f t="shared" si="25"/>
        <v>2.2147800592548023E-2</v>
      </c>
      <c r="DW51">
        <f t="shared" si="26"/>
        <v>2.2072350604605061E-2</v>
      </c>
      <c r="DX51">
        <f t="shared" si="27"/>
        <v>2.1887056738604593E-2</v>
      </c>
      <c r="DY51">
        <f t="shared" si="28"/>
        <v>2.1573238591430594E-2</v>
      </c>
      <c r="DZ51">
        <f t="shared" si="29"/>
        <v>2.1161653031639565E-2</v>
      </c>
      <c r="EA51">
        <f t="shared" si="30"/>
        <v>2.0696162830571997E-2</v>
      </c>
      <c r="EB51">
        <f t="shared" si="31"/>
        <v>2.0161345851420921E-2</v>
      </c>
      <c r="EC51">
        <f t="shared" si="32"/>
        <v>1.9640921571733281E-2</v>
      </c>
      <c r="ED51">
        <f t="shared" si="33"/>
        <v>1.9178922717128004E-2</v>
      </c>
      <c r="EE51">
        <f t="shared" si="34"/>
        <v>1.8736750243058896E-2</v>
      </c>
      <c r="EF51">
        <f t="shared" si="35"/>
        <v>1.8255376600714371E-2</v>
      </c>
      <c r="EG51">
        <f t="shared" si="36"/>
        <v>1.7774925567309811E-2</v>
      </c>
      <c r="EH51">
        <f t="shared" si="37"/>
        <v>1.7160628255899091E-2</v>
      </c>
      <c r="EI51">
        <f t="shared" si="38"/>
        <v>1.6348625560327117E-2</v>
      </c>
      <c r="EJ51">
        <f t="shared" si="39"/>
        <v>1.5420830586953127E-2</v>
      </c>
      <c r="EK51">
        <f t="shared" si="40"/>
        <v>1.45175624438726E-2</v>
      </c>
      <c r="EL51">
        <f t="shared" si="41"/>
        <v>1.3604242719182992E-2</v>
      </c>
      <c r="EM51">
        <f t="shared" si="42"/>
        <v>1.2820496136356553E-2</v>
      </c>
      <c r="EN51">
        <f t="shared" si="43"/>
        <v>1.2247997865762729E-2</v>
      </c>
      <c r="EO51">
        <f t="shared" si="44"/>
        <v>1.1823238421476317E-2</v>
      </c>
      <c r="EP51">
        <f t="shared" si="45"/>
        <v>1.1399804620561536E-2</v>
      </c>
      <c r="EQ51">
        <f t="shared" si="46"/>
        <v>1.1005481559620884E-2</v>
      </c>
      <c r="ER51">
        <f t="shared" si="47"/>
        <v>1.0642949660416784E-2</v>
      </c>
      <c r="ES51">
        <f t="shared" si="48"/>
        <v>1.0298403779705459E-2</v>
      </c>
      <c r="ET51">
        <f t="shared" si="49"/>
        <v>9.9789722855072611E-3</v>
      </c>
      <c r="EU51">
        <f t="shared" si="50"/>
        <v>9.692987793301024E-3</v>
      </c>
      <c r="EV51">
        <f t="shared" si="51"/>
        <v>9.4236733878889818E-3</v>
      </c>
      <c r="EW51">
        <f t="shared" si="52"/>
        <v>9.222301847150503E-3</v>
      </c>
      <c r="EX51">
        <f t="shared" si="53"/>
        <v>9.1103116893484406E-3</v>
      </c>
      <c r="EY51">
        <f t="shared" si="54"/>
        <v>9.0524301179570107E-3</v>
      </c>
      <c r="EZ51">
        <f t="shared" si="55"/>
        <v>8.990498778902789E-3</v>
      </c>
      <c r="FA51">
        <f t="shared" si="56"/>
        <v>8.934409011189498E-3</v>
      </c>
      <c r="FB51">
        <f t="shared" si="57"/>
        <v>8.8272504107309337E-3</v>
      </c>
      <c r="FC51">
        <f t="shared" si="58"/>
        <v>8.6341629271060264E-3</v>
      </c>
      <c r="FD51">
        <f t="shared" si="59"/>
        <v>8.375953819829236E-3</v>
      </c>
      <c r="FE51">
        <f t="shared" si="60"/>
        <v>8.1155013160773733E-3</v>
      </c>
      <c r="FF51">
        <f t="shared" si="61"/>
        <v>7.8488576207547001E-3</v>
      </c>
      <c r="FG51">
        <f t="shared" si="62"/>
        <v>7.5201854696472833E-3</v>
      </c>
      <c r="FH51">
        <f t="shared" si="63"/>
        <v>7.1107219104181683E-3</v>
      </c>
      <c r="FI51">
        <f t="shared" si="64"/>
        <v>6.6449694941781929E-3</v>
      </c>
      <c r="FJ51">
        <f t="shared" si="65"/>
        <v>6.1722683758693286E-3</v>
      </c>
      <c r="FK51">
        <f t="shared" si="66"/>
        <v>5.6900401062962049E-3</v>
      </c>
      <c r="FL51">
        <f t="shared" si="67"/>
        <v>5.2024315698521312E-3</v>
      </c>
      <c r="FM51">
        <f t="shared" si="68"/>
        <v>4.7188776569073738E-3</v>
      </c>
      <c r="FN51">
        <f t="shared" si="69"/>
        <v>4.243224189990626E-3</v>
      </c>
      <c r="FO51">
        <f t="shared" si="70"/>
        <v>3.7690614648873979E-3</v>
      </c>
      <c r="FP51">
        <f t="shared" si="71"/>
        <v>3.2967148226449414E-3</v>
      </c>
      <c r="FQ51">
        <f t="shared" si="72"/>
        <v>2.8677696472730061E-3</v>
      </c>
      <c r="FR51">
        <f t="shared" si="73"/>
        <v>2.5020571751442938E-3</v>
      </c>
      <c r="FS51">
        <f t="shared" si="74"/>
        <v>2.1850098966804238E-3</v>
      </c>
      <c r="FT51">
        <f t="shared" si="75"/>
        <v>1.8588530688935403E-3</v>
      </c>
      <c r="FU51">
        <f t="shared" si="76"/>
        <v>1.6039265071084107E-3</v>
      </c>
      <c r="FV51">
        <f t="shared" si="77"/>
        <v>1.3878660608783997E-3</v>
      </c>
      <c r="FW51">
        <f t="shared" si="78"/>
        <v>1.1318615033844696E-3</v>
      </c>
      <c r="FX51">
        <f t="shared" si="79"/>
        <v>8.3756381904550377E-4</v>
      </c>
      <c r="FY51">
        <f t="shared" si="80"/>
        <v>6.2851520075921975E-4</v>
      </c>
      <c r="FZ51">
        <f t="shared" si="81"/>
        <v>5.3139847023668421E-4</v>
      </c>
      <c r="GA51">
        <f t="shared" si="82"/>
        <v>4.3938522390310784E-4</v>
      </c>
      <c r="GB51">
        <f t="shared" si="83"/>
        <v>3.2831281920448385E-4</v>
      </c>
      <c r="GC51">
        <f t="shared" si="84"/>
        <v>1.9817154446776002E-4</v>
      </c>
      <c r="GD51">
        <f t="shared" si="85"/>
        <v>1.1627786145463188E-4</v>
      </c>
      <c r="GE51">
        <f t="shared" si="86"/>
        <v>1.9543770850355063E-4</v>
      </c>
    </row>
    <row r="52" spans="1:187">
      <c r="A52" s="4">
        <v>2000</v>
      </c>
      <c r="B52" s="17">
        <v>3718.1880000000001</v>
      </c>
      <c r="C52" s="17">
        <v>3833.24</v>
      </c>
      <c r="D52" s="17">
        <v>3930.018</v>
      </c>
      <c r="E52" s="17">
        <v>4009.694</v>
      </c>
      <c r="F52" s="17">
        <v>4073.4409999999998</v>
      </c>
      <c r="G52" s="17">
        <v>4122.433</v>
      </c>
      <c r="H52" s="17">
        <v>4157.8410000000003</v>
      </c>
      <c r="I52" s="17">
        <v>4180.8389999999999</v>
      </c>
      <c r="J52" s="17">
        <v>4192.6000000000004</v>
      </c>
      <c r="K52" s="17">
        <v>4194.2969999999996</v>
      </c>
      <c r="L52" s="17">
        <v>4186.835</v>
      </c>
      <c r="M52" s="17">
        <v>4171.1210000000001</v>
      </c>
      <c r="N52" s="17">
        <v>4149.6620000000003</v>
      </c>
      <c r="O52" s="17">
        <v>4124.1670000000004</v>
      </c>
      <c r="P52" s="17">
        <v>4095.0050000000001</v>
      </c>
      <c r="Q52" s="17">
        <v>4062.8470000000002</v>
      </c>
      <c r="R52" s="17">
        <v>4029.9659999999999</v>
      </c>
      <c r="S52" s="17">
        <v>3992.0390000000002</v>
      </c>
      <c r="T52" s="17">
        <v>3947.7739999999999</v>
      </c>
      <c r="U52" s="17">
        <v>3901.373</v>
      </c>
      <c r="V52" s="17">
        <v>3858.223</v>
      </c>
      <c r="W52" s="17">
        <v>3817.1129999999998</v>
      </c>
      <c r="X52" s="17">
        <v>3789.5239999999999</v>
      </c>
      <c r="Y52" s="17">
        <v>3781.6930000000002</v>
      </c>
      <c r="Z52" s="17">
        <v>3789.279</v>
      </c>
      <c r="AA52" s="17">
        <v>3800.9929999999999</v>
      </c>
      <c r="AB52" s="17">
        <v>3818.2359999999999</v>
      </c>
      <c r="AC52" s="17">
        <v>3846.029</v>
      </c>
      <c r="AD52" s="17">
        <v>3885.4650000000001</v>
      </c>
      <c r="AE52" s="17">
        <v>3934.6280000000002</v>
      </c>
      <c r="AF52" s="17">
        <v>3986.0709999999999</v>
      </c>
      <c r="AG52" s="17">
        <v>4035.97</v>
      </c>
      <c r="AH52" s="17">
        <v>4102.7969999999996</v>
      </c>
      <c r="AI52" s="17">
        <v>4193.2730000000001</v>
      </c>
      <c r="AJ52" s="17">
        <v>4295.5349999999999</v>
      </c>
      <c r="AK52" s="17">
        <v>4391.2539999999999</v>
      </c>
      <c r="AL52" s="17">
        <v>4484.4040000000005</v>
      </c>
      <c r="AM52" s="17">
        <v>4550.8419999999996</v>
      </c>
      <c r="AN52" s="17">
        <v>4576.7669999999998</v>
      </c>
      <c r="AO52" s="17">
        <v>4571.8069999999998</v>
      </c>
      <c r="AP52" s="17">
        <v>4561.5950000000003</v>
      </c>
      <c r="AQ52" s="17">
        <v>4543.6490000000003</v>
      </c>
      <c r="AR52" s="17">
        <v>4503.7979999999998</v>
      </c>
      <c r="AS52" s="17">
        <v>4438.3969999999999</v>
      </c>
      <c r="AT52" s="17">
        <v>4353.55</v>
      </c>
      <c r="AU52" s="17">
        <v>4257.6559999999999</v>
      </c>
      <c r="AV52" s="17">
        <v>4147.424</v>
      </c>
      <c r="AW52" s="17">
        <v>4040.8539999999998</v>
      </c>
      <c r="AX52" s="17">
        <v>3947.248</v>
      </c>
      <c r="AY52" s="17">
        <v>3858.1640000000002</v>
      </c>
      <c r="AZ52" s="17">
        <v>3760.9940000000001</v>
      </c>
      <c r="BA52" s="17">
        <v>3664.42</v>
      </c>
      <c r="BB52" s="17">
        <v>3538.2510000000002</v>
      </c>
      <c r="BC52" s="17">
        <v>3368.183</v>
      </c>
      <c r="BD52" s="17">
        <v>3172.3119999999999</v>
      </c>
      <c r="BE52" s="17">
        <v>2981.7280000000001</v>
      </c>
      <c r="BF52" s="17">
        <v>2788.6489999999999</v>
      </c>
      <c r="BG52" s="17">
        <v>2623.9290000000001</v>
      </c>
      <c r="BH52" s="17">
        <v>2505.5819999999999</v>
      </c>
      <c r="BI52" s="17">
        <v>2419.4250000000002</v>
      </c>
      <c r="BJ52" s="17">
        <v>2332.989</v>
      </c>
      <c r="BK52" s="17">
        <v>2252.4450000000002</v>
      </c>
      <c r="BL52" s="17">
        <v>2177.752</v>
      </c>
      <c r="BM52" s="17">
        <v>2105.5390000000002</v>
      </c>
      <c r="BN52" s="17">
        <v>2037.6020000000001</v>
      </c>
      <c r="BO52" s="17">
        <v>1976.682</v>
      </c>
      <c r="BP52" s="17">
        <v>1919.31</v>
      </c>
      <c r="BQ52" s="17">
        <v>1875.01</v>
      </c>
      <c r="BR52" s="17">
        <v>1847.8409999999999</v>
      </c>
      <c r="BS52" s="17">
        <v>1831.039</v>
      </c>
      <c r="BT52" s="17">
        <v>1813.403</v>
      </c>
      <c r="BU52" s="17">
        <v>1796.723</v>
      </c>
      <c r="BV52" s="17">
        <v>1770.42</v>
      </c>
      <c r="BW52" s="17">
        <v>1727.933</v>
      </c>
      <c r="BX52" s="17">
        <v>1673.0119999999999</v>
      </c>
      <c r="BY52" s="17">
        <v>1617.558</v>
      </c>
      <c r="BZ52" s="17">
        <v>1561.0930000000001</v>
      </c>
      <c r="CA52" s="17">
        <v>1491.3910000000001</v>
      </c>
      <c r="CB52" s="17">
        <v>1404.162</v>
      </c>
      <c r="CC52" s="17">
        <v>1304.9090000000001</v>
      </c>
      <c r="CD52" s="17">
        <v>1204.6780000000001</v>
      </c>
      <c r="CE52" s="17">
        <v>1102.768</v>
      </c>
      <c r="CF52" s="17">
        <v>1000.453</v>
      </c>
      <c r="CG52" s="17">
        <v>899.98199999999997</v>
      </c>
      <c r="CH52" s="17">
        <v>801.94899999999996</v>
      </c>
      <c r="CI52" s="17">
        <v>704.529</v>
      </c>
      <c r="CJ52" s="17">
        <v>607.87900000000002</v>
      </c>
      <c r="CK52" s="17">
        <v>520.73500000000001</v>
      </c>
      <c r="CL52" s="17">
        <v>447.214</v>
      </c>
      <c r="CM52" s="17">
        <v>384.28</v>
      </c>
      <c r="CN52" s="17">
        <v>318.642</v>
      </c>
      <c r="CO52" s="17">
        <v>270.50099999999998</v>
      </c>
      <c r="CP52" s="17">
        <v>231.98699999999999</v>
      </c>
      <c r="CQ52" s="17">
        <v>183.17</v>
      </c>
      <c r="CR52" s="17">
        <v>124.04600000000001</v>
      </c>
      <c r="CS52" s="17">
        <v>87.366</v>
      </c>
      <c r="CT52" s="17">
        <v>75.272999999999996</v>
      </c>
      <c r="CU52" s="17">
        <v>60.777999999999999</v>
      </c>
      <c r="CV52" s="17">
        <v>43.881</v>
      </c>
      <c r="CW52" s="17">
        <v>24.582000000000001</v>
      </c>
      <c r="CX52" s="17">
        <v>40.317</v>
      </c>
      <c r="CY52" s="3">
        <f t="shared" si="87"/>
        <v>281710.91399999987</v>
      </c>
      <c r="CZ52" s="21">
        <f t="shared" si="3"/>
        <v>208486.68099999998</v>
      </c>
      <c r="DA52">
        <f t="shared" si="4"/>
        <v>1.8935377459435888E-2</v>
      </c>
      <c r="DB52">
        <f t="shared" si="5"/>
        <v>1.8712816479629222E-2</v>
      </c>
      <c r="DC52">
        <f t="shared" si="6"/>
        <v>1.8505848822064564E-2</v>
      </c>
      <c r="DD52">
        <f t="shared" si="7"/>
        <v>1.830866596221559E-2</v>
      </c>
      <c r="DE52">
        <f t="shared" si="8"/>
        <v>1.8176336166049859E-2</v>
      </c>
      <c r="DF52">
        <f t="shared" si="9"/>
        <v>1.8138775013642239E-2</v>
      </c>
      <c r="DG52">
        <f t="shared" si="10"/>
        <v>1.8175161031030083E-2</v>
      </c>
      <c r="DH52">
        <f t="shared" si="11"/>
        <v>1.823134687438379E-2</v>
      </c>
      <c r="DI52">
        <f t="shared" si="12"/>
        <v>1.8314052397428688E-2</v>
      </c>
      <c r="DJ52">
        <f t="shared" si="13"/>
        <v>1.8447360673365991E-2</v>
      </c>
      <c r="DK52">
        <f t="shared" si="14"/>
        <v>1.8636514243324735E-2</v>
      </c>
      <c r="DL52">
        <f t="shared" si="15"/>
        <v>1.8872323071803327E-2</v>
      </c>
      <c r="DM52">
        <f t="shared" si="16"/>
        <v>1.9119067850670041E-2</v>
      </c>
      <c r="DN52">
        <f t="shared" si="17"/>
        <v>1.9358406880677428E-2</v>
      </c>
      <c r="DO52">
        <f t="shared" si="18"/>
        <v>1.9678940545847148E-2</v>
      </c>
      <c r="DP52">
        <f t="shared" si="19"/>
        <v>2.0112905917476814E-2</v>
      </c>
      <c r="DQ52">
        <f t="shared" si="20"/>
        <v>2.0603402478261909E-2</v>
      </c>
      <c r="DR52">
        <f t="shared" si="21"/>
        <v>2.1062515739314783E-2</v>
      </c>
      <c r="DS52">
        <f t="shared" si="22"/>
        <v>2.1509306870303148E-2</v>
      </c>
      <c r="DT52">
        <f t="shared" si="23"/>
        <v>2.1827974708849628E-2</v>
      </c>
      <c r="DU52">
        <f t="shared" si="24"/>
        <v>2.1952323179819818E-2</v>
      </c>
      <c r="DV52">
        <f t="shared" si="25"/>
        <v>2.1928532691256188E-2</v>
      </c>
      <c r="DW52">
        <f t="shared" si="26"/>
        <v>2.1879551145044134E-2</v>
      </c>
      <c r="DX52">
        <f t="shared" si="27"/>
        <v>2.1793473703962896E-2</v>
      </c>
      <c r="DY52">
        <f t="shared" si="28"/>
        <v>2.1602329599174731E-2</v>
      </c>
      <c r="DZ52">
        <f t="shared" si="29"/>
        <v>2.1288635699467057E-2</v>
      </c>
      <c r="EA52">
        <f t="shared" si="30"/>
        <v>2.0881669654475438E-2</v>
      </c>
      <c r="EB52">
        <f t="shared" si="31"/>
        <v>2.0421717011265581E-2</v>
      </c>
      <c r="EC52">
        <f t="shared" si="32"/>
        <v>1.9892992588816744E-2</v>
      </c>
      <c r="ED52">
        <f t="shared" si="33"/>
        <v>1.9381832837561456E-2</v>
      </c>
      <c r="EE52">
        <f t="shared" si="34"/>
        <v>1.893285451649547E-2</v>
      </c>
      <c r="EF52">
        <f t="shared" si="35"/>
        <v>1.8505565830365923E-2</v>
      </c>
      <c r="EG52">
        <f t="shared" si="36"/>
        <v>1.8039492892114296E-2</v>
      </c>
      <c r="EH52">
        <f t="shared" si="37"/>
        <v>1.7576278649665877E-2</v>
      </c>
      <c r="EI52">
        <f t="shared" si="38"/>
        <v>1.6971112893297967E-2</v>
      </c>
      <c r="EJ52">
        <f t="shared" si="39"/>
        <v>1.6155386923733514E-2</v>
      </c>
      <c r="EK52">
        <f t="shared" si="40"/>
        <v>1.5215897652474022E-2</v>
      </c>
      <c r="EL52">
        <f t="shared" si="41"/>
        <v>1.4301767315294353E-2</v>
      </c>
      <c r="EM52">
        <f t="shared" si="42"/>
        <v>1.3375669786790841E-2</v>
      </c>
      <c r="EN52">
        <f t="shared" si="43"/>
        <v>1.2585595335943788E-2</v>
      </c>
      <c r="EO52">
        <f t="shared" si="44"/>
        <v>1.2017947563758282E-2</v>
      </c>
      <c r="EP52">
        <f t="shared" si="45"/>
        <v>1.160469814376296E-2</v>
      </c>
      <c r="EQ52">
        <f t="shared" si="46"/>
        <v>1.1190110508785931E-2</v>
      </c>
      <c r="ER52">
        <f t="shared" si="47"/>
        <v>1.0803783671917155E-2</v>
      </c>
      <c r="ES52">
        <f t="shared" si="48"/>
        <v>1.0445520977908417E-2</v>
      </c>
      <c r="ET52">
        <f t="shared" si="49"/>
        <v>1.0099153528181498E-2</v>
      </c>
      <c r="EU52">
        <f t="shared" si="50"/>
        <v>9.773295781901772E-3</v>
      </c>
      <c r="EV52">
        <f t="shared" si="51"/>
        <v>9.4810948618823283E-3</v>
      </c>
      <c r="EW52">
        <f t="shared" si="52"/>
        <v>9.2059118155370327E-3</v>
      </c>
      <c r="EX52">
        <f t="shared" si="53"/>
        <v>8.9934282180836305E-3</v>
      </c>
      <c r="EY52">
        <f t="shared" si="54"/>
        <v>8.8631129390946556E-3</v>
      </c>
      <c r="EZ52">
        <f t="shared" si="55"/>
        <v>8.7825226590853549E-3</v>
      </c>
      <c r="FA52">
        <f t="shared" si="56"/>
        <v>8.6979321235393457E-3</v>
      </c>
      <c r="FB52">
        <f t="shared" si="57"/>
        <v>8.6179270128051971E-3</v>
      </c>
      <c r="FC52">
        <f t="shared" si="58"/>
        <v>8.4917654763759232E-3</v>
      </c>
      <c r="FD52">
        <f t="shared" si="59"/>
        <v>8.2879778780688643E-3</v>
      </c>
      <c r="FE52">
        <f t="shared" si="60"/>
        <v>8.0245509783907973E-3</v>
      </c>
      <c r="FF52">
        <f t="shared" si="61"/>
        <v>7.7585675604860344E-3</v>
      </c>
      <c r="FG52">
        <f t="shared" si="62"/>
        <v>7.4877349119486444E-3</v>
      </c>
      <c r="FH52">
        <f t="shared" si="63"/>
        <v>7.1534113970570627E-3</v>
      </c>
      <c r="FI52">
        <f t="shared" si="64"/>
        <v>6.7350201617915354E-3</v>
      </c>
      <c r="FJ52">
        <f t="shared" si="65"/>
        <v>6.2589561776370747E-3</v>
      </c>
      <c r="FK52">
        <f t="shared" si="66"/>
        <v>5.7782012463424475E-3</v>
      </c>
      <c r="FL52">
        <f t="shared" si="67"/>
        <v>5.2893930428102509E-3</v>
      </c>
      <c r="FM52">
        <f t="shared" si="68"/>
        <v>4.7986422691433227E-3</v>
      </c>
      <c r="FN52">
        <f t="shared" si="69"/>
        <v>4.3167361851762613E-3</v>
      </c>
      <c r="FO52">
        <f t="shared" si="70"/>
        <v>3.8465238937733389E-3</v>
      </c>
      <c r="FP52">
        <f t="shared" si="71"/>
        <v>3.379251838154592E-3</v>
      </c>
      <c r="FQ52">
        <f t="shared" si="72"/>
        <v>2.9156730640265698E-3</v>
      </c>
      <c r="FR52">
        <f t="shared" si="73"/>
        <v>2.4976895286658628E-3</v>
      </c>
      <c r="FS52">
        <f t="shared" si="74"/>
        <v>2.1450482968741781E-3</v>
      </c>
      <c r="FT52">
        <f t="shared" si="75"/>
        <v>1.8431872873452286E-3</v>
      </c>
      <c r="FU52">
        <f t="shared" si="76"/>
        <v>1.5283566243735253E-3</v>
      </c>
      <c r="FV52">
        <f t="shared" si="77"/>
        <v>1.2974497876917135E-3</v>
      </c>
      <c r="FW52">
        <f t="shared" si="78"/>
        <v>1.1127185625829019E-3</v>
      </c>
      <c r="FX52">
        <f t="shared" si="79"/>
        <v>8.785693125404016E-4</v>
      </c>
      <c r="FY52">
        <f t="shared" si="80"/>
        <v>5.9498285168633873E-4</v>
      </c>
      <c r="FZ52">
        <f t="shared" si="81"/>
        <v>4.1904835158270857E-4</v>
      </c>
      <c r="GA52">
        <f t="shared" si="82"/>
        <v>3.6104464630045123E-4</v>
      </c>
      <c r="GB52">
        <f t="shared" si="83"/>
        <v>2.9151982135491909E-4</v>
      </c>
      <c r="GC52">
        <f t="shared" si="84"/>
        <v>2.1047387674611215E-4</v>
      </c>
      <c r="GD52">
        <f t="shared" si="85"/>
        <v>1.1790681247403043E-4</v>
      </c>
      <c r="GE52">
        <f t="shared" si="86"/>
        <v>1.9337925956047045E-4</v>
      </c>
    </row>
    <row r="53" spans="1:187">
      <c r="A53" s="4">
        <v>2001</v>
      </c>
      <c r="B53" s="17">
        <v>3802.694</v>
      </c>
      <c r="C53" s="17">
        <v>3753.337</v>
      </c>
      <c r="D53" s="17">
        <v>3850.4639999999999</v>
      </c>
      <c r="E53" s="17">
        <v>3937.9780000000001</v>
      </c>
      <c r="F53" s="17">
        <v>4015.498</v>
      </c>
      <c r="G53" s="17">
        <v>4082.6439999999998</v>
      </c>
      <c r="H53" s="17">
        <v>4140.6260000000002</v>
      </c>
      <c r="I53" s="17">
        <v>4190.6570000000002</v>
      </c>
      <c r="J53" s="17">
        <v>4224.3909999999996</v>
      </c>
      <c r="K53" s="17">
        <v>4238.2629999999999</v>
      </c>
      <c r="L53" s="17">
        <v>4236.67</v>
      </c>
      <c r="M53" s="17">
        <v>4228.53</v>
      </c>
      <c r="N53" s="17">
        <v>4213.2070000000003</v>
      </c>
      <c r="O53" s="17">
        <v>4191.5950000000003</v>
      </c>
      <c r="P53" s="17">
        <v>4165.4179999999997</v>
      </c>
      <c r="Q53" s="17">
        <v>4135.12</v>
      </c>
      <c r="R53" s="17">
        <v>4101.5820000000003</v>
      </c>
      <c r="S53" s="17">
        <v>4067.2159999999999</v>
      </c>
      <c r="T53" s="17">
        <v>4027.2310000000002</v>
      </c>
      <c r="U53" s="17">
        <v>3980.1790000000001</v>
      </c>
      <c r="V53" s="17">
        <v>3930.62</v>
      </c>
      <c r="W53" s="17">
        <v>3884.2809999999999</v>
      </c>
      <c r="X53" s="17">
        <v>3839.6840000000002</v>
      </c>
      <c r="Y53" s="17">
        <v>3809.9580000000001</v>
      </c>
      <c r="Z53" s="17">
        <v>3802.125</v>
      </c>
      <c r="AA53" s="17">
        <v>3811.0419999999999</v>
      </c>
      <c r="AB53" s="17">
        <v>3823.85</v>
      </c>
      <c r="AC53" s="17">
        <v>3842.297</v>
      </c>
      <c r="AD53" s="17">
        <v>3870.59</v>
      </c>
      <c r="AE53" s="17">
        <v>3909.2750000000001</v>
      </c>
      <c r="AF53" s="17">
        <v>3956.8429999999998</v>
      </c>
      <c r="AG53" s="17">
        <v>4006.8829999999998</v>
      </c>
      <c r="AH53" s="17">
        <v>4055.4470000000001</v>
      </c>
      <c r="AI53" s="17">
        <v>4120.6149999999998</v>
      </c>
      <c r="AJ53" s="17">
        <v>4209.0420000000004</v>
      </c>
      <c r="AK53" s="17">
        <v>4309.0280000000002</v>
      </c>
      <c r="AL53" s="17">
        <v>4402.45</v>
      </c>
      <c r="AM53" s="17">
        <v>4493.2160000000003</v>
      </c>
      <c r="AN53" s="17">
        <v>4557.6679999999997</v>
      </c>
      <c r="AO53" s="17">
        <v>4582.2629999999999</v>
      </c>
      <c r="AP53" s="17">
        <v>4576.42</v>
      </c>
      <c r="AQ53" s="17">
        <v>4565.2790000000005</v>
      </c>
      <c r="AR53" s="17">
        <v>4546.4139999999998</v>
      </c>
      <c r="AS53" s="17">
        <v>4505.8010000000004</v>
      </c>
      <c r="AT53" s="17">
        <v>4439.808</v>
      </c>
      <c r="AU53" s="17">
        <v>4354.4690000000001</v>
      </c>
      <c r="AV53" s="17">
        <v>4258.1170000000002</v>
      </c>
      <c r="AW53" s="17">
        <v>4147.4799999999996</v>
      </c>
      <c r="AX53" s="17">
        <v>4040.319</v>
      </c>
      <c r="AY53" s="17">
        <v>3945.8090000000002</v>
      </c>
      <c r="AZ53" s="17">
        <v>3855.6060000000002</v>
      </c>
      <c r="BA53" s="17">
        <v>3757.3270000000002</v>
      </c>
      <c r="BB53" s="17">
        <v>3659.62</v>
      </c>
      <c r="BC53" s="17">
        <v>3532.2660000000001</v>
      </c>
      <c r="BD53" s="17">
        <v>3360.9769999999999</v>
      </c>
      <c r="BE53" s="17">
        <v>3163.8470000000002</v>
      </c>
      <c r="BF53" s="17">
        <v>2971.9090000000001</v>
      </c>
      <c r="BG53" s="17">
        <v>2777.3359999999998</v>
      </c>
      <c r="BH53" s="17">
        <v>2611.2489999999998</v>
      </c>
      <c r="BI53" s="17">
        <v>2491.7730000000001</v>
      </c>
      <c r="BJ53" s="17">
        <v>2404.5740000000001</v>
      </c>
      <c r="BK53" s="17">
        <v>2316.9290000000001</v>
      </c>
      <c r="BL53" s="17">
        <v>2235.0630000000001</v>
      </c>
      <c r="BM53" s="17">
        <v>2158.6860000000001</v>
      </c>
      <c r="BN53" s="17">
        <v>2084.2739999999999</v>
      </c>
      <c r="BO53" s="17">
        <v>2013.7339999999999</v>
      </c>
      <c r="BP53" s="17">
        <v>1950.07</v>
      </c>
      <c r="BQ53" s="17">
        <v>1889.7670000000001</v>
      </c>
      <c r="BR53" s="17">
        <v>1842.298</v>
      </c>
      <c r="BS53" s="17">
        <v>1811.731</v>
      </c>
      <c r="BT53" s="17">
        <v>1791.306</v>
      </c>
      <c r="BU53" s="17">
        <v>1770.068</v>
      </c>
      <c r="BV53" s="17">
        <v>1750.057</v>
      </c>
      <c r="BW53" s="17">
        <v>1719.4929999999999</v>
      </c>
      <c r="BX53" s="17">
        <v>1671.336</v>
      </c>
      <c r="BY53" s="17">
        <v>1610.0709999999999</v>
      </c>
      <c r="BZ53" s="17">
        <v>1548.713</v>
      </c>
      <c r="CA53" s="17">
        <v>1486.461</v>
      </c>
      <c r="CB53" s="17">
        <v>1412.7439999999999</v>
      </c>
      <c r="CC53" s="17">
        <v>1324.181</v>
      </c>
      <c r="CD53" s="17">
        <v>1225.5260000000001</v>
      </c>
      <c r="CE53" s="17">
        <v>1126.1300000000001</v>
      </c>
      <c r="CF53" s="17">
        <v>1025.57</v>
      </c>
      <c r="CG53" s="17">
        <v>925.19799999999998</v>
      </c>
      <c r="CH53" s="17">
        <v>827.11099999999999</v>
      </c>
      <c r="CI53" s="17">
        <v>731.92100000000005</v>
      </c>
      <c r="CJ53" s="17">
        <v>635.83299999999997</v>
      </c>
      <c r="CK53" s="17">
        <v>543.76599999999996</v>
      </c>
      <c r="CL53" s="17">
        <v>465.26900000000001</v>
      </c>
      <c r="CM53" s="17">
        <v>396.05200000000002</v>
      </c>
      <c r="CN53" s="17">
        <v>333.68200000000002</v>
      </c>
      <c r="CO53" s="17">
        <v>274.072</v>
      </c>
      <c r="CP53" s="17">
        <v>232.94900000000001</v>
      </c>
      <c r="CQ53" s="17">
        <v>199.018</v>
      </c>
      <c r="CR53" s="17">
        <v>156.304</v>
      </c>
      <c r="CS53" s="17">
        <v>104.807</v>
      </c>
      <c r="CT53" s="17">
        <v>77.245999999999995</v>
      </c>
      <c r="CU53" s="17">
        <v>62.473999999999997</v>
      </c>
      <c r="CV53" s="17">
        <v>45.121000000000002</v>
      </c>
      <c r="CW53" s="17">
        <v>25.186</v>
      </c>
      <c r="CX53" s="17">
        <v>40.898000000000003</v>
      </c>
      <c r="CY53" s="3">
        <f t="shared" si="87"/>
        <v>284607.99199999985</v>
      </c>
      <c r="CZ53" s="21">
        <f t="shared" si="3"/>
        <v>211032.1020000001</v>
      </c>
      <c r="DA53">
        <f t="shared" si="4"/>
        <v>1.9083499438393492E-2</v>
      </c>
      <c r="DB53">
        <f t="shared" si="5"/>
        <v>1.8860538099554153E-2</v>
      </c>
      <c r="DC53">
        <f t="shared" si="6"/>
        <v>1.8625697051531991E-2</v>
      </c>
      <c r="DD53">
        <f t="shared" si="7"/>
        <v>1.8406114345579507E-2</v>
      </c>
      <c r="DE53">
        <f t="shared" si="8"/>
        <v>1.8194786307914417E-2</v>
      </c>
      <c r="DF53">
        <f t="shared" si="9"/>
        <v>1.8053926222087284E-2</v>
      </c>
      <c r="DG53">
        <f t="shared" si="10"/>
        <v>1.8016808646487338E-2</v>
      </c>
      <c r="DH53">
        <f t="shared" si="11"/>
        <v>1.8059062881343037E-2</v>
      </c>
      <c r="DI53">
        <f t="shared" si="12"/>
        <v>1.8119755069302197E-2</v>
      </c>
      <c r="DJ53">
        <f t="shared" si="13"/>
        <v>1.8207168310345495E-2</v>
      </c>
      <c r="DK53">
        <f t="shared" si="14"/>
        <v>1.8341237960090063E-2</v>
      </c>
      <c r="DL53">
        <f t="shared" si="15"/>
        <v>1.8524551302625977E-2</v>
      </c>
      <c r="DM53">
        <f t="shared" si="16"/>
        <v>1.8749957767088904E-2</v>
      </c>
      <c r="DN53">
        <f t="shared" si="17"/>
        <v>1.898707808919042E-2</v>
      </c>
      <c r="DO53">
        <f t="shared" si="18"/>
        <v>1.9217204214740741E-2</v>
      </c>
      <c r="DP53">
        <f t="shared" si="19"/>
        <v>1.9526010312876464E-2</v>
      </c>
      <c r="DQ53">
        <f t="shared" si="20"/>
        <v>1.9945031870080118E-2</v>
      </c>
      <c r="DR53">
        <f t="shared" si="21"/>
        <v>2.0418827084421488E-2</v>
      </c>
      <c r="DS53">
        <f t="shared" si="22"/>
        <v>2.0861518026295343E-2</v>
      </c>
      <c r="DT53">
        <f t="shared" si="23"/>
        <v>2.1291623205269491E-2</v>
      </c>
      <c r="DU53">
        <f t="shared" si="24"/>
        <v>2.1597036454671703E-2</v>
      </c>
      <c r="DV53">
        <f t="shared" si="25"/>
        <v>2.1713582704113887E-2</v>
      </c>
      <c r="DW53">
        <f t="shared" si="26"/>
        <v>2.1685894973457631E-2</v>
      </c>
      <c r="DX53">
        <f t="shared" si="27"/>
        <v>2.1633102057619643E-2</v>
      </c>
      <c r="DY53">
        <f t="shared" si="28"/>
        <v>2.1543708075276613E-2</v>
      </c>
      <c r="DZ53">
        <f t="shared" si="29"/>
        <v>2.135125868196109E-2</v>
      </c>
      <c r="EA53">
        <f t="shared" si="30"/>
        <v>2.1038543225996954E-2</v>
      </c>
      <c r="EB53">
        <f t="shared" si="31"/>
        <v>2.0634154513610437E-2</v>
      </c>
      <c r="EC53">
        <f t="shared" si="32"/>
        <v>2.017757942817628E-2</v>
      </c>
      <c r="ED53">
        <f t="shared" si="33"/>
        <v>1.9653313219616216E-2</v>
      </c>
      <c r="EE53">
        <f t="shared" si="34"/>
        <v>1.9145518438706533E-2</v>
      </c>
      <c r="EF53">
        <f t="shared" si="35"/>
        <v>1.8697671883114723E-2</v>
      </c>
      <c r="EG53">
        <f t="shared" si="36"/>
        <v>1.8270234544694997E-2</v>
      </c>
      <c r="EH53">
        <f t="shared" si="37"/>
        <v>1.7804528147096779E-2</v>
      </c>
      <c r="EI53">
        <f t="shared" si="38"/>
        <v>1.7341532237592924E-2</v>
      </c>
      <c r="EJ53">
        <f t="shared" si="39"/>
        <v>1.6738050592890359E-2</v>
      </c>
      <c r="EK53">
        <f t="shared" si="40"/>
        <v>1.5926377874016524E-2</v>
      </c>
      <c r="EL53">
        <f t="shared" si="41"/>
        <v>1.4992254590725722E-2</v>
      </c>
      <c r="EM53">
        <f t="shared" si="42"/>
        <v>1.4082734199368391E-2</v>
      </c>
      <c r="EN53">
        <f t="shared" si="43"/>
        <v>1.3160727556037888E-2</v>
      </c>
      <c r="EO53">
        <f t="shared" si="44"/>
        <v>1.2373705115253026E-2</v>
      </c>
      <c r="EP53">
        <f t="shared" si="45"/>
        <v>1.1807554283850136E-2</v>
      </c>
      <c r="EQ53">
        <f t="shared" si="46"/>
        <v>1.1394351746541381E-2</v>
      </c>
      <c r="ER53">
        <f t="shared" si="47"/>
        <v>1.0979035786697509E-2</v>
      </c>
      <c r="ES53">
        <f t="shared" si="48"/>
        <v>1.0591104286114721E-2</v>
      </c>
      <c r="ET53">
        <f t="shared" si="49"/>
        <v>1.0229183046283636E-2</v>
      </c>
      <c r="EU53">
        <f t="shared" si="50"/>
        <v>9.8765731860074955E-3</v>
      </c>
      <c r="EV53">
        <f t="shared" si="51"/>
        <v>9.5423112451393718E-3</v>
      </c>
      <c r="EW53">
        <f t="shared" si="52"/>
        <v>9.2406320247902327E-3</v>
      </c>
      <c r="EX53">
        <f t="shared" si="53"/>
        <v>8.9548792913032686E-3</v>
      </c>
      <c r="EY53">
        <f t="shared" si="54"/>
        <v>8.7299419497797494E-3</v>
      </c>
      <c r="EZ53">
        <f t="shared" si="55"/>
        <v>8.5850966882754128E-3</v>
      </c>
      <c r="FA53">
        <f t="shared" si="56"/>
        <v>8.4883104656750235E-3</v>
      </c>
      <c r="FB53">
        <f t="shared" si="57"/>
        <v>8.3876717486328183E-3</v>
      </c>
      <c r="FC53">
        <f t="shared" si="58"/>
        <v>8.2928473128699599E-3</v>
      </c>
      <c r="FD53">
        <f t="shared" si="59"/>
        <v>8.1480162672122707E-3</v>
      </c>
      <c r="FE53">
        <f t="shared" si="60"/>
        <v>7.9198187581906339E-3</v>
      </c>
      <c r="FF53">
        <f t="shared" si="61"/>
        <v>7.6295074765449621E-3</v>
      </c>
      <c r="FG53">
        <f t="shared" si="62"/>
        <v>7.3387555036531797E-3</v>
      </c>
      <c r="FH53">
        <f t="shared" si="63"/>
        <v>7.0437672084600628E-3</v>
      </c>
      <c r="FI53">
        <f t="shared" si="64"/>
        <v>6.6944506859908893E-3</v>
      </c>
      <c r="FJ53">
        <f t="shared" si="65"/>
        <v>6.274784677072493E-3</v>
      </c>
      <c r="FK53">
        <f t="shared" si="66"/>
        <v>5.8072965600276276E-3</v>
      </c>
      <c r="FL53">
        <f t="shared" si="67"/>
        <v>5.3362971288605163E-3</v>
      </c>
      <c r="FM53">
        <f t="shared" si="68"/>
        <v>4.8597819491936799E-3</v>
      </c>
      <c r="FN53">
        <f t="shared" si="69"/>
        <v>4.3841576292501672E-3</v>
      </c>
      <c r="FO53">
        <f t="shared" si="70"/>
        <v>3.9193610458374698E-3</v>
      </c>
      <c r="FP53">
        <f t="shared" si="71"/>
        <v>3.4682922316719364E-3</v>
      </c>
      <c r="FQ53">
        <f t="shared" si="72"/>
        <v>3.01296814074287E-3</v>
      </c>
      <c r="FR53">
        <f t="shared" si="73"/>
        <v>2.5766980229387079E-3</v>
      </c>
      <c r="FS53">
        <f t="shared" si="74"/>
        <v>2.2047309181424907E-3</v>
      </c>
      <c r="FT53">
        <f t="shared" si="75"/>
        <v>1.876738165646475E-3</v>
      </c>
      <c r="FU53">
        <f t="shared" si="76"/>
        <v>1.5811907138185064E-3</v>
      </c>
      <c r="FV53">
        <f t="shared" si="77"/>
        <v>1.2987218409074078E-3</v>
      </c>
      <c r="FW53">
        <f t="shared" si="78"/>
        <v>1.1038557536615918E-3</v>
      </c>
      <c r="FX53">
        <f t="shared" si="79"/>
        <v>9.4306978944843148E-4</v>
      </c>
      <c r="FY53">
        <f t="shared" si="80"/>
        <v>7.4066456486321657E-4</v>
      </c>
      <c r="FZ53">
        <f t="shared" si="81"/>
        <v>4.96640079905947E-4</v>
      </c>
      <c r="GA53">
        <f t="shared" si="82"/>
        <v>3.6603909674367912E-4</v>
      </c>
      <c r="GB53">
        <f t="shared" si="83"/>
        <v>2.9604026784512609E-4</v>
      </c>
      <c r="GC53">
        <f t="shared" si="84"/>
        <v>2.1381107221307959E-4</v>
      </c>
      <c r="GD53">
        <f t="shared" si="85"/>
        <v>1.1934677123199005E-4</v>
      </c>
      <c r="GE53">
        <f t="shared" si="86"/>
        <v>1.937998987471583E-4</v>
      </c>
    </row>
    <row r="54" spans="1:187">
      <c r="A54" s="4">
        <v>2002</v>
      </c>
      <c r="B54" s="17">
        <v>3939.4160000000002</v>
      </c>
      <c r="C54" s="17">
        <v>3934.5439999999999</v>
      </c>
      <c r="D54" s="17">
        <v>3781.8580000000002</v>
      </c>
      <c r="E54" s="17">
        <v>3860.85</v>
      </c>
      <c r="F54" s="17">
        <v>3938.9259999999999</v>
      </c>
      <c r="G54" s="17">
        <v>4014.1480000000001</v>
      </c>
      <c r="H54" s="17">
        <v>4084.5790000000002</v>
      </c>
      <c r="I54" s="17">
        <v>4151.4660000000003</v>
      </c>
      <c r="J54" s="17">
        <v>4216.0569999999998</v>
      </c>
      <c r="K54" s="17">
        <v>4260.4880000000003</v>
      </c>
      <c r="L54" s="17">
        <v>4276.451</v>
      </c>
      <c r="M54" s="17">
        <v>4271.5640000000003</v>
      </c>
      <c r="N54" s="17">
        <v>4262.76</v>
      </c>
      <c r="O54" s="17">
        <v>4247.8549999999996</v>
      </c>
      <c r="P54" s="17">
        <v>4226.13</v>
      </c>
      <c r="Q54" s="17">
        <v>4199.3149999999996</v>
      </c>
      <c r="R54" s="17">
        <v>4167.9319999999998</v>
      </c>
      <c r="S54" s="17">
        <v>4133.07</v>
      </c>
      <c r="T54" s="17">
        <v>4097.28</v>
      </c>
      <c r="U54" s="17">
        <v>4055.3020000000001</v>
      </c>
      <c r="V54" s="17">
        <v>4005.5419999999999</v>
      </c>
      <c r="W54" s="17">
        <v>3952.9070000000002</v>
      </c>
      <c r="X54" s="17">
        <v>3903.4580000000001</v>
      </c>
      <c r="Y54" s="17">
        <v>3855.4479999999999</v>
      </c>
      <c r="Z54" s="17">
        <v>3823.6320000000001</v>
      </c>
      <c r="AA54" s="17">
        <v>3815.8119999999999</v>
      </c>
      <c r="AB54" s="17">
        <v>3826.047</v>
      </c>
      <c r="AC54" s="17">
        <v>3839.93</v>
      </c>
      <c r="AD54" s="17">
        <v>3859.549</v>
      </c>
      <c r="AE54" s="17">
        <v>3888.2959999999998</v>
      </c>
      <c r="AF54" s="17">
        <v>3926.1570000000002</v>
      </c>
      <c r="AG54" s="17">
        <v>3972.0410000000002</v>
      </c>
      <c r="AH54" s="17">
        <v>4020.5839999999998</v>
      </c>
      <c r="AI54" s="17">
        <v>4067.7249999999999</v>
      </c>
      <c r="AJ54" s="17">
        <v>4131.1149999999998</v>
      </c>
      <c r="AK54" s="17">
        <v>4217.3310000000001</v>
      </c>
      <c r="AL54" s="17">
        <v>4314.8580000000002</v>
      </c>
      <c r="AM54" s="17">
        <v>4405.8130000000001</v>
      </c>
      <c r="AN54" s="17">
        <v>4494.0280000000002</v>
      </c>
      <c r="AO54" s="17">
        <v>4556.3789999999999</v>
      </c>
      <c r="AP54" s="17">
        <v>4579.5940000000001</v>
      </c>
      <c r="AQ54" s="17">
        <v>4572.8789999999999</v>
      </c>
      <c r="AR54" s="17">
        <v>4560.8289999999997</v>
      </c>
      <c r="AS54" s="17">
        <v>4541.0770000000002</v>
      </c>
      <c r="AT54" s="17">
        <v>4499.7740000000003</v>
      </c>
      <c r="AU54" s="17">
        <v>4433.3050000000003</v>
      </c>
      <c r="AV54" s="17">
        <v>4347.6279999999997</v>
      </c>
      <c r="AW54" s="17">
        <v>4250.9870000000001</v>
      </c>
      <c r="AX54" s="17">
        <v>4140.143</v>
      </c>
      <c r="AY54" s="17">
        <v>4032.58</v>
      </c>
      <c r="AZ54" s="17">
        <v>3937.3330000000001</v>
      </c>
      <c r="BA54" s="17">
        <v>3846.1709999999998</v>
      </c>
      <c r="BB54" s="17">
        <v>3746.9589999999998</v>
      </c>
      <c r="BC54" s="17">
        <v>3648.2890000000002</v>
      </c>
      <c r="BD54" s="17">
        <v>3519.9760000000001</v>
      </c>
      <c r="BE54" s="17">
        <v>3347.77</v>
      </c>
      <c r="BF54" s="17">
        <v>3149.7310000000002</v>
      </c>
      <c r="BG54" s="17">
        <v>2956.779</v>
      </c>
      <c r="BH54" s="17">
        <v>2761.056</v>
      </c>
      <c r="BI54" s="17">
        <v>2593.8969999999999</v>
      </c>
      <c r="BJ54" s="17">
        <v>2473.502</v>
      </c>
      <c r="BK54" s="17">
        <v>2385.4140000000002</v>
      </c>
      <c r="BL54" s="17">
        <v>2296.71</v>
      </c>
      <c r="BM54" s="17">
        <v>2213.6669999999999</v>
      </c>
      <c r="BN54" s="17">
        <v>2135.7379999999998</v>
      </c>
      <c r="BO54" s="17">
        <v>2059.2570000000001</v>
      </c>
      <c r="BP54" s="17">
        <v>1986.2360000000001</v>
      </c>
      <c r="BQ54" s="17">
        <v>1919.9369999999999</v>
      </c>
      <c r="BR54" s="17">
        <v>1856.8050000000001</v>
      </c>
      <c r="BS54" s="17">
        <v>1806.249</v>
      </c>
      <c r="BT54" s="17">
        <v>1772.3309999999999</v>
      </c>
      <c r="BU54" s="17">
        <v>1748.3130000000001</v>
      </c>
      <c r="BV54" s="17">
        <v>1723.5060000000001</v>
      </c>
      <c r="BW54" s="17">
        <v>1700.194</v>
      </c>
      <c r="BX54" s="17">
        <v>1665.414</v>
      </c>
      <c r="BY54" s="17">
        <v>1611.6659999999999</v>
      </c>
      <c r="BZ54" s="17">
        <v>1544.152</v>
      </c>
      <c r="CA54" s="17">
        <v>1476.99</v>
      </c>
      <c r="CB54" s="17">
        <v>1409.0519999999999</v>
      </c>
      <c r="CC54" s="17">
        <v>1331.4469999999999</v>
      </c>
      <c r="CD54" s="17">
        <v>1241.702</v>
      </c>
      <c r="CE54" s="17">
        <v>1143.8240000000001</v>
      </c>
      <c r="CF54" s="17">
        <v>1045.442</v>
      </c>
      <c r="CG54" s="17">
        <v>946.41099999999994</v>
      </c>
      <c r="CH54" s="17">
        <v>848.16499999999996</v>
      </c>
      <c r="CI54" s="17">
        <v>752.64200000000005</v>
      </c>
      <c r="CJ54" s="17">
        <v>660.46900000000005</v>
      </c>
      <c r="CK54" s="17">
        <v>565.88599999999997</v>
      </c>
      <c r="CL54" s="17">
        <v>478.57400000000001</v>
      </c>
      <c r="CM54" s="17">
        <v>408.87900000000002</v>
      </c>
      <c r="CN54" s="17">
        <v>344.096</v>
      </c>
      <c r="CO54" s="17">
        <v>282.40199999999999</v>
      </c>
      <c r="CP54" s="17">
        <v>228.93799999999999</v>
      </c>
      <c r="CQ54" s="17">
        <v>194.91900000000001</v>
      </c>
      <c r="CR54" s="17">
        <v>165.63900000000001</v>
      </c>
      <c r="CS54" s="17">
        <v>129.11600000000001</v>
      </c>
      <c r="CT54" s="17">
        <v>85.347999999999999</v>
      </c>
      <c r="CU54" s="17">
        <v>63.527000000000001</v>
      </c>
      <c r="CV54" s="17">
        <v>45.94</v>
      </c>
      <c r="CW54" s="17">
        <v>25.675000000000001</v>
      </c>
      <c r="CX54" s="17">
        <v>41.738</v>
      </c>
      <c r="CY54" s="3">
        <f t="shared" si="87"/>
        <v>287279.31200000009</v>
      </c>
      <c r="CZ54" s="21">
        <f t="shared" si="3"/>
        <v>213311.90299999993</v>
      </c>
      <c r="DA54">
        <f t="shared" si="4"/>
        <v>1.9207929526558119E-2</v>
      </c>
      <c r="DB54">
        <f t="shared" si="5"/>
        <v>1.9011137882915054E-2</v>
      </c>
      <c r="DC54">
        <f t="shared" si="6"/>
        <v>1.8777864449505199E-2</v>
      </c>
      <c r="DD54">
        <f t="shared" si="7"/>
        <v>1.8531113099675461E-2</v>
      </c>
      <c r="DE54">
        <f t="shared" si="8"/>
        <v>1.8299297625224416E-2</v>
      </c>
      <c r="DF54">
        <f t="shared" si="9"/>
        <v>1.8074228140939706E-2</v>
      </c>
      <c r="DG54">
        <f t="shared" si="10"/>
        <v>1.7925075657873633E-2</v>
      </c>
      <c r="DH54">
        <f t="shared" si="11"/>
        <v>1.7888415725211552E-2</v>
      </c>
      <c r="DI54">
        <f t="shared" si="12"/>
        <v>1.7936397107666334E-2</v>
      </c>
      <c r="DJ54">
        <f t="shared" si="13"/>
        <v>1.8001480208068844E-2</v>
      </c>
      <c r="DK54">
        <f t="shared" si="14"/>
        <v>1.8093453509718121E-2</v>
      </c>
      <c r="DL54">
        <f t="shared" si="15"/>
        <v>1.8228218610004156E-2</v>
      </c>
      <c r="DM54">
        <f t="shared" si="16"/>
        <v>1.8405709877333951E-2</v>
      </c>
      <c r="DN54">
        <f t="shared" si="17"/>
        <v>1.862081273542434E-2</v>
      </c>
      <c r="DO54">
        <f t="shared" si="18"/>
        <v>1.8848380908214019E-2</v>
      </c>
      <c r="DP54">
        <f t="shared" si="19"/>
        <v>1.906937654576173E-2</v>
      </c>
      <c r="DQ54">
        <f t="shared" si="20"/>
        <v>1.9366547022929146E-2</v>
      </c>
      <c r="DR54">
        <f t="shared" si="21"/>
        <v>1.9770725124514037E-2</v>
      </c>
      <c r="DS54">
        <f t="shared" si="22"/>
        <v>2.0227928865272939E-2</v>
      </c>
      <c r="DT54">
        <f t="shared" si="23"/>
        <v>2.0654323261088722E-2</v>
      </c>
      <c r="DU54">
        <f t="shared" si="24"/>
        <v>2.1067872616559995E-2</v>
      </c>
      <c r="DV54">
        <f t="shared" si="25"/>
        <v>2.1360172291932537E-2</v>
      </c>
      <c r="DW54">
        <f t="shared" si="26"/>
        <v>2.1469003537041256E-2</v>
      </c>
      <c r="DX54">
        <f t="shared" si="27"/>
        <v>2.1437523812255339E-2</v>
      </c>
      <c r="DY54">
        <f t="shared" si="28"/>
        <v>2.138103376256505E-2</v>
      </c>
      <c r="DZ54">
        <f t="shared" si="29"/>
        <v>2.1288436960782267E-2</v>
      </c>
      <c r="EA54">
        <f t="shared" si="30"/>
        <v>2.1094809697516044E-2</v>
      </c>
      <c r="EB54">
        <f t="shared" si="31"/>
        <v>2.0783204957859298E-2</v>
      </c>
      <c r="EC54">
        <f t="shared" si="32"/>
        <v>2.0381553672604951E-2</v>
      </c>
      <c r="ED54">
        <f t="shared" si="33"/>
        <v>1.9928503474088838E-2</v>
      </c>
      <c r="EE54">
        <f t="shared" si="34"/>
        <v>1.9408870024473043E-2</v>
      </c>
      <c r="EF54">
        <f t="shared" si="35"/>
        <v>1.8904617807474162E-2</v>
      </c>
      <c r="EG54">
        <f t="shared" si="36"/>
        <v>1.8458102640432593E-2</v>
      </c>
      <c r="EH54">
        <f t="shared" si="37"/>
        <v>1.8030737834634578E-2</v>
      </c>
      <c r="EI54">
        <f t="shared" si="38"/>
        <v>1.7565634862860894E-2</v>
      </c>
      <c r="EJ54">
        <f t="shared" si="39"/>
        <v>1.7103072771330542E-2</v>
      </c>
      <c r="EK54">
        <f t="shared" si="40"/>
        <v>1.6501545157562077E-2</v>
      </c>
      <c r="EL54">
        <f t="shared" si="41"/>
        <v>1.5694248435822174E-2</v>
      </c>
      <c r="EM54">
        <f t="shared" si="42"/>
        <v>1.4765847361082336E-2</v>
      </c>
      <c r="EN54">
        <f t="shared" si="43"/>
        <v>1.3861293994456562E-2</v>
      </c>
      <c r="EO54">
        <f t="shared" si="44"/>
        <v>1.294375026038749E-2</v>
      </c>
      <c r="EP54">
        <f t="shared" si="45"/>
        <v>1.2160113727924507E-2</v>
      </c>
      <c r="EQ54">
        <f t="shared" si="46"/>
        <v>1.159570546796913E-2</v>
      </c>
      <c r="ER54">
        <f t="shared" si="47"/>
        <v>1.1182751484805801E-2</v>
      </c>
      <c r="ES54">
        <f t="shared" si="48"/>
        <v>1.0766909711550417E-2</v>
      </c>
      <c r="ET54">
        <f t="shared" si="49"/>
        <v>1.0377606541722149E-2</v>
      </c>
      <c r="EU54">
        <f t="shared" si="50"/>
        <v>1.0012277655223022E-2</v>
      </c>
      <c r="EV54">
        <f t="shared" si="51"/>
        <v>9.6537369506285858E-3</v>
      </c>
      <c r="EW54">
        <f t="shared" si="52"/>
        <v>9.3114166254472958E-3</v>
      </c>
      <c r="EX54">
        <f t="shared" si="53"/>
        <v>9.0006088408484189E-3</v>
      </c>
      <c r="EY54">
        <f t="shared" si="54"/>
        <v>8.7046478601805945E-3</v>
      </c>
      <c r="EZ54">
        <f t="shared" si="55"/>
        <v>8.4676428019115312E-3</v>
      </c>
      <c r="FA54">
        <f t="shared" si="56"/>
        <v>8.3086362039534213E-3</v>
      </c>
      <c r="FB54">
        <f t="shared" si="57"/>
        <v>8.1960405181889951E-3</v>
      </c>
      <c r="FC54">
        <f t="shared" si="58"/>
        <v>8.0797460233618598E-3</v>
      </c>
      <c r="FD54">
        <f t="shared" si="59"/>
        <v>7.970460045073062E-3</v>
      </c>
      <c r="FE54">
        <f t="shared" si="60"/>
        <v>7.8074124161744531E-3</v>
      </c>
      <c r="FF54">
        <f t="shared" si="61"/>
        <v>7.5554433547011229E-3</v>
      </c>
      <c r="FG54">
        <f t="shared" si="62"/>
        <v>7.2389396854239327E-3</v>
      </c>
      <c r="FH54">
        <f t="shared" si="63"/>
        <v>6.9240861819136294E-3</v>
      </c>
      <c r="FI54">
        <f t="shared" si="64"/>
        <v>6.6055948129626896E-3</v>
      </c>
      <c r="FJ54">
        <f t="shared" si="65"/>
        <v>6.2417848290444453E-3</v>
      </c>
      <c r="FK54">
        <f t="shared" si="66"/>
        <v>5.8210628780523341E-3</v>
      </c>
      <c r="FL54">
        <f t="shared" si="67"/>
        <v>5.3622136594974751E-3</v>
      </c>
      <c r="FM54">
        <f t="shared" si="68"/>
        <v>4.9010017035945735E-3</v>
      </c>
      <c r="FN54">
        <f t="shared" si="69"/>
        <v>4.4367472545589742E-3</v>
      </c>
      <c r="FO54">
        <f t="shared" si="70"/>
        <v>3.9761728627023697E-3</v>
      </c>
      <c r="FP54">
        <f t="shared" si="71"/>
        <v>3.5283638156844922E-3</v>
      </c>
      <c r="FQ54">
        <f t="shared" si="72"/>
        <v>3.0962594712776073E-3</v>
      </c>
      <c r="FR54">
        <f t="shared" si="73"/>
        <v>2.6528571169326643E-3</v>
      </c>
      <c r="FS54">
        <f t="shared" si="74"/>
        <v>2.24354099920997E-3</v>
      </c>
      <c r="FT54">
        <f t="shared" si="75"/>
        <v>1.9168128653373842E-3</v>
      </c>
      <c r="FU54">
        <f t="shared" si="76"/>
        <v>1.6131120446663499E-3</v>
      </c>
      <c r="FV54">
        <f t="shared" si="77"/>
        <v>1.3238923661939299E-3</v>
      </c>
      <c r="FW54">
        <f t="shared" si="78"/>
        <v>1.0732546884643379E-3</v>
      </c>
      <c r="FX54">
        <f t="shared" si="79"/>
        <v>9.1377460544243545E-4</v>
      </c>
      <c r="FY54">
        <f t="shared" si="80"/>
        <v>7.7651081665142737E-4</v>
      </c>
      <c r="FZ54">
        <f t="shared" si="81"/>
        <v>6.0529205442417372E-4</v>
      </c>
      <c r="GA54">
        <f t="shared" si="82"/>
        <v>4.0010894281881693E-4</v>
      </c>
      <c r="GB54">
        <f t="shared" si="83"/>
        <v>2.9781272918464387E-4</v>
      </c>
      <c r="GC54">
        <f t="shared" si="84"/>
        <v>2.1536538446239453E-4</v>
      </c>
      <c r="GD54">
        <f t="shared" si="85"/>
        <v>1.2036365359320811E-4</v>
      </c>
      <c r="GE54">
        <f t="shared" si="86"/>
        <v>1.9566653062018773E-4</v>
      </c>
    </row>
    <row r="55" spans="1:187">
      <c r="A55" s="4">
        <v>2003</v>
      </c>
      <c r="B55" s="17">
        <v>4100.2740000000003</v>
      </c>
      <c r="C55" s="17">
        <v>4010.2139999999999</v>
      </c>
      <c r="D55" s="17">
        <v>3953.9690000000001</v>
      </c>
      <c r="E55" s="17">
        <v>3806.721</v>
      </c>
      <c r="F55" s="17">
        <v>3867.5189999999998</v>
      </c>
      <c r="G55" s="17">
        <v>3936.0889999999999</v>
      </c>
      <c r="H55" s="17">
        <v>4008.9430000000002</v>
      </c>
      <c r="I55" s="17">
        <v>4082.5889999999999</v>
      </c>
      <c r="J55" s="17">
        <v>4158.308</v>
      </c>
      <c r="K55" s="17">
        <v>4237.3850000000002</v>
      </c>
      <c r="L55" s="17">
        <v>4292.4610000000002</v>
      </c>
      <c r="M55" s="17">
        <v>4310.4979999999996</v>
      </c>
      <c r="N55" s="17">
        <v>4302.3249999999998</v>
      </c>
      <c r="O55" s="17">
        <v>4292.8639999999996</v>
      </c>
      <c r="P55" s="17">
        <v>4278.393</v>
      </c>
      <c r="Q55" s="17">
        <v>4256.5739999999996</v>
      </c>
      <c r="R55" s="17">
        <v>4229.1490000000003</v>
      </c>
      <c r="S55" s="17">
        <v>4196.7120000000004</v>
      </c>
      <c r="T55" s="17">
        <v>4160.5609999999997</v>
      </c>
      <c r="U55" s="17">
        <v>4123.38</v>
      </c>
      <c r="V55" s="17">
        <v>4079.4549999999999</v>
      </c>
      <c r="W55" s="17">
        <v>4027.0369999999998</v>
      </c>
      <c r="X55" s="17">
        <v>3971.3789999999999</v>
      </c>
      <c r="Y55" s="17">
        <v>3918.8679999999999</v>
      </c>
      <c r="Z55" s="17">
        <v>3867.4960000000001</v>
      </c>
      <c r="AA55" s="17">
        <v>3833.6219999999998</v>
      </c>
      <c r="AB55" s="17">
        <v>3825.8229999999999</v>
      </c>
      <c r="AC55" s="17">
        <v>3837.366</v>
      </c>
      <c r="AD55" s="17">
        <v>3852.3090000000002</v>
      </c>
      <c r="AE55" s="17">
        <v>3873.0819999999999</v>
      </c>
      <c r="AF55" s="17">
        <v>3902.2530000000002</v>
      </c>
      <c r="AG55" s="17">
        <v>3939.2550000000001</v>
      </c>
      <c r="AH55" s="17">
        <v>3983.4119999999998</v>
      </c>
      <c r="AI55" s="17">
        <v>4030.4140000000002</v>
      </c>
      <c r="AJ55" s="17">
        <v>4076.0859999999998</v>
      </c>
      <c r="AK55" s="17">
        <v>4137.6379999999999</v>
      </c>
      <c r="AL55" s="17">
        <v>4221.5640000000003</v>
      </c>
      <c r="AM55" s="17">
        <v>4316.5389999999998</v>
      </c>
      <c r="AN55" s="17">
        <v>4404.942</v>
      </c>
      <c r="AO55" s="17">
        <v>4490.5249999999996</v>
      </c>
      <c r="AP55" s="17">
        <v>4550.7129999999997</v>
      </c>
      <c r="AQ55" s="17">
        <v>4572.5320000000002</v>
      </c>
      <c r="AR55" s="17">
        <v>4564.951</v>
      </c>
      <c r="AS55" s="17">
        <v>4552.0029999999997</v>
      </c>
      <c r="AT55" s="17">
        <v>4531.3850000000002</v>
      </c>
      <c r="AU55" s="17">
        <v>4489.4319999999998</v>
      </c>
      <c r="AV55" s="17">
        <v>4422.5529999999999</v>
      </c>
      <c r="AW55" s="17">
        <v>4336.6180000000004</v>
      </c>
      <c r="AX55" s="17">
        <v>4239.7830000000004</v>
      </c>
      <c r="AY55" s="17">
        <v>4128.8379999999997</v>
      </c>
      <c r="AZ55" s="17">
        <v>4020.9769999999999</v>
      </c>
      <c r="BA55" s="17">
        <v>3925.0880000000002</v>
      </c>
      <c r="BB55" s="17">
        <v>3833.0540000000001</v>
      </c>
      <c r="BC55" s="17">
        <v>3733.0050000000001</v>
      </c>
      <c r="BD55" s="17">
        <v>3633.4679999999998</v>
      </c>
      <c r="BE55" s="17">
        <v>3504.3209999999999</v>
      </c>
      <c r="BF55" s="17">
        <v>3331.3629999999998</v>
      </c>
      <c r="BG55" s="17">
        <v>3132.607</v>
      </c>
      <c r="BH55" s="17">
        <v>2938.8270000000002</v>
      </c>
      <c r="BI55" s="17">
        <v>2742.1439999999998</v>
      </c>
      <c r="BJ55" s="17">
        <v>2574.0729999999999</v>
      </c>
      <c r="BK55" s="17">
        <v>2452.8760000000002</v>
      </c>
      <c r="BL55" s="17">
        <v>2363.982</v>
      </c>
      <c r="BM55" s="17">
        <v>2274.3069999999998</v>
      </c>
      <c r="BN55" s="17">
        <v>2190.1660000000002</v>
      </c>
      <c r="BO55" s="17">
        <v>2110.7620000000002</v>
      </c>
      <c r="BP55" s="17">
        <v>2032.2860000000001</v>
      </c>
      <c r="BQ55" s="17">
        <v>1956.857</v>
      </c>
      <c r="BR55" s="17">
        <v>1887.989</v>
      </c>
      <c r="BS55" s="17">
        <v>1822.0920000000001</v>
      </c>
      <c r="BT55" s="17">
        <v>1768.5</v>
      </c>
      <c r="BU55" s="17">
        <v>1731.269</v>
      </c>
      <c r="BV55" s="17">
        <v>1703.684</v>
      </c>
      <c r="BW55" s="17">
        <v>1675.335</v>
      </c>
      <c r="BX55" s="17">
        <v>1648.7460000000001</v>
      </c>
      <c r="BY55" s="17">
        <v>1609.788</v>
      </c>
      <c r="BZ55" s="17">
        <v>1550.5070000000001</v>
      </c>
      <c r="CA55" s="17">
        <v>1476.816</v>
      </c>
      <c r="CB55" s="17">
        <v>1403.9169999999999</v>
      </c>
      <c r="CC55" s="17">
        <v>1330.3630000000001</v>
      </c>
      <c r="CD55" s="17">
        <v>1248.9449999999999</v>
      </c>
      <c r="CE55" s="17">
        <v>1158.1079999999999</v>
      </c>
      <c r="CF55" s="17">
        <v>1061.0999999999999</v>
      </c>
      <c r="CG55" s="17">
        <v>963.82399999999996</v>
      </c>
      <c r="CH55" s="17">
        <v>866.41899999999998</v>
      </c>
      <c r="CI55" s="17">
        <v>770.39</v>
      </c>
      <c r="CJ55" s="17">
        <v>677.51900000000001</v>
      </c>
      <c r="CK55" s="17">
        <v>588.45100000000002</v>
      </c>
      <c r="CL55" s="17">
        <v>495.46</v>
      </c>
      <c r="CM55" s="17">
        <v>412.983</v>
      </c>
      <c r="CN55" s="17">
        <v>352.14699999999999</v>
      </c>
      <c r="CO55" s="17">
        <v>291.858</v>
      </c>
      <c r="CP55" s="17">
        <v>230.899</v>
      </c>
      <c r="CQ55" s="17">
        <v>183.625</v>
      </c>
      <c r="CR55" s="17">
        <v>156.73699999999999</v>
      </c>
      <c r="CS55" s="17">
        <v>132.131</v>
      </c>
      <c r="CT55" s="17">
        <v>101.828</v>
      </c>
      <c r="CU55" s="17">
        <v>65.825000000000003</v>
      </c>
      <c r="CV55" s="17">
        <v>46.47</v>
      </c>
      <c r="CW55" s="17">
        <v>26.09</v>
      </c>
      <c r="CX55" s="17">
        <v>42.787999999999997</v>
      </c>
      <c r="CY55" s="3">
        <f t="shared" si="87"/>
        <v>289815.56699999992</v>
      </c>
      <c r="CZ55" s="21">
        <f t="shared" si="3"/>
        <v>215494.58</v>
      </c>
      <c r="DA55">
        <f t="shared" si="4"/>
        <v>1.9307033151367427E-2</v>
      </c>
      <c r="DB55">
        <f t="shared" si="5"/>
        <v>1.9134495169205651E-2</v>
      </c>
      <c r="DC55">
        <f t="shared" si="6"/>
        <v>1.8930661736364787E-2</v>
      </c>
      <c r="DD55">
        <f t="shared" si="7"/>
        <v>1.8687416639434736E-2</v>
      </c>
      <c r="DE55">
        <f t="shared" si="8"/>
        <v>1.8429136361573457E-2</v>
      </c>
      <c r="DF55">
        <f t="shared" si="9"/>
        <v>1.8185459699264828E-2</v>
      </c>
      <c r="DG55">
        <f t="shared" si="10"/>
        <v>1.7947068552721837E-2</v>
      </c>
      <c r="DH55">
        <f t="shared" si="11"/>
        <v>1.7789876664183388E-2</v>
      </c>
      <c r="DI55">
        <f t="shared" si="12"/>
        <v>1.7753685498725767E-2</v>
      </c>
      <c r="DJ55">
        <f t="shared" si="13"/>
        <v>1.7807250651037256E-2</v>
      </c>
      <c r="DK55">
        <f t="shared" si="14"/>
        <v>1.7876593462350657E-2</v>
      </c>
      <c r="DL55">
        <f t="shared" si="15"/>
        <v>1.7972990318364388E-2</v>
      </c>
      <c r="DM55">
        <f t="shared" si="16"/>
        <v>1.8108357992112842E-2</v>
      </c>
      <c r="DN55">
        <f t="shared" si="17"/>
        <v>1.8280065326933052E-2</v>
      </c>
      <c r="DO55">
        <f t="shared" si="18"/>
        <v>1.8484975352976395E-2</v>
      </c>
      <c r="DP55">
        <f t="shared" si="19"/>
        <v>1.8703087567213991E-2</v>
      </c>
      <c r="DQ55">
        <f t="shared" si="20"/>
        <v>1.891502793248907E-2</v>
      </c>
      <c r="DR55">
        <f t="shared" si="21"/>
        <v>1.9200659246278957E-2</v>
      </c>
      <c r="DS55">
        <f t="shared" si="22"/>
        <v>1.9590116837277301E-2</v>
      </c>
      <c r="DT55">
        <f t="shared" si="23"/>
        <v>2.0030847179543912E-2</v>
      </c>
      <c r="DU55">
        <f t="shared" si="24"/>
        <v>2.0441080235057422E-2</v>
      </c>
      <c r="DV55">
        <f t="shared" si="25"/>
        <v>2.0838227114575225E-2</v>
      </c>
      <c r="DW55">
        <f t="shared" si="26"/>
        <v>2.111752880281258E-2</v>
      </c>
      <c r="DX55">
        <f t="shared" si="27"/>
        <v>2.1218779609213374E-2</v>
      </c>
      <c r="DY55">
        <f t="shared" si="28"/>
        <v>2.1183600070127054E-2</v>
      </c>
      <c r="DZ55">
        <f t="shared" si="29"/>
        <v>2.1123515032257425E-2</v>
      </c>
      <c r="EA55">
        <f t="shared" si="30"/>
        <v>2.1027837451874663E-2</v>
      </c>
      <c r="EB55">
        <f t="shared" si="31"/>
        <v>2.0833155061254906E-2</v>
      </c>
      <c r="EC55">
        <f t="shared" si="32"/>
        <v>2.0522803868199376E-2</v>
      </c>
      <c r="ED55">
        <f t="shared" si="33"/>
        <v>2.0124023536926081E-2</v>
      </c>
      <c r="EE55">
        <f t="shared" si="34"/>
        <v>1.9674661887087837E-2</v>
      </c>
      <c r="EF55">
        <f t="shared" si="35"/>
        <v>1.9159822952391655E-2</v>
      </c>
      <c r="EG55">
        <f t="shared" si="36"/>
        <v>1.8659295282507801E-2</v>
      </c>
      <c r="EH55">
        <f t="shared" si="37"/>
        <v>1.8214323534262441E-2</v>
      </c>
      <c r="EI55">
        <f t="shared" si="38"/>
        <v>1.778724086703248E-2</v>
      </c>
      <c r="EJ55">
        <f t="shared" si="39"/>
        <v>1.7322964688949487E-2</v>
      </c>
      <c r="EK55">
        <f t="shared" si="40"/>
        <v>1.6861064440692661E-2</v>
      </c>
      <c r="EL55">
        <f t="shared" si="41"/>
        <v>1.6261759344480962E-2</v>
      </c>
      <c r="EM55">
        <f t="shared" si="42"/>
        <v>1.5459149831053755E-2</v>
      </c>
      <c r="EN55">
        <f t="shared" si="43"/>
        <v>1.4536825009705582E-2</v>
      </c>
      <c r="EO55">
        <f t="shared" si="44"/>
        <v>1.3637591256355499E-2</v>
      </c>
      <c r="EP55">
        <f t="shared" si="45"/>
        <v>1.2724886166510544E-2</v>
      </c>
      <c r="EQ55">
        <f t="shared" si="46"/>
        <v>1.1944954717654615E-2</v>
      </c>
      <c r="ER55">
        <f t="shared" si="47"/>
        <v>1.1382541500579739E-2</v>
      </c>
      <c r="ES55">
        <f t="shared" si="48"/>
        <v>1.0970029965486836E-2</v>
      </c>
      <c r="ET55">
        <f t="shared" si="49"/>
        <v>1.0553894209311436E-2</v>
      </c>
      <c r="EU55">
        <f t="shared" si="50"/>
        <v>1.0163438913405619E-2</v>
      </c>
      <c r="EV55">
        <f t="shared" si="51"/>
        <v>9.7949656088798156E-3</v>
      </c>
      <c r="EW55">
        <f t="shared" si="52"/>
        <v>9.4307986771639454E-3</v>
      </c>
      <c r="EX55">
        <f t="shared" si="53"/>
        <v>9.0807713122065536E-3</v>
      </c>
      <c r="EY55">
        <f t="shared" si="54"/>
        <v>8.7611901886349066E-3</v>
      </c>
      <c r="EZ55">
        <f t="shared" si="55"/>
        <v>8.4553959547381662E-3</v>
      </c>
      <c r="FA55">
        <f t="shared" si="56"/>
        <v>8.2067029249645162E-3</v>
      </c>
      <c r="FB55">
        <f t="shared" si="57"/>
        <v>8.0339329184056507E-3</v>
      </c>
      <c r="FC55">
        <f t="shared" si="58"/>
        <v>7.9059250585327943E-3</v>
      </c>
      <c r="FD55">
        <f t="shared" si="59"/>
        <v>7.7743718658724505E-3</v>
      </c>
      <c r="FE55">
        <f t="shared" si="60"/>
        <v>7.6509859319895662E-3</v>
      </c>
      <c r="FF55">
        <f t="shared" si="61"/>
        <v>7.470201802755318E-3</v>
      </c>
      <c r="FG55">
        <f t="shared" si="62"/>
        <v>7.1951090370811193E-3</v>
      </c>
      <c r="FH55">
        <f t="shared" si="63"/>
        <v>6.8531468401664677E-3</v>
      </c>
      <c r="FI55">
        <f t="shared" si="64"/>
        <v>6.5148599097016729E-3</v>
      </c>
      <c r="FJ55">
        <f t="shared" si="65"/>
        <v>6.1735334596350411E-3</v>
      </c>
      <c r="FK55">
        <f t="shared" si="66"/>
        <v>5.7957142123945763E-3</v>
      </c>
      <c r="FL55">
        <f t="shared" si="67"/>
        <v>5.374186209230877E-3</v>
      </c>
      <c r="FM55">
        <f t="shared" si="68"/>
        <v>4.9240217549787095E-3</v>
      </c>
      <c r="FN55">
        <f t="shared" si="69"/>
        <v>4.472613649958157E-3</v>
      </c>
      <c r="FO55">
        <f t="shared" si="70"/>
        <v>4.0206069219931194E-3</v>
      </c>
      <c r="FP55">
        <f t="shared" si="71"/>
        <v>3.5749855054359142E-3</v>
      </c>
      <c r="FQ55">
        <f t="shared" si="72"/>
        <v>3.1440187497987189E-3</v>
      </c>
      <c r="FR55">
        <f t="shared" si="73"/>
        <v>2.7306997698039554E-3</v>
      </c>
      <c r="FS55">
        <f t="shared" si="74"/>
        <v>2.2991761556137515E-3</v>
      </c>
      <c r="FT55">
        <f t="shared" si="75"/>
        <v>1.9164426316429862E-3</v>
      </c>
      <c r="FU55">
        <f t="shared" si="76"/>
        <v>1.6341339072193835E-3</v>
      </c>
      <c r="FV55">
        <f t="shared" si="77"/>
        <v>1.3543635296999119E-3</v>
      </c>
      <c r="FW55">
        <f t="shared" si="78"/>
        <v>1.0714840252594752E-3</v>
      </c>
      <c r="FX55">
        <f t="shared" si="79"/>
        <v>8.5210959830172997E-4</v>
      </c>
      <c r="FY55">
        <f t="shared" si="80"/>
        <v>7.2733615852426541E-4</v>
      </c>
      <c r="FZ55">
        <f t="shared" si="81"/>
        <v>6.1315231222984826E-4</v>
      </c>
      <c r="GA55">
        <f t="shared" si="82"/>
        <v>4.7253160613134682E-4</v>
      </c>
      <c r="GB55">
        <f t="shared" si="83"/>
        <v>3.05460118764936E-4</v>
      </c>
      <c r="GC55">
        <f t="shared" si="84"/>
        <v>2.1564347465258756E-4</v>
      </c>
      <c r="GD55">
        <f t="shared" si="85"/>
        <v>1.2107033039995717E-4</v>
      </c>
      <c r="GE55">
        <f t="shared" si="86"/>
        <v>1.9855719805110644E-4</v>
      </c>
    </row>
    <row r="56" spans="1:187">
      <c r="A56" s="4">
        <v>2004</v>
      </c>
      <c r="B56" s="17">
        <v>4245.1859999999997</v>
      </c>
      <c r="C56" s="17">
        <v>4084.2420000000002</v>
      </c>
      <c r="D56" s="17">
        <v>3973.51</v>
      </c>
      <c r="E56" s="17">
        <v>3907.0619999999999</v>
      </c>
      <c r="F56" s="17">
        <v>3831.93</v>
      </c>
      <c r="G56" s="17">
        <v>3874.5709999999999</v>
      </c>
      <c r="H56" s="17">
        <v>3933.6610000000001</v>
      </c>
      <c r="I56" s="17">
        <v>4004.1579999999999</v>
      </c>
      <c r="J56" s="17">
        <v>4081.0189999999998</v>
      </c>
      <c r="K56" s="17">
        <v>4165.5649999999996</v>
      </c>
      <c r="L56" s="17">
        <v>4259.1120000000001</v>
      </c>
      <c r="M56" s="17">
        <v>4324.8209999999999</v>
      </c>
      <c r="N56" s="17">
        <v>4344.9290000000001</v>
      </c>
      <c r="O56" s="17">
        <v>4333.4740000000002</v>
      </c>
      <c r="P56" s="17">
        <v>4323.357</v>
      </c>
      <c r="Q56" s="17">
        <v>4309.317</v>
      </c>
      <c r="R56" s="17">
        <v>4287.402</v>
      </c>
      <c r="S56" s="17">
        <v>4259.3649999999998</v>
      </c>
      <c r="T56" s="17">
        <v>4225.8729999999996</v>
      </c>
      <c r="U56" s="17">
        <v>4188.4319999999998</v>
      </c>
      <c r="V56" s="17">
        <v>4149.8590000000004</v>
      </c>
      <c r="W56" s="17">
        <v>4103.9830000000002</v>
      </c>
      <c r="X56" s="17">
        <v>4048.9070000000002</v>
      </c>
      <c r="Y56" s="17">
        <v>3990.2260000000001</v>
      </c>
      <c r="Z56" s="17">
        <v>3934.6550000000002</v>
      </c>
      <c r="AA56" s="17">
        <v>3879.9209999999998</v>
      </c>
      <c r="AB56" s="17">
        <v>3843.991</v>
      </c>
      <c r="AC56" s="17">
        <v>3836.2109999999998</v>
      </c>
      <c r="AD56" s="17">
        <v>3849.0590000000002</v>
      </c>
      <c r="AE56" s="17">
        <v>3865.0619999999999</v>
      </c>
      <c r="AF56" s="17">
        <v>3886.989</v>
      </c>
      <c r="AG56" s="17">
        <v>3916.585</v>
      </c>
      <c r="AH56" s="17">
        <v>3952.7350000000001</v>
      </c>
      <c r="AI56" s="17">
        <v>3995.1729999999998</v>
      </c>
      <c r="AJ56" s="17">
        <v>4040.64</v>
      </c>
      <c r="AK56" s="17">
        <v>4084.8510000000001</v>
      </c>
      <c r="AL56" s="17">
        <v>4144.5730000000003</v>
      </c>
      <c r="AM56" s="17">
        <v>4226.22</v>
      </c>
      <c r="AN56" s="17">
        <v>4318.66</v>
      </c>
      <c r="AO56" s="17">
        <v>4404.5219999999999</v>
      </c>
      <c r="AP56" s="17">
        <v>4487.4870000000001</v>
      </c>
      <c r="AQ56" s="17">
        <v>4545.5230000000001</v>
      </c>
      <c r="AR56" s="17">
        <v>4565.9489999999996</v>
      </c>
      <c r="AS56" s="17">
        <v>4557.5039999999999</v>
      </c>
      <c r="AT56" s="17">
        <v>4543.6589999999997</v>
      </c>
      <c r="AU56" s="17">
        <v>4522.174</v>
      </c>
      <c r="AV56" s="17">
        <v>4479.57</v>
      </c>
      <c r="AW56" s="17">
        <v>4412.2730000000001</v>
      </c>
      <c r="AX56" s="17">
        <v>4326.0730000000003</v>
      </c>
      <c r="AY56" s="17">
        <v>4229.0330000000004</v>
      </c>
      <c r="AZ56" s="17">
        <v>4117.9769999999999</v>
      </c>
      <c r="BA56" s="17">
        <v>4009.8090000000002</v>
      </c>
      <c r="BB56" s="17">
        <v>3913.2649999999999</v>
      </c>
      <c r="BC56" s="17">
        <v>3820.3519999999999</v>
      </c>
      <c r="BD56" s="17">
        <v>3719.4569999999999</v>
      </c>
      <c r="BE56" s="17">
        <v>3619.0459999999998</v>
      </c>
      <c r="BF56" s="17">
        <v>3489.0509999999999</v>
      </c>
      <c r="BG56" s="17">
        <v>3315.3249999999998</v>
      </c>
      <c r="BH56" s="17">
        <v>3115.8330000000001</v>
      </c>
      <c r="BI56" s="17">
        <v>2921.2069999999999</v>
      </c>
      <c r="BJ56" s="17">
        <v>2723.5439999999999</v>
      </c>
      <c r="BK56" s="17">
        <v>2554.547</v>
      </c>
      <c r="BL56" s="17">
        <v>2432.5360000000001</v>
      </c>
      <c r="BM56" s="17">
        <v>2342.83</v>
      </c>
      <c r="BN56" s="17">
        <v>2252.1770000000001</v>
      </c>
      <c r="BO56" s="17">
        <v>2166.931</v>
      </c>
      <c r="BP56" s="17">
        <v>2086.0439999999999</v>
      </c>
      <c r="BQ56" s="17">
        <v>2005.57</v>
      </c>
      <c r="BR56" s="17">
        <v>1927.729</v>
      </c>
      <c r="BS56" s="17">
        <v>1856.2909999999999</v>
      </c>
      <c r="BT56" s="17">
        <v>1787.626</v>
      </c>
      <c r="BU56" s="17">
        <v>1730.9970000000001</v>
      </c>
      <c r="BV56" s="17">
        <v>1690.4549999999999</v>
      </c>
      <c r="BW56" s="17">
        <v>1659.3050000000001</v>
      </c>
      <c r="BX56" s="17">
        <v>1627.4179999999999</v>
      </c>
      <c r="BY56" s="17">
        <v>1597.556</v>
      </c>
      <c r="BZ56" s="17">
        <v>1554.424</v>
      </c>
      <c r="CA56" s="17">
        <v>1489.61</v>
      </c>
      <c r="CB56" s="17">
        <v>1409.7449999999999</v>
      </c>
      <c r="CC56" s="17">
        <v>1331.1130000000001</v>
      </c>
      <c r="CD56" s="17">
        <v>1251.9459999999999</v>
      </c>
      <c r="CE56" s="17">
        <v>1166.7139999999999</v>
      </c>
      <c r="CF56" s="17">
        <v>1074.7760000000001</v>
      </c>
      <c r="CG56" s="17">
        <v>978.62599999999998</v>
      </c>
      <c r="CH56" s="17">
        <v>882.44399999999996</v>
      </c>
      <c r="CI56" s="17">
        <v>786.65099999999995</v>
      </c>
      <c r="CJ56" s="17">
        <v>692.82600000000002</v>
      </c>
      <c r="CK56" s="17">
        <v>602.59199999999998</v>
      </c>
      <c r="CL56" s="17">
        <v>516.61400000000003</v>
      </c>
      <c r="CM56" s="17">
        <v>425.20499999999998</v>
      </c>
      <c r="CN56" s="17">
        <v>347.54500000000002</v>
      </c>
      <c r="CO56" s="17">
        <v>295.54899999999998</v>
      </c>
      <c r="CP56" s="17">
        <v>239.738</v>
      </c>
      <c r="CQ56" s="17">
        <v>179.506</v>
      </c>
      <c r="CR56" s="17">
        <v>138.40600000000001</v>
      </c>
      <c r="CS56" s="17">
        <v>118.63500000000001</v>
      </c>
      <c r="CT56" s="17">
        <v>98.694000000000003</v>
      </c>
      <c r="CU56" s="17">
        <v>74.596000000000004</v>
      </c>
      <c r="CV56" s="17">
        <v>46.343000000000004</v>
      </c>
      <c r="CW56" s="17">
        <v>26.484999999999999</v>
      </c>
      <c r="CX56" s="17">
        <v>43.948999999999998</v>
      </c>
      <c r="CY56" s="3">
        <f t="shared" si="87"/>
        <v>292354.66300000006</v>
      </c>
      <c r="CZ56" s="21">
        <f t="shared" si="3"/>
        <v>217811.98199999999</v>
      </c>
      <c r="DA56">
        <f t="shared" si="4"/>
        <v>1.9401471678449717E-2</v>
      </c>
      <c r="DB56">
        <f t="shared" si="5"/>
        <v>1.9229575717280789E-2</v>
      </c>
      <c r="DC56">
        <f t="shared" si="6"/>
        <v>1.9052482613192513E-2</v>
      </c>
      <c r="DD56">
        <f t="shared" si="7"/>
        <v>1.8841860591489408E-2</v>
      </c>
      <c r="DE56">
        <f t="shared" si="8"/>
        <v>1.8589000305777488E-2</v>
      </c>
      <c r="DF56">
        <f t="shared" si="9"/>
        <v>1.831958904813602E-2</v>
      </c>
      <c r="DG56">
        <f t="shared" si="10"/>
        <v>1.8064456160175799E-2</v>
      </c>
      <c r="DH56">
        <f t="shared" si="11"/>
        <v>1.7813166036017247E-2</v>
      </c>
      <c r="DI56">
        <f t="shared" si="12"/>
        <v>1.7648207250600199E-2</v>
      </c>
      <c r="DJ56">
        <f t="shared" si="13"/>
        <v>1.761248837081883E-2</v>
      </c>
      <c r="DK56">
        <f t="shared" si="14"/>
        <v>1.7671475024730276E-2</v>
      </c>
      <c r="DL56">
        <f t="shared" si="15"/>
        <v>1.7744946648527354E-2</v>
      </c>
      <c r="DM56">
        <f t="shared" si="16"/>
        <v>1.7845616041453589E-2</v>
      </c>
      <c r="DN56">
        <f t="shared" si="17"/>
        <v>1.7981494700323696E-2</v>
      </c>
      <c r="DO56">
        <f t="shared" si="18"/>
        <v>1.8147463531184432E-2</v>
      </c>
      <c r="DP56">
        <f t="shared" si="19"/>
        <v>1.8342301297272066E-2</v>
      </c>
      <c r="DQ56">
        <f t="shared" si="20"/>
        <v>1.8551045552673038E-2</v>
      </c>
      <c r="DR56">
        <f t="shared" si="21"/>
        <v>1.8754023366813678E-2</v>
      </c>
      <c r="DS56">
        <f t="shared" si="22"/>
        <v>1.9028213975850056E-2</v>
      </c>
      <c r="DT56">
        <f t="shared" si="23"/>
        <v>1.9403064795581359E-2</v>
      </c>
      <c r="DU56">
        <f t="shared" si="24"/>
        <v>1.9827467526556918E-2</v>
      </c>
      <c r="DV56">
        <f t="shared" si="25"/>
        <v>2.0221669898766177E-2</v>
      </c>
      <c r="DW56">
        <f t="shared" si="26"/>
        <v>2.060257180892831E-2</v>
      </c>
      <c r="DX56">
        <f t="shared" si="27"/>
        <v>2.0869021796973503E-2</v>
      </c>
      <c r="DY56">
        <f t="shared" si="28"/>
        <v>2.0962799925304382E-2</v>
      </c>
      <c r="DZ56">
        <f t="shared" si="29"/>
        <v>2.0924027953613682E-2</v>
      </c>
      <c r="EA56">
        <f t="shared" si="30"/>
        <v>2.0860463957396061E-2</v>
      </c>
      <c r="EB56">
        <f t="shared" si="31"/>
        <v>2.0761823837588515E-2</v>
      </c>
      <c r="EC56">
        <f t="shared" si="32"/>
        <v>2.0566223946302458E-2</v>
      </c>
      <c r="ED56">
        <f t="shared" si="33"/>
        <v>2.0257255636193607E-2</v>
      </c>
      <c r="EE56">
        <f t="shared" si="34"/>
        <v>1.986150146689359E-2</v>
      </c>
      <c r="EF56">
        <f t="shared" si="35"/>
        <v>1.941597960391362E-2</v>
      </c>
      <c r="EG56">
        <f t="shared" si="36"/>
        <v>1.8906108663939342E-2</v>
      </c>
      <c r="EH56">
        <f t="shared" si="37"/>
        <v>1.8409496865971316E-2</v>
      </c>
      <c r="EI56">
        <f t="shared" si="38"/>
        <v>1.7966252196355295E-2</v>
      </c>
      <c r="EJ56">
        <f t="shared" si="39"/>
        <v>1.7539677867675803E-2</v>
      </c>
      <c r="EK56">
        <f t="shared" si="40"/>
        <v>1.7076457253853004E-2</v>
      </c>
      <c r="EL56">
        <f t="shared" si="41"/>
        <v>1.6615458740006323E-2</v>
      </c>
      <c r="EM56">
        <f t="shared" si="42"/>
        <v>1.6018636660677373E-2</v>
      </c>
      <c r="EN56">
        <f t="shared" si="43"/>
        <v>1.5221040502721288E-2</v>
      </c>
      <c r="EO56">
        <f t="shared" si="44"/>
        <v>1.4305149658846593E-2</v>
      </c>
      <c r="EP56">
        <f t="shared" si="45"/>
        <v>1.3411599183740039E-2</v>
      </c>
      <c r="EQ56">
        <f t="shared" si="46"/>
        <v>1.2504105490394922E-2</v>
      </c>
      <c r="ER56">
        <f t="shared" si="47"/>
        <v>1.1728220718362501E-2</v>
      </c>
      <c r="ES56">
        <f t="shared" si="48"/>
        <v>1.116805410640816E-2</v>
      </c>
      <c r="ET56">
        <f t="shared" si="49"/>
        <v>1.075620348562826E-2</v>
      </c>
      <c r="EU56">
        <f t="shared" si="50"/>
        <v>1.0340005078324848E-2</v>
      </c>
      <c r="EV56">
        <f t="shared" si="51"/>
        <v>9.9486308333579191E-3</v>
      </c>
      <c r="EW56">
        <f t="shared" si="52"/>
        <v>9.5772692615229953E-3</v>
      </c>
      <c r="EX56">
        <f t="shared" si="53"/>
        <v>9.2078038204528156E-3</v>
      </c>
      <c r="EY56">
        <f t="shared" si="54"/>
        <v>8.8504267868973353E-3</v>
      </c>
      <c r="EZ56">
        <f t="shared" si="55"/>
        <v>8.52244666686886E-3</v>
      </c>
      <c r="FA56">
        <f t="shared" si="56"/>
        <v>8.2071977105465203E-3</v>
      </c>
      <c r="FB56">
        <f t="shared" si="57"/>
        <v>7.9472074222252855E-3</v>
      </c>
      <c r="FC56">
        <f t="shared" si="58"/>
        <v>7.7610744114159887E-3</v>
      </c>
      <c r="FD56">
        <f t="shared" si="59"/>
        <v>7.6180611588209145E-3</v>
      </c>
      <c r="FE56">
        <f t="shared" si="60"/>
        <v>7.4716642539894799E-3</v>
      </c>
      <c r="FF56">
        <f t="shared" si="61"/>
        <v>7.3345643583556394E-3</v>
      </c>
      <c r="FG56">
        <f t="shared" si="62"/>
        <v>7.1365403580047311E-3</v>
      </c>
      <c r="FH56">
        <f t="shared" si="63"/>
        <v>6.8389717880626049E-3</v>
      </c>
      <c r="FI56">
        <f t="shared" si="64"/>
        <v>6.4723023364251829E-3</v>
      </c>
      <c r="FJ56">
        <f t="shared" si="65"/>
        <v>6.1112937303880741E-3</v>
      </c>
      <c r="FK56">
        <f t="shared" si="66"/>
        <v>5.7478288774765384E-3</v>
      </c>
      <c r="FL56">
        <f t="shared" si="67"/>
        <v>5.3565189081287547E-3</v>
      </c>
      <c r="FM56">
        <f t="shared" si="68"/>
        <v>4.9344209172110659E-3</v>
      </c>
      <c r="FN56">
        <f t="shared" si="69"/>
        <v>4.4929851471623818E-3</v>
      </c>
      <c r="FO56">
        <f t="shared" si="70"/>
        <v>4.0514024614127977E-3</v>
      </c>
      <c r="FP56">
        <f t="shared" si="71"/>
        <v>3.6116057196522826E-3</v>
      </c>
      <c r="FQ56">
        <f t="shared" si="72"/>
        <v>3.1808442934971319E-3</v>
      </c>
      <c r="FR56">
        <f t="shared" si="73"/>
        <v>2.76656956365238E-3</v>
      </c>
      <c r="FS56">
        <f t="shared" si="74"/>
        <v>2.3718346220273595E-3</v>
      </c>
      <c r="FT56">
        <f t="shared" si="75"/>
        <v>1.9521653312901768E-3</v>
      </c>
      <c r="FU56">
        <f t="shared" si="76"/>
        <v>1.595619289667912E-3</v>
      </c>
      <c r="FV56">
        <f t="shared" si="77"/>
        <v>1.3568996401676378E-3</v>
      </c>
      <c r="FW56">
        <f t="shared" si="78"/>
        <v>1.1006648844506636E-3</v>
      </c>
      <c r="FX56">
        <f t="shared" si="79"/>
        <v>8.241328064311908E-4</v>
      </c>
      <c r="FY56">
        <f t="shared" si="80"/>
        <v>6.354379530874477E-4</v>
      </c>
      <c r="FZ56">
        <f t="shared" si="81"/>
        <v>5.4466700550936638E-4</v>
      </c>
      <c r="GA56">
        <f t="shared" si="82"/>
        <v>4.531155682702525E-4</v>
      </c>
      <c r="GB56">
        <f t="shared" si="83"/>
        <v>3.4247886326106708E-4</v>
      </c>
      <c r="GC56">
        <f t="shared" si="84"/>
        <v>2.1276607271311643E-4</v>
      </c>
      <c r="GD56">
        <f t="shared" si="85"/>
        <v>1.2159569807321252E-4</v>
      </c>
      <c r="GE56">
        <f t="shared" si="86"/>
        <v>2.0177494183951734E-4</v>
      </c>
    </row>
    <row r="57" spans="1:187">
      <c r="A57" s="4">
        <v>2005</v>
      </c>
      <c r="B57" s="17">
        <v>4344.4309999999996</v>
      </c>
      <c r="C57" s="17">
        <v>4144.4210000000003</v>
      </c>
      <c r="D57" s="17">
        <v>4002.5050000000001</v>
      </c>
      <c r="E57" s="17">
        <v>3912.0929999999998</v>
      </c>
      <c r="F57" s="17">
        <v>3866.587</v>
      </c>
      <c r="G57" s="17">
        <v>3859.3939999999998</v>
      </c>
      <c r="H57" s="17">
        <v>3883.92</v>
      </c>
      <c r="I57" s="17">
        <v>3933.5729999999999</v>
      </c>
      <c r="J57" s="17">
        <v>4001.7570000000001</v>
      </c>
      <c r="K57" s="17">
        <v>4081.8780000000002</v>
      </c>
      <c r="L57" s="17">
        <v>4175.2910000000002</v>
      </c>
      <c r="M57" s="17">
        <v>4283.3490000000002</v>
      </c>
      <c r="N57" s="17">
        <v>4359.7169999999996</v>
      </c>
      <c r="O57" s="17">
        <v>4381.9080000000004</v>
      </c>
      <c r="P57" s="17">
        <v>4367.1689999999999</v>
      </c>
      <c r="Q57" s="17">
        <v>4356.3890000000001</v>
      </c>
      <c r="R57" s="17">
        <v>4342.7709999999997</v>
      </c>
      <c r="S57" s="17">
        <v>4320.7470000000003</v>
      </c>
      <c r="T57" s="17">
        <v>4292.0829999999996</v>
      </c>
      <c r="U57" s="17">
        <v>4257.5159999999996</v>
      </c>
      <c r="V57" s="17">
        <v>4218.7640000000001</v>
      </c>
      <c r="W57" s="17">
        <v>4178.7790000000005</v>
      </c>
      <c r="X57" s="17">
        <v>4130.9269999999997</v>
      </c>
      <c r="Y57" s="17">
        <v>4073.163</v>
      </c>
      <c r="Z57" s="17">
        <v>4011.4270000000001</v>
      </c>
      <c r="AA57" s="17">
        <v>3952.7660000000001</v>
      </c>
      <c r="AB57" s="17">
        <v>3894.6390000000001</v>
      </c>
      <c r="AC57" s="17">
        <v>3856.6329999999998</v>
      </c>
      <c r="AD57" s="17">
        <v>3848.8690000000001</v>
      </c>
      <c r="AE57" s="17">
        <v>3863.029</v>
      </c>
      <c r="AF57" s="17">
        <v>3880.1</v>
      </c>
      <c r="AG57" s="17">
        <v>3903.192</v>
      </c>
      <c r="AH57" s="17">
        <v>3933.232</v>
      </c>
      <c r="AI57" s="17">
        <v>3968.55</v>
      </c>
      <c r="AJ57" s="17">
        <v>4009.297</v>
      </c>
      <c r="AK57" s="17">
        <v>4053.2570000000001</v>
      </c>
      <c r="AL57" s="17">
        <v>4096.0349999999999</v>
      </c>
      <c r="AM57" s="17">
        <v>4153.9669999999996</v>
      </c>
      <c r="AN57" s="17">
        <v>4233.3850000000002</v>
      </c>
      <c r="AO57" s="17">
        <v>4323.3469999999998</v>
      </c>
      <c r="AP57" s="17">
        <v>4406.723</v>
      </c>
      <c r="AQ57" s="17">
        <v>4487.12</v>
      </c>
      <c r="AR57" s="17">
        <v>4543.0410000000002</v>
      </c>
      <c r="AS57" s="17">
        <v>4562.0870000000004</v>
      </c>
      <c r="AT57" s="17">
        <v>4552.7740000000003</v>
      </c>
      <c r="AU57" s="17">
        <v>4538.0249999999996</v>
      </c>
      <c r="AV57" s="17">
        <v>4515.66</v>
      </c>
      <c r="AW57" s="17">
        <v>4472.3789999999999</v>
      </c>
      <c r="AX57" s="17">
        <v>4404.625</v>
      </c>
      <c r="AY57" s="17">
        <v>4318.1099999999997</v>
      </c>
      <c r="AZ57" s="17">
        <v>4220.8069999999998</v>
      </c>
      <c r="BA57" s="17">
        <v>4109.5730000000003</v>
      </c>
      <c r="BB57" s="17">
        <v>4001.0329999999999</v>
      </c>
      <c r="BC57" s="17">
        <v>3903.78</v>
      </c>
      <c r="BD57" s="17">
        <v>3809.9340000000002</v>
      </c>
      <c r="BE57" s="17">
        <v>3708.1329999999998</v>
      </c>
      <c r="BF57" s="17">
        <v>3606.788</v>
      </c>
      <c r="BG57" s="17">
        <v>3475.87</v>
      </c>
      <c r="BH57" s="17">
        <v>3301.2739999999999</v>
      </c>
      <c r="BI57" s="17">
        <v>3100.9290000000001</v>
      </c>
      <c r="BJ57" s="17">
        <v>2905.3409999999999</v>
      </c>
      <c r="BK57" s="17">
        <v>2706.5830000000001</v>
      </c>
      <c r="BL57" s="17">
        <v>2536.558</v>
      </c>
      <c r="BM57" s="17">
        <v>2413.663</v>
      </c>
      <c r="BN57" s="17">
        <v>2323.0920000000001</v>
      </c>
      <c r="BO57" s="17">
        <v>2231.4070000000002</v>
      </c>
      <c r="BP57" s="17">
        <v>2145.0059999999999</v>
      </c>
      <c r="BQ57" s="17">
        <v>2062.5909999999999</v>
      </c>
      <c r="BR57" s="17">
        <v>1980.0730000000001</v>
      </c>
      <c r="BS57" s="17">
        <v>1899.7760000000001</v>
      </c>
      <c r="BT57" s="17">
        <v>1825.7270000000001</v>
      </c>
      <c r="BU57" s="17">
        <v>1754.2560000000001</v>
      </c>
      <c r="BV57" s="17">
        <v>1694.56</v>
      </c>
      <c r="BW57" s="17">
        <v>1650.6849999999999</v>
      </c>
      <c r="BX57" s="17">
        <v>1615.9559999999999</v>
      </c>
      <c r="BY57" s="17">
        <v>1580.5160000000001</v>
      </c>
      <c r="BZ57" s="17">
        <v>1547.365</v>
      </c>
      <c r="CA57" s="17">
        <v>1500.038</v>
      </c>
      <c r="CB57" s="17">
        <v>1429.6590000000001</v>
      </c>
      <c r="CC57" s="17">
        <v>1343.577</v>
      </c>
      <c r="CD57" s="17">
        <v>1259.172</v>
      </c>
      <c r="CE57" s="17">
        <v>1174.3489999999999</v>
      </c>
      <c r="CF57" s="17">
        <v>1085.2560000000001</v>
      </c>
      <c r="CG57" s="17">
        <v>992.16499999999996</v>
      </c>
      <c r="CH57" s="17">
        <v>896.81399999999996</v>
      </c>
      <c r="CI57" s="17">
        <v>801.66899999999998</v>
      </c>
      <c r="CJ57" s="17">
        <v>707.43</v>
      </c>
      <c r="CK57" s="17">
        <v>615.74900000000002</v>
      </c>
      <c r="CL57" s="17">
        <v>528.09900000000005</v>
      </c>
      <c r="CM57" s="17">
        <v>445.15499999999997</v>
      </c>
      <c r="CN57" s="17">
        <v>355.27</v>
      </c>
      <c r="CO57" s="17">
        <v>282.37700000000001</v>
      </c>
      <c r="CP57" s="17">
        <v>239.18</v>
      </c>
      <c r="CQ57" s="17">
        <v>187.81200000000001</v>
      </c>
      <c r="CR57" s="17">
        <v>128.27000000000001</v>
      </c>
      <c r="CS57" s="17">
        <v>93.316000000000003</v>
      </c>
      <c r="CT57" s="17">
        <v>80.64</v>
      </c>
      <c r="CU57" s="17">
        <v>65.347999999999999</v>
      </c>
      <c r="CV57" s="17">
        <v>47.436</v>
      </c>
      <c r="CW57" s="17">
        <v>26.905000000000001</v>
      </c>
      <c r="CX57" s="17">
        <v>45.146000000000001</v>
      </c>
      <c r="CY57" s="3">
        <f t="shared" si="87"/>
        <v>294993.50899999996</v>
      </c>
      <c r="CZ57" s="21">
        <f t="shared" si="3"/>
        <v>220375.60899999997</v>
      </c>
      <c r="DA57">
        <f t="shared" si="4"/>
        <v>1.9476216172362344E-2</v>
      </c>
      <c r="DB57">
        <f t="shared" si="5"/>
        <v>1.9319361245644932E-2</v>
      </c>
      <c r="DC57">
        <f t="shared" si="6"/>
        <v>1.9143516014061251E-2</v>
      </c>
      <c r="DD57">
        <f t="shared" si="7"/>
        <v>1.896207578943095E-2</v>
      </c>
      <c r="DE57">
        <f t="shared" si="8"/>
        <v>1.8744937421817858E-2</v>
      </c>
      <c r="DF57">
        <f t="shared" si="9"/>
        <v>1.8482821299883514E-2</v>
      </c>
      <c r="DG57">
        <f t="shared" si="10"/>
        <v>1.8202681404728419E-2</v>
      </c>
      <c r="DH57">
        <f t="shared" si="11"/>
        <v>1.7936494959385457E-2</v>
      </c>
      <c r="DI57">
        <f t="shared" si="12"/>
        <v>1.767273164971719E-2</v>
      </c>
      <c r="DJ57">
        <f t="shared" si="13"/>
        <v>1.7500271547746468E-2</v>
      </c>
      <c r="DK57">
        <f t="shared" si="14"/>
        <v>1.7465040788611053E-2</v>
      </c>
      <c r="DL57">
        <f t="shared" si="15"/>
        <v>1.7529294723355706E-2</v>
      </c>
      <c r="DM57">
        <f t="shared" si="16"/>
        <v>1.7606757923922519E-2</v>
      </c>
      <c r="DN57">
        <f t="shared" si="17"/>
        <v>1.7711542659877576E-2</v>
      </c>
      <c r="DO57">
        <f t="shared" si="18"/>
        <v>1.7847855385847173E-2</v>
      </c>
      <c r="DP57">
        <f t="shared" si="19"/>
        <v>1.8008118130713825E-2</v>
      </c>
      <c r="DQ57">
        <f t="shared" si="20"/>
        <v>1.8193016088273183E-2</v>
      </c>
      <c r="DR57">
        <f t="shared" si="21"/>
        <v>1.8392493699246004E-2</v>
      </c>
      <c r="DS57">
        <f t="shared" si="22"/>
        <v>1.8586607740242254E-2</v>
      </c>
      <c r="DT57">
        <f t="shared" si="23"/>
        <v>1.8849486196995606E-2</v>
      </c>
      <c r="DU57">
        <f t="shared" si="24"/>
        <v>1.9209861831850913E-2</v>
      </c>
      <c r="DV57">
        <f t="shared" si="25"/>
        <v>1.9618083052013256E-2</v>
      </c>
      <c r="DW57">
        <f t="shared" si="26"/>
        <v>1.9996418932187728E-2</v>
      </c>
      <c r="DX57">
        <f t="shared" si="27"/>
        <v>2.0361236982446639E-2</v>
      </c>
      <c r="DY57">
        <f t="shared" si="28"/>
        <v>2.0614990109908221E-2</v>
      </c>
      <c r="DZ57">
        <f t="shared" si="29"/>
        <v>2.0701415282305589E-2</v>
      </c>
      <c r="EA57">
        <f t="shared" si="30"/>
        <v>2.0659155614630661E-2</v>
      </c>
      <c r="EB57">
        <f t="shared" si="31"/>
        <v>2.0592228970312227E-2</v>
      </c>
      <c r="EC57">
        <f t="shared" si="32"/>
        <v>2.049074314753227E-2</v>
      </c>
      <c r="ED57">
        <f t="shared" si="33"/>
        <v>2.029434663978626E-2</v>
      </c>
      <c r="EE57">
        <f t="shared" si="34"/>
        <v>1.9986898822364686E-2</v>
      </c>
      <c r="EF57">
        <f t="shared" si="35"/>
        <v>1.9594319079113697E-2</v>
      </c>
      <c r="EG57">
        <f t="shared" si="36"/>
        <v>1.9152786549985215E-2</v>
      </c>
      <c r="EH57">
        <f t="shared" si="37"/>
        <v>1.8648039221073692E-2</v>
      </c>
      <c r="EI57">
        <f t="shared" si="38"/>
        <v>1.8155516475509777E-2</v>
      </c>
      <c r="EJ57">
        <f t="shared" si="39"/>
        <v>1.7714210831744091E-2</v>
      </c>
      <c r="EK57">
        <f t="shared" si="40"/>
        <v>1.7288365156599525E-2</v>
      </c>
      <c r="EL57">
        <f t="shared" si="41"/>
        <v>1.6826422020233649E-2</v>
      </c>
      <c r="EM57">
        <f t="shared" si="42"/>
        <v>1.6366548078376498E-2</v>
      </c>
      <c r="EN57">
        <f t="shared" si="43"/>
        <v>1.5772480519838292E-2</v>
      </c>
      <c r="EO57">
        <f t="shared" si="44"/>
        <v>1.4980214983773455E-2</v>
      </c>
      <c r="EP57">
        <f t="shared" si="45"/>
        <v>1.4071108023574426E-2</v>
      </c>
      <c r="EQ57">
        <f t="shared" si="46"/>
        <v>1.3183586936792085E-2</v>
      </c>
      <c r="ER57">
        <f t="shared" si="47"/>
        <v>1.2281681318008294E-2</v>
      </c>
      <c r="ES57">
        <f t="shared" si="48"/>
        <v>1.1510157641810534E-2</v>
      </c>
      <c r="ET57">
        <f t="shared" si="49"/>
        <v>1.0952496108587046E-2</v>
      </c>
      <c r="EU57">
        <f t="shared" si="50"/>
        <v>1.054151142470581E-2</v>
      </c>
      <c r="EV57">
        <f t="shared" si="51"/>
        <v>1.0125471734941414E-2</v>
      </c>
      <c r="EW57">
        <f t="shared" si="52"/>
        <v>9.7334092903176052E-3</v>
      </c>
      <c r="EX57">
        <f t="shared" si="53"/>
        <v>9.3594341468161302E-3</v>
      </c>
      <c r="EY57">
        <f t="shared" si="54"/>
        <v>8.9849916194672912E-3</v>
      </c>
      <c r="EZ57">
        <f t="shared" si="55"/>
        <v>8.6206273399339773E-3</v>
      </c>
      <c r="FA57">
        <f t="shared" si="56"/>
        <v>8.284614655336019E-3</v>
      </c>
      <c r="FB57">
        <f t="shared" si="57"/>
        <v>7.9603001800439728E-3</v>
      </c>
      <c r="FC57">
        <f t="shared" si="58"/>
        <v>7.6894172076910749E-3</v>
      </c>
      <c r="FD57">
        <f t="shared" si="59"/>
        <v>7.4903253018350144E-3</v>
      </c>
      <c r="FE57">
        <f t="shared" si="60"/>
        <v>7.3327352665421338E-3</v>
      </c>
      <c r="FF57">
        <f t="shared" si="61"/>
        <v>7.1719189213902534E-3</v>
      </c>
      <c r="FG57">
        <f t="shared" si="62"/>
        <v>7.0214893881473074E-3</v>
      </c>
      <c r="FH57">
        <f t="shared" si="63"/>
        <v>6.8067333168436083E-3</v>
      </c>
      <c r="FI57">
        <f t="shared" si="64"/>
        <v>6.4873740178750918E-3</v>
      </c>
      <c r="FJ57">
        <f t="shared" si="65"/>
        <v>6.096759101865943E-3</v>
      </c>
      <c r="FK57">
        <f t="shared" si="66"/>
        <v>5.7137539209250699E-3</v>
      </c>
      <c r="FL57">
        <f t="shared" si="67"/>
        <v>5.3288519783511986E-3</v>
      </c>
      <c r="FM57">
        <f t="shared" si="68"/>
        <v>4.9245740257942983E-3</v>
      </c>
      <c r="FN57">
        <f t="shared" si="69"/>
        <v>4.5021543196279955E-3</v>
      </c>
      <c r="FO57">
        <f t="shared" si="70"/>
        <v>4.0694793950631809E-3</v>
      </c>
      <c r="FP57">
        <f t="shared" si="71"/>
        <v>3.6377392381930981E-3</v>
      </c>
      <c r="FQ57">
        <f t="shared" si="72"/>
        <v>3.2101102440969319E-3</v>
      </c>
      <c r="FR57">
        <f t="shared" si="73"/>
        <v>2.7940887051615595E-3</v>
      </c>
      <c r="FS57">
        <f t="shared" si="74"/>
        <v>2.3963586641750365E-3</v>
      </c>
      <c r="FT57">
        <f t="shared" si="75"/>
        <v>2.019983073535148E-3</v>
      </c>
      <c r="FU57">
        <f t="shared" si="76"/>
        <v>1.6121112568315127E-3</v>
      </c>
      <c r="FV57">
        <f t="shared" si="77"/>
        <v>1.2813441618214657E-3</v>
      </c>
      <c r="FW57">
        <f t="shared" si="78"/>
        <v>1.0853288214849586E-3</v>
      </c>
      <c r="FX57">
        <f t="shared" si="79"/>
        <v>8.5223587515985053E-4</v>
      </c>
      <c r="FY57">
        <f t="shared" si="80"/>
        <v>5.8205170972437344E-4</v>
      </c>
      <c r="FZ57">
        <f t="shared" si="81"/>
        <v>4.2344069029889787E-4</v>
      </c>
      <c r="GA57">
        <f t="shared" si="82"/>
        <v>3.6592071312211333E-4</v>
      </c>
      <c r="GB57">
        <f t="shared" si="83"/>
        <v>2.9653009376368874E-4</v>
      </c>
      <c r="GC57">
        <f t="shared" si="84"/>
        <v>2.1525068139460028E-4</v>
      </c>
      <c r="GD57">
        <f t="shared" si="85"/>
        <v>1.2208701372210391E-4</v>
      </c>
      <c r="GE57">
        <f t="shared" si="86"/>
        <v>2.0485933177840932E-4</v>
      </c>
    </row>
    <row r="58" spans="1:187">
      <c r="A58" s="4">
        <v>2006</v>
      </c>
      <c r="B58" s="17">
        <v>4385.1779999999999</v>
      </c>
      <c r="C58" s="17">
        <v>4300.973</v>
      </c>
      <c r="D58" s="17">
        <v>4139.1890000000003</v>
      </c>
      <c r="E58" s="17">
        <v>4024.415</v>
      </c>
      <c r="F58" s="17">
        <v>3951.567</v>
      </c>
      <c r="G58" s="17">
        <v>3915.5659999999998</v>
      </c>
      <c r="H58" s="17">
        <v>3910.2339999999999</v>
      </c>
      <c r="I58" s="17">
        <v>3929.3939999999998</v>
      </c>
      <c r="J58" s="17">
        <v>3973.4479999999999</v>
      </c>
      <c r="K58" s="17">
        <v>4039.502</v>
      </c>
      <c r="L58" s="17">
        <v>4119.192</v>
      </c>
      <c r="M58" s="17">
        <v>4208.5190000000002</v>
      </c>
      <c r="N58" s="17">
        <v>4310.0640000000003</v>
      </c>
      <c r="O58" s="17">
        <v>4380.4449999999997</v>
      </c>
      <c r="P58" s="17">
        <v>4398.1670000000004</v>
      </c>
      <c r="Q58" s="17">
        <v>4380.0309999999999</v>
      </c>
      <c r="R58" s="17">
        <v>4365.4380000000001</v>
      </c>
      <c r="S58" s="17">
        <v>4347.8220000000001</v>
      </c>
      <c r="T58" s="17">
        <v>4322.9350000000004</v>
      </c>
      <c r="U58" s="17">
        <v>4293.0330000000004</v>
      </c>
      <c r="V58" s="17">
        <v>4258.442</v>
      </c>
      <c r="W58" s="17">
        <v>4219.7430000000004</v>
      </c>
      <c r="X58" s="17">
        <v>4179.8329999999996</v>
      </c>
      <c r="Y58" s="17">
        <v>4133.1329999999998</v>
      </c>
      <c r="Z58" s="17">
        <v>4077.9169999999999</v>
      </c>
      <c r="AA58" s="17">
        <v>4019.5189999999998</v>
      </c>
      <c r="AB58" s="17">
        <v>3964.1770000000001</v>
      </c>
      <c r="AC58" s="17">
        <v>3909.6579999999999</v>
      </c>
      <c r="AD58" s="17">
        <v>3873.72</v>
      </c>
      <c r="AE58" s="17">
        <v>3865.538</v>
      </c>
      <c r="AF58" s="17">
        <v>3877.625</v>
      </c>
      <c r="AG58" s="17">
        <v>3892.78</v>
      </c>
      <c r="AH58" s="17">
        <v>3913.7959999999998</v>
      </c>
      <c r="AI58" s="17">
        <v>3941.7710000000002</v>
      </c>
      <c r="AJ58" s="17">
        <v>3975.3159999999998</v>
      </c>
      <c r="AK58" s="17">
        <v>4014.4580000000001</v>
      </c>
      <c r="AL58" s="17">
        <v>4056.616</v>
      </c>
      <c r="AM58" s="17">
        <v>4097.5140000000001</v>
      </c>
      <c r="AN58" s="17">
        <v>4153.598</v>
      </c>
      <c r="AO58" s="17">
        <v>4231.2349999999997</v>
      </c>
      <c r="AP58" s="17">
        <v>4319.5240000000003</v>
      </c>
      <c r="AQ58" s="17">
        <v>4401.2280000000001</v>
      </c>
      <c r="AR58" s="17">
        <v>4479.83</v>
      </c>
      <c r="AS58" s="17">
        <v>4534.674</v>
      </c>
      <c r="AT58" s="17">
        <v>4553.723</v>
      </c>
      <c r="AU58" s="17">
        <v>4545.049</v>
      </c>
      <c r="AV58" s="17">
        <v>4530.848</v>
      </c>
      <c r="AW58" s="17">
        <v>4509.1689999999999</v>
      </c>
      <c r="AX58" s="17">
        <v>4465.7889999999998</v>
      </c>
      <c r="AY58" s="17">
        <v>4396.6450000000004</v>
      </c>
      <c r="AZ58" s="17">
        <v>4307.9059999999999</v>
      </c>
      <c r="BA58" s="17">
        <v>4208.5360000000001</v>
      </c>
      <c r="BB58" s="17">
        <v>4095.2240000000002</v>
      </c>
      <c r="BC58" s="17">
        <v>3984.71</v>
      </c>
      <c r="BD58" s="17">
        <v>3885.7539999999999</v>
      </c>
      <c r="BE58" s="17">
        <v>3790.4050000000002</v>
      </c>
      <c r="BF58" s="17">
        <v>3686.9659999999999</v>
      </c>
      <c r="BG58" s="17">
        <v>3583.79</v>
      </c>
      <c r="BH58" s="17">
        <v>3451.5639999999999</v>
      </c>
      <c r="BI58" s="17">
        <v>3276.4650000000001</v>
      </c>
      <c r="BJ58" s="17">
        <v>3076.0619999999999</v>
      </c>
      <c r="BK58" s="17">
        <v>2880.2890000000002</v>
      </c>
      <c r="BL58" s="17">
        <v>2681.415</v>
      </c>
      <c r="BM58" s="17">
        <v>2510.5079999999998</v>
      </c>
      <c r="BN58" s="17">
        <v>2385.5120000000002</v>
      </c>
      <c r="BO58" s="17">
        <v>2292.04</v>
      </c>
      <c r="BP58" s="17">
        <v>2197.511</v>
      </c>
      <c r="BQ58" s="17">
        <v>2108.1460000000002</v>
      </c>
      <c r="BR58" s="17">
        <v>2022.915</v>
      </c>
      <c r="BS58" s="17">
        <v>1937.9469999999999</v>
      </c>
      <c r="BT58" s="17">
        <v>1855.4110000000001</v>
      </c>
      <c r="BU58" s="17">
        <v>1778.9860000000001</v>
      </c>
      <c r="BV58" s="17">
        <v>1705.1010000000001</v>
      </c>
      <c r="BW58" s="17">
        <v>1642.885</v>
      </c>
      <c r="BX58" s="17">
        <v>1596.328</v>
      </c>
      <c r="BY58" s="17">
        <v>1558.8320000000001</v>
      </c>
      <c r="BZ58" s="17">
        <v>1520.828</v>
      </c>
      <c r="CA58" s="17">
        <v>1485.4559999999999</v>
      </c>
      <c r="CB58" s="17">
        <v>1435.55</v>
      </c>
      <c r="CC58" s="17">
        <v>1361.9780000000001</v>
      </c>
      <c r="CD58" s="17">
        <v>1272.529</v>
      </c>
      <c r="CE58" s="17">
        <v>1185.2619999999999</v>
      </c>
      <c r="CF58" s="17">
        <v>1097.933</v>
      </c>
      <c r="CG58" s="17">
        <v>1007.575</v>
      </c>
      <c r="CH58" s="17">
        <v>914.96600000000001</v>
      </c>
      <c r="CI58" s="17">
        <v>821.48800000000006</v>
      </c>
      <c r="CJ58" s="17">
        <v>726.49800000000005</v>
      </c>
      <c r="CK58" s="17">
        <v>636.34400000000005</v>
      </c>
      <c r="CL58" s="17">
        <v>552.78499999999997</v>
      </c>
      <c r="CM58" s="17">
        <v>469.52699999999999</v>
      </c>
      <c r="CN58" s="17">
        <v>387.10899999999998</v>
      </c>
      <c r="CO58" s="17">
        <v>305.36700000000002</v>
      </c>
      <c r="CP58" s="17">
        <v>243.965</v>
      </c>
      <c r="CQ58" s="17">
        <v>205.839</v>
      </c>
      <c r="CR58" s="17">
        <v>160.71600000000001</v>
      </c>
      <c r="CS58" s="17">
        <v>108.595</v>
      </c>
      <c r="CT58" s="17">
        <v>81.718000000000004</v>
      </c>
      <c r="CU58" s="17">
        <v>66.105999999999995</v>
      </c>
      <c r="CV58" s="17">
        <v>47.973999999999997</v>
      </c>
      <c r="CW58" s="17">
        <v>27.324000000000002</v>
      </c>
      <c r="CX58" s="17">
        <v>46.356999999999999</v>
      </c>
      <c r="CY58" s="3">
        <f t="shared" si="87"/>
        <v>297758.9769999999</v>
      </c>
      <c r="CZ58" s="21">
        <f t="shared" si="3"/>
        <v>222679.83299999993</v>
      </c>
      <c r="DA58">
        <f t="shared" si="4"/>
        <v>1.9413230833525915E-2</v>
      </c>
      <c r="DB58">
        <f t="shared" si="5"/>
        <v>1.9278948354519387E-2</v>
      </c>
      <c r="DC58">
        <f t="shared" si="6"/>
        <v>1.9123608737392942E-2</v>
      </c>
      <c r="DD58">
        <f t="shared" si="7"/>
        <v>1.8949821109305404E-2</v>
      </c>
      <c r="DE58">
        <f t="shared" si="8"/>
        <v>1.8770595180031418E-2</v>
      </c>
      <c r="DF58">
        <f t="shared" si="9"/>
        <v>1.856087704179301E-2</v>
      </c>
      <c r="DG58">
        <f t="shared" si="10"/>
        <v>1.8312915655904958E-2</v>
      </c>
      <c r="DH58">
        <f t="shared" si="11"/>
        <v>1.8050664695801175E-2</v>
      </c>
      <c r="DI58">
        <f t="shared" si="12"/>
        <v>1.7802137475107598E-2</v>
      </c>
      <c r="DJ58">
        <f t="shared" si="13"/>
        <v>1.7557306143659634E-2</v>
      </c>
      <c r="DK58">
        <f t="shared" si="14"/>
        <v>1.7395917483016977E-2</v>
      </c>
      <c r="DL58">
        <f t="shared" si="15"/>
        <v>1.7359174146677221E-2</v>
      </c>
      <c r="DM58">
        <f t="shared" si="16"/>
        <v>1.7413453871235843E-2</v>
      </c>
      <c r="DN58">
        <f t="shared" si="17"/>
        <v>1.7481511224233769E-2</v>
      </c>
      <c r="DO58">
        <f t="shared" si="18"/>
        <v>1.7575888877193479E-2</v>
      </c>
      <c r="DP58">
        <f t="shared" si="19"/>
        <v>1.7701517676277409E-2</v>
      </c>
      <c r="DQ58">
        <f t="shared" si="20"/>
        <v>1.7852159966367503E-2</v>
      </c>
      <c r="DR58">
        <f t="shared" si="21"/>
        <v>1.8027936997779236E-2</v>
      </c>
      <c r="DS58">
        <f t="shared" si="22"/>
        <v>1.8217258138504177E-2</v>
      </c>
      <c r="DT58">
        <f t="shared" si="23"/>
        <v>1.8400920931173868E-2</v>
      </c>
      <c r="DU58">
        <f t="shared" si="24"/>
        <v>1.8652780290166652E-2</v>
      </c>
      <c r="DV58">
        <f t="shared" si="25"/>
        <v>1.9001428836171261E-2</v>
      </c>
      <c r="DW58">
        <f t="shared" si="26"/>
        <v>1.9397912877004906E-2</v>
      </c>
      <c r="DX58">
        <f t="shared" si="27"/>
        <v>1.9764825313121199E-2</v>
      </c>
      <c r="DY58">
        <f t="shared" si="28"/>
        <v>2.011780743521575E-2</v>
      </c>
      <c r="DZ58">
        <f t="shared" si="29"/>
        <v>2.0364098261201773E-2</v>
      </c>
      <c r="EA58">
        <f t="shared" si="30"/>
        <v>2.044964260414189E-2</v>
      </c>
      <c r="EB58">
        <f t="shared" si="31"/>
        <v>2.0410689817609129E-2</v>
      </c>
      <c r="EC58">
        <f t="shared" si="32"/>
        <v>2.0346916642424467E-2</v>
      </c>
      <c r="ED58">
        <f t="shared" si="33"/>
        <v>2.0249561620607114E-2</v>
      </c>
      <c r="EE58">
        <f t="shared" si="34"/>
        <v>2.0054752780419058E-2</v>
      </c>
      <c r="EF58">
        <f t="shared" si="35"/>
        <v>1.9744244194758318E-2</v>
      </c>
      <c r="EG58">
        <f t="shared" si="36"/>
        <v>1.9345739315333513E-2</v>
      </c>
      <c r="EH58">
        <f t="shared" si="37"/>
        <v>1.8899493246880606E-2</v>
      </c>
      <c r="EI58">
        <f t="shared" si="38"/>
        <v>1.8390637108121066E-2</v>
      </c>
      <c r="EJ58">
        <f t="shared" si="39"/>
        <v>1.7894346094646126E-2</v>
      </c>
      <c r="EK58">
        <f t="shared" si="40"/>
        <v>1.7449959197697085E-2</v>
      </c>
      <c r="EL58">
        <f t="shared" si="41"/>
        <v>1.7021770444744323E-2</v>
      </c>
      <c r="EM58">
        <f t="shared" si="42"/>
        <v>1.655725150467488E-2</v>
      </c>
      <c r="EN58">
        <f t="shared" si="43"/>
        <v>1.6093913632493163E-2</v>
      </c>
      <c r="EO58">
        <f t="shared" si="44"/>
        <v>1.5500119402370852E-2</v>
      </c>
      <c r="EP58">
        <f t="shared" si="45"/>
        <v>1.4713793143539862E-2</v>
      </c>
      <c r="EQ58">
        <f t="shared" si="46"/>
        <v>1.3813832885351594E-2</v>
      </c>
      <c r="ER58">
        <f t="shared" si="47"/>
        <v>1.2934664810890176E-2</v>
      </c>
      <c r="ES58">
        <f t="shared" si="48"/>
        <v>1.2041570913159437E-2</v>
      </c>
      <c r="ET58">
        <f t="shared" si="49"/>
        <v>1.1274069888493228E-2</v>
      </c>
      <c r="EU58">
        <f t="shared" si="50"/>
        <v>1.071274379840226E-2</v>
      </c>
      <c r="EV58">
        <f t="shared" si="51"/>
        <v>1.0292984187750853E-2</v>
      </c>
      <c r="EW58">
        <f t="shared" si="52"/>
        <v>9.8684778517864283E-3</v>
      </c>
      <c r="EX58">
        <f t="shared" si="53"/>
        <v>9.4671617613436999E-3</v>
      </c>
      <c r="EY58">
        <f t="shared" si="54"/>
        <v>9.0844104414251146E-3</v>
      </c>
      <c r="EZ58">
        <f t="shared" si="55"/>
        <v>8.7028401893942519E-3</v>
      </c>
      <c r="FA58">
        <f t="shared" si="56"/>
        <v>8.3321914472605195E-3</v>
      </c>
      <c r="FB58">
        <f t="shared" si="57"/>
        <v>7.9889856931947695E-3</v>
      </c>
      <c r="FC58">
        <f t="shared" si="58"/>
        <v>7.6571864502880272E-3</v>
      </c>
      <c r="FD58">
        <f t="shared" si="59"/>
        <v>7.3777897974263368E-3</v>
      </c>
      <c r="FE58">
        <f t="shared" si="60"/>
        <v>7.1687138367846738E-3</v>
      </c>
      <c r="FF58">
        <f t="shared" si="61"/>
        <v>7.0003285838641733E-3</v>
      </c>
      <c r="FG58">
        <f t="shared" si="62"/>
        <v>6.8296620287118699E-3</v>
      </c>
      <c r="FH58">
        <f t="shared" si="63"/>
        <v>6.6708151339416547E-3</v>
      </c>
      <c r="FI58">
        <f t="shared" si="64"/>
        <v>6.4466996434293196E-3</v>
      </c>
      <c r="FJ58">
        <f t="shared" si="65"/>
        <v>6.1163060060315409E-3</v>
      </c>
      <c r="FK58">
        <f t="shared" si="66"/>
        <v>5.7146126923851267E-3</v>
      </c>
      <c r="FL58">
        <f t="shared" si="67"/>
        <v>5.3227182005296378E-3</v>
      </c>
      <c r="FM58">
        <f t="shared" si="68"/>
        <v>4.930545282023812E-3</v>
      </c>
      <c r="FN58">
        <f t="shared" si="69"/>
        <v>4.5247698744232505E-3</v>
      </c>
      <c r="FO58">
        <f t="shared" si="70"/>
        <v>4.1088857831144514E-3</v>
      </c>
      <c r="FP58">
        <f t="shared" si="71"/>
        <v>3.6890992279484973E-3</v>
      </c>
      <c r="FQ58">
        <f t="shared" si="72"/>
        <v>3.2625226551162372E-3</v>
      </c>
      <c r="FR58">
        <f t="shared" si="73"/>
        <v>2.8576633610103356E-3</v>
      </c>
      <c r="FS58">
        <f t="shared" si="74"/>
        <v>2.4824205791460249E-3</v>
      </c>
      <c r="FT58">
        <f t="shared" si="75"/>
        <v>2.1085295137615815E-3</v>
      </c>
      <c r="FU58">
        <f t="shared" si="76"/>
        <v>1.738410680413974E-3</v>
      </c>
      <c r="FV58">
        <f t="shared" si="77"/>
        <v>1.3713275957055353E-3</v>
      </c>
      <c r="FW58">
        <f t="shared" si="78"/>
        <v>1.0955864153176372E-3</v>
      </c>
      <c r="FX58">
        <f t="shared" si="79"/>
        <v>9.2437198836950842E-4</v>
      </c>
      <c r="FY58">
        <f t="shared" si="80"/>
        <v>7.2173576670501657E-4</v>
      </c>
      <c r="FZ58">
        <f t="shared" si="81"/>
        <v>4.8767325957173693E-4</v>
      </c>
      <c r="GA58">
        <f t="shared" si="82"/>
        <v>3.6697530665024357E-4</v>
      </c>
      <c r="GB58">
        <f t="shared" si="83"/>
        <v>2.9686567979418242E-4</v>
      </c>
      <c r="GC58">
        <f t="shared" si="84"/>
        <v>2.1543935682761183E-4</v>
      </c>
      <c r="GD58">
        <f t="shared" si="85"/>
        <v>1.2270531925538138E-4</v>
      </c>
      <c r="GE58">
        <f t="shared" si="86"/>
        <v>2.0817781015670158E-4</v>
      </c>
    </row>
    <row r="59" spans="1:187">
      <c r="A59" s="4">
        <v>2007</v>
      </c>
      <c r="B59" s="17">
        <v>4383.2070000000003</v>
      </c>
      <c r="C59" s="17">
        <v>4211.1890000000003</v>
      </c>
      <c r="D59" s="17">
        <v>4261.1809999999996</v>
      </c>
      <c r="E59" s="17">
        <v>4137.4639999999999</v>
      </c>
      <c r="F59" s="17">
        <v>4049.7130000000002</v>
      </c>
      <c r="G59" s="17">
        <v>3994.3580000000002</v>
      </c>
      <c r="H59" s="17">
        <v>3967.8240000000001</v>
      </c>
      <c r="I59" s="17">
        <v>3964.3470000000002</v>
      </c>
      <c r="J59" s="17">
        <v>3978.163</v>
      </c>
      <c r="K59" s="17">
        <v>4016.6570000000002</v>
      </c>
      <c r="L59" s="17">
        <v>4080.6410000000001</v>
      </c>
      <c r="M59" s="17">
        <v>4159.9660000000003</v>
      </c>
      <c r="N59" s="17">
        <v>4245.2860000000001</v>
      </c>
      <c r="O59" s="17">
        <v>4340.4059999999999</v>
      </c>
      <c r="P59" s="17">
        <v>4404.8639999999996</v>
      </c>
      <c r="Q59" s="17">
        <v>4418.1350000000002</v>
      </c>
      <c r="R59" s="17">
        <v>4396.59</v>
      </c>
      <c r="S59" s="17">
        <v>4378.1710000000003</v>
      </c>
      <c r="T59" s="17">
        <v>4356.5450000000001</v>
      </c>
      <c r="U59" s="17">
        <v>4328.7780000000002</v>
      </c>
      <c r="V59" s="17">
        <v>4297.6139999999996</v>
      </c>
      <c r="W59" s="17">
        <v>4262.97</v>
      </c>
      <c r="X59" s="17">
        <v>4224.2920000000004</v>
      </c>
      <c r="Y59" s="17">
        <v>4184.4229999999998</v>
      </c>
      <c r="Z59" s="17">
        <v>4138.835</v>
      </c>
      <c r="AA59" s="17">
        <v>4086.1170000000002</v>
      </c>
      <c r="AB59" s="17">
        <v>4031.0050000000001</v>
      </c>
      <c r="AC59" s="17">
        <v>3978.9349999999999</v>
      </c>
      <c r="AD59" s="17">
        <v>3927.9760000000001</v>
      </c>
      <c r="AE59" s="17">
        <v>3894.0740000000001</v>
      </c>
      <c r="AF59" s="17">
        <v>3885.4679999999998</v>
      </c>
      <c r="AG59" s="17">
        <v>3895.4920000000002</v>
      </c>
      <c r="AH59" s="17">
        <v>3908.7440000000001</v>
      </c>
      <c r="AI59" s="17">
        <v>3927.7040000000002</v>
      </c>
      <c r="AJ59" s="17">
        <v>3953.6390000000001</v>
      </c>
      <c r="AK59" s="17">
        <v>3985.4409999999998</v>
      </c>
      <c r="AL59" s="17">
        <v>4023.0129999999999</v>
      </c>
      <c r="AM59" s="17">
        <v>4063.4050000000002</v>
      </c>
      <c r="AN59" s="17">
        <v>4102.4579999999996</v>
      </c>
      <c r="AO59" s="17">
        <v>4156.7430000000004</v>
      </c>
      <c r="AP59" s="17">
        <v>4232.6639999999998</v>
      </c>
      <c r="AQ59" s="17">
        <v>4319.3580000000002</v>
      </c>
      <c r="AR59" s="17">
        <v>4399.46</v>
      </c>
      <c r="AS59" s="17">
        <v>4476.3329999999996</v>
      </c>
      <c r="AT59" s="17">
        <v>4530.1480000000001</v>
      </c>
      <c r="AU59" s="17">
        <v>4549.2150000000001</v>
      </c>
      <c r="AV59" s="17">
        <v>4541.1750000000002</v>
      </c>
      <c r="AW59" s="17">
        <v>4527.5079999999998</v>
      </c>
      <c r="AX59" s="17">
        <v>4506.4970000000003</v>
      </c>
      <c r="AY59" s="17">
        <v>4462.982</v>
      </c>
      <c r="AZ59" s="17">
        <v>4392.3900000000003</v>
      </c>
      <c r="BA59" s="17">
        <v>4301.3530000000001</v>
      </c>
      <c r="BB59" s="17">
        <v>4199.8339999999998</v>
      </c>
      <c r="BC59" s="17">
        <v>4084.35</v>
      </c>
      <c r="BD59" s="17">
        <v>3971.77</v>
      </c>
      <c r="BE59" s="17">
        <v>3871.027</v>
      </c>
      <c r="BF59" s="17">
        <v>3774.0949999999998</v>
      </c>
      <c r="BG59" s="17">
        <v>3668.931</v>
      </c>
      <c r="BH59" s="17">
        <v>3563.8380000000002</v>
      </c>
      <c r="BI59" s="17">
        <v>3430.192</v>
      </c>
      <c r="BJ59" s="17">
        <v>3254.4430000000002</v>
      </c>
      <c r="BK59" s="17">
        <v>3053.8130000000001</v>
      </c>
      <c r="BL59" s="17">
        <v>2857.69</v>
      </c>
      <c r="BM59" s="17">
        <v>2658.5329999999999</v>
      </c>
      <c r="BN59" s="17">
        <v>2486.5970000000002</v>
      </c>
      <c r="BO59" s="17">
        <v>2359.3980000000001</v>
      </c>
      <c r="BP59" s="17">
        <v>2262.9470000000001</v>
      </c>
      <c r="BQ59" s="17">
        <v>2165.4969999999998</v>
      </c>
      <c r="BR59" s="17">
        <v>2073.0929999999998</v>
      </c>
      <c r="BS59" s="17">
        <v>1984.9749999999999</v>
      </c>
      <c r="BT59" s="17">
        <v>1897.4860000000001</v>
      </c>
      <c r="BU59" s="17">
        <v>1812.644</v>
      </c>
      <c r="BV59" s="17">
        <v>1733.7809999999999</v>
      </c>
      <c r="BW59" s="17">
        <v>1657.42</v>
      </c>
      <c r="BX59" s="17">
        <v>1592.633</v>
      </c>
      <c r="BY59" s="17">
        <v>1543.357</v>
      </c>
      <c r="BZ59" s="17">
        <v>1503.0619999999999</v>
      </c>
      <c r="CA59" s="17">
        <v>1462.4659999999999</v>
      </c>
      <c r="CB59" s="17">
        <v>1424.8440000000001</v>
      </c>
      <c r="CC59" s="17">
        <v>1372.318</v>
      </c>
      <c r="CD59" s="17">
        <v>1295.4939999999999</v>
      </c>
      <c r="CE59" s="17">
        <v>1202.6030000000001</v>
      </c>
      <c r="CF59" s="17">
        <v>1112.402</v>
      </c>
      <c r="CG59" s="17">
        <v>1022.494</v>
      </c>
      <c r="CH59" s="17">
        <v>930.79499999999996</v>
      </c>
      <c r="CI59" s="17">
        <v>838.59</v>
      </c>
      <c r="CJ59" s="17">
        <v>746.90499999999997</v>
      </c>
      <c r="CK59" s="17">
        <v>651.98800000000006</v>
      </c>
      <c r="CL59" s="17">
        <v>565.84100000000001</v>
      </c>
      <c r="CM59" s="17">
        <v>490.32799999999997</v>
      </c>
      <c r="CN59" s="17">
        <v>411.38900000000001</v>
      </c>
      <c r="CO59" s="17">
        <v>329.42700000000002</v>
      </c>
      <c r="CP59" s="17">
        <v>255.751</v>
      </c>
      <c r="CQ59" s="17">
        <v>205.78200000000001</v>
      </c>
      <c r="CR59" s="17">
        <v>172.69200000000001</v>
      </c>
      <c r="CS59" s="17">
        <v>133.77199999999999</v>
      </c>
      <c r="CT59" s="17">
        <v>89.022000000000006</v>
      </c>
      <c r="CU59" s="17">
        <v>67.055999999999997</v>
      </c>
      <c r="CV59" s="17">
        <v>48.624000000000002</v>
      </c>
      <c r="CW59" s="17">
        <v>27.805</v>
      </c>
      <c r="CX59" s="17">
        <v>47.715000000000003</v>
      </c>
      <c r="CY59" s="3">
        <f t="shared" si="87"/>
        <v>300608.42499999993</v>
      </c>
      <c r="CZ59" s="21">
        <f t="shared" si="3"/>
        <v>225220.26300000004</v>
      </c>
      <c r="DA59">
        <f t="shared" si="4"/>
        <v>1.934348598109931E-2</v>
      </c>
      <c r="DB59">
        <f t="shared" si="5"/>
        <v>1.9220197784779246E-2</v>
      </c>
      <c r="DC59">
        <f t="shared" si="6"/>
        <v>1.9081826576146033E-2</v>
      </c>
      <c r="DD59">
        <f t="shared" si="7"/>
        <v>1.8928003827080157E-2</v>
      </c>
      <c r="DE59">
        <f t="shared" si="8"/>
        <v>1.8756269723386301E-2</v>
      </c>
      <c r="DF59">
        <f t="shared" si="9"/>
        <v>1.8579247463182295E-2</v>
      </c>
      <c r="DG59">
        <f t="shared" si="10"/>
        <v>1.8376832283514381E-2</v>
      </c>
      <c r="DH59">
        <f t="shared" si="11"/>
        <v>1.8142759206350806E-2</v>
      </c>
      <c r="DI59">
        <f t="shared" si="12"/>
        <v>1.7898056534993032E-2</v>
      </c>
      <c r="DJ59">
        <f t="shared" si="13"/>
        <v>1.7666860641220365E-2</v>
      </c>
      <c r="DK59">
        <f t="shared" si="14"/>
        <v>1.7440597696131807E-2</v>
      </c>
      <c r="DL59">
        <f t="shared" si="15"/>
        <v>1.7290069499652432E-2</v>
      </c>
      <c r="DM59">
        <f t="shared" si="16"/>
        <v>1.7251858017766363E-2</v>
      </c>
      <c r="DN59">
        <f t="shared" si="17"/>
        <v>1.7296365558368963E-2</v>
      </c>
      <c r="DO59">
        <f t="shared" si="18"/>
        <v>1.7355205734752202E-2</v>
      </c>
      <c r="DP59">
        <f t="shared" si="19"/>
        <v>1.7439389989523275E-2</v>
      </c>
      <c r="DQ59">
        <f t="shared" si="20"/>
        <v>1.7554543926627062E-2</v>
      </c>
      <c r="DR59">
        <f t="shared" si="21"/>
        <v>1.7695747917672928E-2</v>
      </c>
      <c r="DS59">
        <f t="shared" si="22"/>
        <v>1.7862571273171809E-2</v>
      </c>
      <c r="DT59">
        <f t="shared" si="23"/>
        <v>1.8041915704538537E-2</v>
      </c>
      <c r="DU59">
        <f t="shared" si="24"/>
        <v>1.8215314844916945E-2</v>
      </c>
      <c r="DV59">
        <f t="shared" si="25"/>
        <v>1.8456345555373052E-2</v>
      </c>
      <c r="DW59">
        <f t="shared" si="26"/>
        <v>1.8793442222381204E-2</v>
      </c>
      <c r="DX59">
        <f t="shared" si="27"/>
        <v>1.9178372063263241E-2</v>
      </c>
      <c r="DY59">
        <f t="shared" si="28"/>
        <v>1.953403277927972E-2</v>
      </c>
      <c r="DZ59">
        <f t="shared" si="29"/>
        <v>1.9875356419417727E-2</v>
      </c>
      <c r="EA59">
        <f t="shared" si="30"/>
        <v>2.0114300283895856E-2</v>
      </c>
      <c r="EB59">
        <f t="shared" si="31"/>
        <v>2.0198959629134254E-2</v>
      </c>
      <c r="EC59">
        <f t="shared" si="32"/>
        <v>2.0163261242617407E-2</v>
      </c>
      <c r="ED59">
        <f t="shared" si="33"/>
        <v>2.0102578425636591E-2</v>
      </c>
      <c r="EE59">
        <f t="shared" si="34"/>
        <v>2.0009287530225465E-2</v>
      </c>
      <c r="EF59">
        <f t="shared" si="35"/>
        <v>1.9816076673349767E-2</v>
      </c>
      <c r="EG59">
        <f t="shared" si="36"/>
        <v>1.9502641287653586E-2</v>
      </c>
      <c r="EH59">
        <f t="shared" si="37"/>
        <v>1.9098428101915498E-2</v>
      </c>
      <c r="EI59">
        <f t="shared" si="38"/>
        <v>1.8647673810770742E-2</v>
      </c>
      <c r="EJ59">
        <f t="shared" si="39"/>
        <v>1.8134913553493184E-2</v>
      </c>
      <c r="EK59">
        <f t="shared" si="40"/>
        <v>1.7635047340300813E-2</v>
      </c>
      <c r="EL59">
        <f t="shared" si="41"/>
        <v>1.7187738565068628E-2</v>
      </c>
      <c r="EM59">
        <f t="shared" si="42"/>
        <v>1.6757351002649346E-2</v>
      </c>
      <c r="EN59">
        <f t="shared" si="43"/>
        <v>1.6290412554930724E-2</v>
      </c>
      <c r="EO59">
        <f t="shared" si="44"/>
        <v>1.5823789354157711E-2</v>
      </c>
      <c r="EP59">
        <f t="shared" si="45"/>
        <v>1.5230388040173808E-2</v>
      </c>
      <c r="EQ59">
        <f t="shared" si="46"/>
        <v>1.4450045287443784E-2</v>
      </c>
      <c r="ER59">
        <f t="shared" si="47"/>
        <v>1.3559228460718029E-2</v>
      </c>
      <c r="ES59">
        <f t="shared" si="48"/>
        <v>1.2688423154891706E-2</v>
      </c>
      <c r="ET59">
        <f t="shared" si="49"/>
        <v>1.1804146592262879E-2</v>
      </c>
      <c r="EU59">
        <f t="shared" si="50"/>
        <v>1.1040733932541406E-2</v>
      </c>
      <c r="EV59">
        <f t="shared" si="51"/>
        <v>1.0475957929238364E-2</v>
      </c>
      <c r="EW59">
        <f t="shared" si="52"/>
        <v>1.0047706053873135E-2</v>
      </c>
      <c r="EX59">
        <f t="shared" si="53"/>
        <v>9.6150185207802535E-3</v>
      </c>
      <c r="EY59">
        <f t="shared" si="54"/>
        <v>9.2047357213147357E-3</v>
      </c>
      <c r="EZ59">
        <f t="shared" si="55"/>
        <v>8.8134831811292197E-3</v>
      </c>
      <c r="FA59">
        <f t="shared" si="56"/>
        <v>8.425023462475931E-3</v>
      </c>
      <c r="FB59">
        <f t="shared" si="57"/>
        <v>8.0483166827666815E-3</v>
      </c>
      <c r="FC59">
        <f t="shared" si="58"/>
        <v>7.6981572479559697E-3</v>
      </c>
      <c r="FD59">
        <f t="shared" si="59"/>
        <v>7.3591069379046054E-3</v>
      </c>
      <c r="FE59">
        <f t="shared" si="60"/>
        <v>7.0714463200853284E-3</v>
      </c>
      <c r="FF59">
        <f t="shared" si="61"/>
        <v>6.8526560596370483E-3</v>
      </c>
      <c r="FG59">
        <f t="shared" si="62"/>
        <v>6.6737423177593916E-3</v>
      </c>
      <c r="FH59">
        <f t="shared" si="63"/>
        <v>6.4934921064362652E-3</v>
      </c>
      <c r="FI59">
        <f t="shared" si="64"/>
        <v>6.3264467460461132E-3</v>
      </c>
      <c r="FJ59">
        <f t="shared" si="65"/>
        <v>6.0932261676650279E-3</v>
      </c>
      <c r="FK59">
        <f t="shared" si="66"/>
        <v>5.7521200923204667E-3</v>
      </c>
      <c r="FL59">
        <f t="shared" si="67"/>
        <v>5.3396749652139417E-3</v>
      </c>
      <c r="FM59">
        <f t="shared" si="68"/>
        <v>4.9391737012579543E-3</v>
      </c>
      <c r="FN59">
        <f t="shared" si="69"/>
        <v>4.5399733859648314E-3</v>
      </c>
      <c r="FO59">
        <f t="shared" si="70"/>
        <v>4.1328208554662765E-3</v>
      </c>
      <c r="FP59">
        <f t="shared" si="71"/>
        <v>3.7234216354680304E-3</v>
      </c>
      <c r="FQ59">
        <f t="shared" si="72"/>
        <v>3.316331266339032E-3</v>
      </c>
      <c r="FR59">
        <f t="shared" si="73"/>
        <v>2.894890501038088E-3</v>
      </c>
      <c r="FS59">
        <f t="shared" si="74"/>
        <v>2.5123893936665901E-3</v>
      </c>
      <c r="FT59">
        <f t="shared" si="75"/>
        <v>2.1771042865712303E-3</v>
      </c>
      <c r="FU59">
        <f t="shared" si="76"/>
        <v>1.8266074043257819E-3</v>
      </c>
      <c r="FV59">
        <f t="shared" si="77"/>
        <v>1.4626881063539118E-3</v>
      </c>
      <c r="FW59">
        <f t="shared" si="78"/>
        <v>1.1355594589639564E-3</v>
      </c>
      <c r="FX59">
        <f t="shared" si="79"/>
        <v>9.1369221072262036E-4</v>
      </c>
      <c r="FY59">
        <f t="shared" si="80"/>
        <v>7.6676937367753622E-4</v>
      </c>
      <c r="FZ59">
        <f t="shared" si="81"/>
        <v>5.9396076630991227E-4</v>
      </c>
      <c r="GA59">
        <f t="shared" si="82"/>
        <v>3.952663886197486E-4</v>
      </c>
      <c r="GB59">
        <f t="shared" si="83"/>
        <v>2.9773519978528747E-4</v>
      </c>
      <c r="GC59">
        <f t="shared" si="84"/>
        <v>2.1589531666606746E-4</v>
      </c>
      <c r="GD59">
        <f t="shared" si="85"/>
        <v>1.2345692003743017E-4</v>
      </c>
      <c r="GE59">
        <f t="shared" si="86"/>
        <v>2.1185926774270749E-4</v>
      </c>
    </row>
    <row r="60" spans="1:187">
      <c r="A60" s="4">
        <v>2008</v>
      </c>
      <c r="B60" s="17">
        <v>4344.2269999999999</v>
      </c>
      <c r="C60" s="17">
        <v>4223.2330000000002</v>
      </c>
      <c r="D60" s="17">
        <v>4131.902</v>
      </c>
      <c r="E60" s="17">
        <v>4223.1059999999998</v>
      </c>
      <c r="F60" s="17">
        <v>4137.4269999999997</v>
      </c>
      <c r="G60" s="17">
        <v>4076.6819999999998</v>
      </c>
      <c r="H60" s="17">
        <v>4038.8069999999998</v>
      </c>
      <c r="I60" s="17">
        <v>4021.7359999999999</v>
      </c>
      <c r="J60" s="17">
        <v>4020.114</v>
      </c>
      <c r="K60" s="17">
        <v>4028.5859999999998</v>
      </c>
      <c r="L60" s="17">
        <v>4061.5340000000001</v>
      </c>
      <c r="M60" s="17">
        <v>4123.4709999999995</v>
      </c>
      <c r="N60" s="17">
        <v>4202.4639999999999</v>
      </c>
      <c r="O60" s="17">
        <v>4283.8090000000002</v>
      </c>
      <c r="P60" s="17">
        <v>4372.5420000000004</v>
      </c>
      <c r="Q60" s="17">
        <v>4431.0969999999998</v>
      </c>
      <c r="R60" s="17">
        <v>4439.92</v>
      </c>
      <c r="S60" s="17">
        <v>4414.9570000000003</v>
      </c>
      <c r="T60" s="17">
        <v>4392.7030000000004</v>
      </c>
      <c r="U60" s="17">
        <v>4367.0559999999996</v>
      </c>
      <c r="V60" s="17">
        <v>4336.3950000000004</v>
      </c>
      <c r="W60" s="17">
        <v>4303.9560000000001</v>
      </c>
      <c r="X60" s="17">
        <v>4269.2430000000004</v>
      </c>
      <c r="Y60" s="17">
        <v>4230.5709999999999</v>
      </c>
      <c r="Z60" s="17">
        <v>4190.7269999999999</v>
      </c>
      <c r="AA60" s="17">
        <v>4146.232</v>
      </c>
      <c r="AB60" s="17">
        <v>4095.9940000000001</v>
      </c>
      <c r="AC60" s="17">
        <v>4044.1460000000002</v>
      </c>
      <c r="AD60" s="17">
        <v>3995.3270000000002</v>
      </c>
      <c r="AE60" s="17">
        <v>3947.9079999999999</v>
      </c>
      <c r="AF60" s="17">
        <v>3916.029</v>
      </c>
      <c r="AG60" s="17">
        <v>3906.9949999999999</v>
      </c>
      <c r="AH60" s="17">
        <v>3914.96</v>
      </c>
      <c r="AI60" s="17">
        <v>3926.3139999999999</v>
      </c>
      <c r="AJ60" s="17">
        <v>3943.2240000000002</v>
      </c>
      <c r="AK60" s="17">
        <v>3967.1280000000002</v>
      </c>
      <c r="AL60" s="17">
        <v>3997.1990000000001</v>
      </c>
      <c r="AM60" s="17">
        <v>4033.2150000000001</v>
      </c>
      <c r="AN60" s="17">
        <v>4071.855</v>
      </c>
      <c r="AO60" s="17">
        <v>4109.0810000000001</v>
      </c>
      <c r="AP60" s="17">
        <v>4161.5870000000004</v>
      </c>
      <c r="AQ60" s="17">
        <v>4235.8230000000003</v>
      </c>
      <c r="AR60" s="17">
        <v>4320.9539999999997</v>
      </c>
      <c r="AS60" s="17">
        <v>4399.4859999999999</v>
      </c>
      <c r="AT60" s="17">
        <v>4474.6629999999996</v>
      </c>
      <c r="AU60" s="17">
        <v>4527.4690000000001</v>
      </c>
      <c r="AV60" s="17">
        <v>4546.5619999999999</v>
      </c>
      <c r="AW60" s="17">
        <v>4539.1509999999998</v>
      </c>
      <c r="AX60" s="17">
        <v>4526.0129999999999</v>
      </c>
      <c r="AY60" s="17">
        <v>4505.6620000000003</v>
      </c>
      <c r="AZ60" s="17">
        <v>4461.9939999999997</v>
      </c>
      <c r="BA60" s="17">
        <v>4389.9229999999998</v>
      </c>
      <c r="BB60" s="17">
        <v>4296.549</v>
      </c>
      <c r="BC60" s="17">
        <v>4192.8379999999997</v>
      </c>
      <c r="BD60" s="17">
        <v>4075.134</v>
      </c>
      <c r="BE60" s="17">
        <v>3960.44</v>
      </c>
      <c r="BF60" s="17">
        <v>3857.8679999999999</v>
      </c>
      <c r="BG60" s="17">
        <v>3759.3139999999999</v>
      </c>
      <c r="BH60" s="17">
        <v>3652.38</v>
      </c>
      <c r="BI60" s="17">
        <v>3545.326</v>
      </c>
      <c r="BJ60" s="17">
        <v>3410.2049999999999</v>
      </c>
      <c r="BK60" s="17">
        <v>3233.7339999999999</v>
      </c>
      <c r="BL60" s="17">
        <v>3032.7930000000001</v>
      </c>
      <c r="BM60" s="17">
        <v>2836.239</v>
      </c>
      <c r="BN60" s="17">
        <v>2636.7159999999999</v>
      </c>
      <c r="BO60" s="17">
        <v>2463.683</v>
      </c>
      <c r="BP60" s="17">
        <v>2334.2260000000001</v>
      </c>
      <c r="BQ60" s="17">
        <v>2234.7570000000001</v>
      </c>
      <c r="BR60" s="17">
        <v>2134.3420000000001</v>
      </c>
      <c r="BS60" s="17">
        <v>2038.8630000000001</v>
      </c>
      <c r="BT60" s="17">
        <v>1947.819</v>
      </c>
      <c r="BU60" s="17">
        <v>1857.7729999999999</v>
      </c>
      <c r="BV60" s="17">
        <v>1770.588</v>
      </c>
      <c r="BW60" s="17">
        <v>1689.2529999999999</v>
      </c>
      <c r="BX60" s="17">
        <v>1610.3810000000001</v>
      </c>
      <c r="BY60" s="17">
        <v>1542.9949999999999</v>
      </c>
      <c r="BZ60" s="17">
        <v>1490.9780000000001</v>
      </c>
      <c r="CA60" s="17">
        <v>1447.865</v>
      </c>
      <c r="CB60" s="17">
        <v>1404.6590000000001</v>
      </c>
      <c r="CC60" s="17">
        <v>1364.769</v>
      </c>
      <c r="CD60" s="17">
        <v>1309.5999999999999</v>
      </c>
      <c r="CE60" s="17">
        <v>1229.49</v>
      </c>
      <c r="CF60" s="17">
        <v>1133.1179999999999</v>
      </c>
      <c r="CG60" s="17">
        <v>1039.944</v>
      </c>
      <c r="CH60" s="17">
        <v>947.41899999999998</v>
      </c>
      <c r="CI60" s="17">
        <v>854.34100000000001</v>
      </c>
      <c r="CJ60" s="17">
        <v>762.50199999999995</v>
      </c>
      <c r="CK60" s="17">
        <v>672.572</v>
      </c>
      <c r="CL60" s="17">
        <v>577.69200000000001</v>
      </c>
      <c r="CM60" s="17">
        <v>495.51799999999997</v>
      </c>
      <c r="CN60" s="17">
        <v>428.02600000000001</v>
      </c>
      <c r="CO60" s="17">
        <v>353.37599999999998</v>
      </c>
      <c r="CP60" s="17">
        <v>271.839</v>
      </c>
      <c r="CQ60" s="17">
        <v>206.20500000000001</v>
      </c>
      <c r="CR60" s="17">
        <v>167.65600000000001</v>
      </c>
      <c r="CS60" s="17">
        <v>139.59100000000001</v>
      </c>
      <c r="CT60" s="17">
        <v>106.863</v>
      </c>
      <c r="CU60" s="17">
        <v>69.472999999999999</v>
      </c>
      <c r="CV60" s="17">
        <v>49.546999999999997</v>
      </c>
      <c r="CW60" s="17">
        <v>28.411000000000001</v>
      </c>
      <c r="CX60" s="17">
        <v>49.192999999999998</v>
      </c>
      <c r="CY60" s="3">
        <f t="shared" si="87"/>
        <v>303486.02200000011</v>
      </c>
      <c r="CZ60" s="21">
        <f t="shared" si="3"/>
        <v>227910.40799999991</v>
      </c>
      <c r="DA60">
        <f t="shared" si="4"/>
        <v>1.9273814822884271E-2</v>
      </c>
      <c r="DB60">
        <f t="shared" si="5"/>
        <v>1.9161283761994764E-2</v>
      </c>
      <c r="DC60">
        <f t="shared" si="6"/>
        <v>1.902675282824294E-2</v>
      </c>
      <c r="DD60">
        <f t="shared" si="7"/>
        <v>1.8884420583372401E-2</v>
      </c>
      <c r="DE60">
        <f t="shared" si="8"/>
        <v>1.8732110733617757E-2</v>
      </c>
      <c r="DF60">
        <f t="shared" si="9"/>
        <v>1.8562430022941303E-2</v>
      </c>
      <c r="DG60">
        <f t="shared" si="10"/>
        <v>1.8387606940706288E-2</v>
      </c>
      <c r="DH60">
        <f t="shared" si="11"/>
        <v>1.8192376716731611E-2</v>
      </c>
      <c r="DI60">
        <f t="shared" si="12"/>
        <v>1.7971947994582158E-2</v>
      </c>
      <c r="DJ60">
        <f t="shared" si="13"/>
        <v>1.7744455093073246E-2</v>
      </c>
      <c r="DK60">
        <f t="shared" si="14"/>
        <v>1.7530252501676016E-2</v>
      </c>
      <c r="DL60">
        <f t="shared" si="15"/>
        <v>1.7322192674939188E-2</v>
      </c>
      <c r="DM60">
        <f t="shared" si="16"/>
        <v>1.7182317535932811E-2</v>
      </c>
      <c r="DN60">
        <f t="shared" si="17"/>
        <v>1.7142679153117051E-2</v>
      </c>
      <c r="DO60">
        <f t="shared" si="18"/>
        <v>1.7177627096345689E-2</v>
      </c>
      <c r="DP60">
        <f t="shared" si="19"/>
        <v>1.7227444917741544E-2</v>
      </c>
      <c r="DQ60">
        <f t="shared" si="20"/>
        <v>1.7301640739461104E-2</v>
      </c>
      <c r="DR60">
        <f t="shared" si="21"/>
        <v>1.7406524058348409E-2</v>
      </c>
      <c r="DS60">
        <f t="shared" si="22"/>
        <v>1.753846625556478E-2</v>
      </c>
      <c r="DT60">
        <f t="shared" si="23"/>
        <v>1.7696493264142642E-2</v>
      </c>
      <c r="DU60">
        <f t="shared" si="24"/>
        <v>1.7866033568769715E-2</v>
      </c>
      <c r="DV60">
        <f t="shared" si="25"/>
        <v>1.8029369681089782E-2</v>
      </c>
      <c r="DW60">
        <f t="shared" si="26"/>
        <v>1.8259749681989082E-2</v>
      </c>
      <c r="DX60">
        <f t="shared" si="27"/>
        <v>1.8585474165795896E-2</v>
      </c>
      <c r="DY60">
        <f t="shared" si="28"/>
        <v>1.8959002521727754E-2</v>
      </c>
      <c r="DZ60">
        <f t="shared" si="29"/>
        <v>1.9303576517663915E-2</v>
      </c>
      <c r="EA60">
        <f t="shared" si="30"/>
        <v>1.9633429816860323E-2</v>
      </c>
      <c r="EB60">
        <f t="shared" si="31"/>
        <v>1.9865126124472568E-2</v>
      </c>
      <c r="EC60">
        <f t="shared" si="32"/>
        <v>1.9948900271373311E-2</v>
      </c>
      <c r="ED60">
        <f t="shared" si="33"/>
        <v>1.9916383107874573E-2</v>
      </c>
      <c r="EE60">
        <f t="shared" si="34"/>
        <v>1.9858737649225751E-2</v>
      </c>
      <c r="EF60">
        <f t="shared" si="35"/>
        <v>1.9769443789508737E-2</v>
      </c>
      <c r="EG60">
        <f t="shared" si="36"/>
        <v>1.9577842184372737E-2</v>
      </c>
      <c r="EH60">
        <f t="shared" si="37"/>
        <v>1.9261617047344332E-2</v>
      </c>
      <c r="EI60">
        <f t="shared" si="38"/>
        <v>1.8851920970629835E-2</v>
      </c>
      <c r="EJ60">
        <f t="shared" si="39"/>
        <v>1.8396869352276361E-2</v>
      </c>
      <c r="EK60">
        <f t="shared" si="40"/>
        <v>1.7880420801142181E-2</v>
      </c>
      <c r="EL60">
        <f t="shared" si="41"/>
        <v>1.7377179194027863E-2</v>
      </c>
      <c r="EM60">
        <f t="shared" si="42"/>
        <v>1.6927125153494531E-2</v>
      </c>
      <c r="EN60">
        <f t="shared" si="43"/>
        <v>1.6494700847536552E-2</v>
      </c>
      <c r="EO60">
        <f t="shared" si="44"/>
        <v>1.6025507707397028E-2</v>
      </c>
      <c r="EP60">
        <f t="shared" si="45"/>
        <v>1.5555788044572328E-2</v>
      </c>
      <c r="EQ60">
        <f t="shared" si="46"/>
        <v>1.4962919113373713E-2</v>
      </c>
      <c r="ER60">
        <f t="shared" si="47"/>
        <v>1.418861924024111E-2</v>
      </c>
      <c r="ES60">
        <f t="shared" si="48"/>
        <v>1.330695261622278E-2</v>
      </c>
      <c r="ET60">
        <f t="shared" si="49"/>
        <v>1.2444534784036721E-2</v>
      </c>
      <c r="EU60">
        <f t="shared" si="50"/>
        <v>1.1569089903081569E-2</v>
      </c>
      <c r="EV60">
        <f t="shared" si="51"/>
        <v>1.0809874904879294E-2</v>
      </c>
      <c r="EW60">
        <f t="shared" si="52"/>
        <v>1.0241857844421045E-2</v>
      </c>
      <c r="EX60">
        <f t="shared" si="53"/>
        <v>9.8054188029885886E-3</v>
      </c>
      <c r="EY60">
        <f t="shared" si="54"/>
        <v>9.3648290077213182E-3</v>
      </c>
      <c r="EZ60">
        <f t="shared" si="55"/>
        <v>8.9458968455710056E-3</v>
      </c>
      <c r="FA60">
        <f t="shared" si="56"/>
        <v>8.5464240843270336E-3</v>
      </c>
      <c r="FB60">
        <f t="shared" si="57"/>
        <v>8.1513302367481194E-3</v>
      </c>
      <c r="FC60">
        <f t="shared" si="58"/>
        <v>7.7687895675216407E-3</v>
      </c>
      <c r="FD60">
        <f t="shared" si="59"/>
        <v>7.4119168791975509E-3</v>
      </c>
      <c r="FE60">
        <f t="shared" si="60"/>
        <v>7.0658510689867258E-3</v>
      </c>
      <c r="FF60">
        <f t="shared" si="61"/>
        <v>6.7701822551254464E-3</v>
      </c>
      <c r="FG60">
        <f t="shared" si="62"/>
        <v>6.5419478341682434E-3</v>
      </c>
      <c r="FH60">
        <f t="shared" si="63"/>
        <v>6.3527813964511905E-3</v>
      </c>
      <c r="FI60">
        <f t="shared" si="64"/>
        <v>6.1632069036531264E-3</v>
      </c>
      <c r="FJ60">
        <f t="shared" si="65"/>
        <v>5.988181987722125E-3</v>
      </c>
      <c r="FK60">
        <f t="shared" si="66"/>
        <v>5.7461175709009327E-3</v>
      </c>
      <c r="FL60">
        <f t="shared" si="67"/>
        <v>5.3946198016546947E-3</v>
      </c>
      <c r="FM60">
        <f t="shared" si="68"/>
        <v>4.9717694331888537E-3</v>
      </c>
      <c r="FN60">
        <f t="shared" si="69"/>
        <v>4.5629508942829867E-3</v>
      </c>
      <c r="FO60">
        <f t="shared" si="70"/>
        <v>4.15697996556612E-3</v>
      </c>
      <c r="FP60">
        <f t="shared" si="71"/>
        <v>3.7485826448083949E-3</v>
      </c>
      <c r="FQ60">
        <f t="shared" si="72"/>
        <v>3.3456216707751243E-3</v>
      </c>
      <c r="FR60">
        <f t="shared" si="73"/>
        <v>2.9510367951252154E-3</v>
      </c>
      <c r="FS60">
        <f t="shared" si="74"/>
        <v>2.5347328587117454E-3</v>
      </c>
      <c r="FT60">
        <f t="shared" si="75"/>
        <v>2.1741788992804584E-3</v>
      </c>
      <c r="FU60">
        <f t="shared" si="76"/>
        <v>1.8780449903806069E-3</v>
      </c>
      <c r="FV60">
        <f t="shared" si="77"/>
        <v>1.5505040033099327E-3</v>
      </c>
      <c r="FW60">
        <f t="shared" si="78"/>
        <v>1.1927450017991284E-3</v>
      </c>
      <c r="FX60">
        <f t="shared" si="79"/>
        <v>9.0476341914143775E-4</v>
      </c>
      <c r="FY60">
        <f t="shared" si="80"/>
        <v>7.3562239421729294E-4</v>
      </c>
      <c r="FZ60">
        <f t="shared" si="81"/>
        <v>6.1248190122146617E-4</v>
      </c>
      <c r="GA60">
        <f t="shared" si="82"/>
        <v>4.6888161421746057E-4</v>
      </c>
      <c r="GB60">
        <f t="shared" si="83"/>
        <v>3.0482592089431924E-4</v>
      </c>
      <c r="GC60">
        <f t="shared" si="84"/>
        <v>2.1739682902063875E-4</v>
      </c>
      <c r="GD60">
        <f t="shared" si="85"/>
        <v>1.2465863340475444E-4</v>
      </c>
      <c r="GE60">
        <f t="shared" si="86"/>
        <v>2.1584358709936588E-4</v>
      </c>
    </row>
    <row r="61" spans="1:187">
      <c r="A61" s="4">
        <v>2009</v>
      </c>
      <c r="B61" s="17">
        <v>4279.509</v>
      </c>
      <c r="C61" s="17">
        <v>4216.5439999999999</v>
      </c>
      <c r="D61" s="17">
        <v>4166.3180000000002</v>
      </c>
      <c r="E61" s="17">
        <v>4128.0929999999998</v>
      </c>
      <c r="F61" s="17">
        <v>4184.165</v>
      </c>
      <c r="G61" s="17">
        <v>4136.5720000000001</v>
      </c>
      <c r="H61" s="17">
        <v>4102.8680000000004</v>
      </c>
      <c r="I61" s="17">
        <v>4082.4949999999999</v>
      </c>
      <c r="J61" s="17">
        <v>4074.8989999999999</v>
      </c>
      <c r="K61" s="17">
        <v>4075.1329999999998</v>
      </c>
      <c r="L61" s="17">
        <v>4078.2550000000001</v>
      </c>
      <c r="M61" s="17">
        <v>4105.6450000000004</v>
      </c>
      <c r="N61" s="17">
        <v>4165.5219999999999</v>
      </c>
      <c r="O61" s="17">
        <v>4244.1679999999997</v>
      </c>
      <c r="P61" s="17">
        <v>4321.5190000000002</v>
      </c>
      <c r="Q61" s="17">
        <v>4403.8410000000003</v>
      </c>
      <c r="R61" s="17">
        <v>4456.4780000000001</v>
      </c>
      <c r="S61" s="17">
        <v>4460.848</v>
      </c>
      <c r="T61" s="17">
        <v>4432.4679999999998</v>
      </c>
      <c r="U61" s="17">
        <v>4406.38</v>
      </c>
      <c r="V61" s="17">
        <v>4376.7139999999999</v>
      </c>
      <c r="W61" s="17">
        <v>4343.1620000000003</v>
      </c>
      <c r="X61" s="17">
        <v>4309.451</v>
      </c>
      <c r="Y61" s="17">
        <v>4274.6779999999999</v>
      </c>
      <c r="Z61" s="17">
        <v>4236.018</v>
      </c>
      <c r="AA61" s="17">
        <v>4196.2070000000003</v>
      </c>
      <c r="AB61" s="17">
        <v>4152.8140000000003</v>
      </c>
      <c r="AC61" s="17">
        <v>4105.0659999999998</v>
      </c>
      <c r="AD61" s="17">
        <v>4056.4940000000001</v>
      </c>
      <c r="AE61" s="17">
        <v>4010.9380000000001</v>
      </c>
      <c r="AF61" s="17">
        <v>3967.0709999999999</v>
      </c>
      <c r="AG61" s="17">
        <v>3937.223</v>
      </c>
      <c r="AH61" s="17">
        <v>3927.7620000000002</v>
      </c>
      <c r="AI61" s="17">
        <v>3933.663</v>
      </c>
      <c r="AJ61" s="17">
        <v>3943.1170000000002</v>
      </c>
      <c r="AK61" s="17">
        <v>3957.97</v>
      </c>
      <c r="AL61" s="17">
        <v>3979.8380000000002</v>
      </c>
      <c r="AM61" s="17">
        <v>4008.1709999999998</v>
      </c>
      <c r="AN61" s="17">
        <v>4042.623</v>
      </c>
      <c r="AO61" s="17">
        <v>4079.5059999999999</v>
      </c>
      <c r="AP61" s="17">
        <v>4114.893</v>
      </c>
      <c r="AQ61" s="17">
        <v>4165.6099999999997</v>
      </c>
      <c r="AR61" s="17">
        <v>4238.1450000000004</v>
      </c>
      <c r="AS61" s="17">
        <v>4321.6959999999999</v>
      </c>
      <c r="AT61" s="17">
        <v>4398.6400000000003</v>
      </c>
      <c r="AU61" s="17">
        <v>4472.1019999999999</v>
      </c>
      <c r="AV61" s="17">
        <v>4523.8879999999999</v>
      </c>
      <c r="AW61" s="17">
        <v>4543.0029999999997</v>
      </c>
      <c r="AX61" s="17">
        <v>4536.223</v>
      </c>
      <c r="AY61" s="17">
        <v>4523.616</v>
      </c>
      <c r="AZ61" s="17">
        <v>4503.9279999999999</v>
      </c>
      <c r="BA61" s="17">
        <v>4460.1139999999996</v>
      </c>
      <c r="BB61" s="17">
        <v>4386.5789999999997</v>
      </c>
      <c r="BC61" s="17">
        <v>4290.8850000000002</v>
      </c>
      <c r="BD61" s="17">
        <v>4184.9979999999996</v>
      </c>
      <c r="BE61" s="17">
        <v>4065.0940000000001</v>
      </c>
      <c r="BF61" s="17">
        <v>3948.308</v>
      </c>
      <c r="BG61" s="17">
        <v>3843.9250000000002</v>
      </c>
      <c r="BH61" s="17">
        <v>3743.7649999999999</v>
      </c>
      <c r="BI61" s="17">
        <v>3635.0810000000001</v>
      </c>
      <c r="BJ61" s="17">
        <v>3526.0839999999998</v>
      </c>
      <c r="BK61" s="17">
        <v>3389.5149999999999</v>
      </c>
      <c r="BL61" s="17">
        <v>3212.3539999999998</v>
      </c>
      <c r="BM61" s="17">
        <v>3011.145</v>
      </c>
      <c r="BN61" s="17">
        <v>2814.1970000000001</v>
      </c>
      <c r="BO61" s="17">
        <v>2614.3470000000002</v>
      </c>
      <c r="BP61" s="17">
        <v>2440.2489999999998</v>
      </c>
      <c r="BQ61" s="17">
        <v>2308.56</v>
      </c>
      <c r="BR61" s="17">
        <v>2206.09</v>
      </c>
      <c r="BS61" s="17">
        <v>2102.73</v>
      </c>
      <c r="BT61" s="17">
        <v>2004.19</v>
      </c>
      <c r="BU61" s="17">
        <v>1910.24</v>
      </c>
      <c r="BV61" s="17">
        <v>1817.6489999999999</v>
      </c>
      <c r="BW61" s="17">
        <v>1728.136</v>
      </c>
      <c r="BX61" s="17">
        <v>1644.3420000000001</v>
      </c>
      <c r="BY61" s="17">
        <v>1562.973</v>
      </c>
      <c r="BZ61" s="17">
        <v>1493</v>
      </c>
      <c r="CA61" s="17">
        <v>1438.248</v>
      </c>
      <c r="CB61" s="17">
        <v>1392.3230000000001</v>
      </c>
      <c r="CC61" s="17">
        <v>1346.511</v>
      </c>
      <c r="CD61" s="17">
        <v>1304.3599999999999</v>
      </c>
      <c r="CE61" s="17">
        <v>1246.556</v>
      </c>
      <c r="CF61" s="17">
        <v>1163.172</v>
      </c>
      <c r="CG61" s="17">
        <v>1063.336</v>
      </c>
      <c r="CH61" s="17">
        <v>967.20500000000004</v>
      </c>
      <c r="CI61" s="17">
        <v>872.07899999999995</v>
      </c>
      <c r="CJ61" s="17">
        <v>777.63900000000001</v>
      </c>
      <c r="CK61" s="17">
        <v>686.18700000000001</v>
      </c>
      <c r="CL61" s="17">
        <v>598.03300000000002</v>
      </c>
      <c r="CM61" s="17">
        <v>503.20699999999999</v>
      </c>
      <c r="CN61" s="17">
        <v>425.02800000000002</v>
      </c>
      <c r="CO61" s="17">
        <v>365.57799999999997</v>
      </c>
      <c r="CP61" s="17">
        <v>295.23700000000002</v>
      </c>
      <c r="CQ61" s="17">
        <v>214.142</v>
      </c>
      <c r="CR61" s="17">
        <v>156.571</v>
      </c>
      <c r="CS61" s="17">
        <v>129.459</v>
      </c>
      <c r="CT61" s="17">
        <v>106.43</v>
      </c>
      <c r="CU61" s="17">
        <v>79.906999999999996</v>
      </c>
      <c r="CV61" s="17">
        <v>49.889000000000003</v>
      </c>
      <c r="CW61" s="17">
        <v>29.216000000000001</v>
      </c>
      <c r="CX61" s="17">
        <v>50.752000000000002</v>
      </c>
      <c r="CY61" s="3">
        <f t="shared" si="87"/>
        <v>306307.565</v>
      </c>
      <c r="CZ61" s="21">
        <f t="shared" si="3"/>
        <v>230624.69299999994</v>
      </c>
      <c r="DA61">
        <f t="shared" si="4"/>
        <v>1.9219399025931717E-2</v>
      </c>
      <c r="DB61">
        <f t="shared" si="5"/>
        <v>1.9106280176164836E-2</v>
      </c>
      <c r="DC61">
        <f t="shared" si="6"/>
        <v>1.8977646942602115E-2</v>
      </c>
      <c r="DD61">
        <f t="shared" si="7"/>
        <v>1.8832163822110764E-2</v>
      </c>
      <c r="DE61">
        <f t="shared" si="8"/>
        <v>1.8685991269807353E-2</v>
      </c>
      <c r="DF61">
        <f t="shared" si="9"/>
        <v>1.8535213833325303E-2</v>
      </c>
      <c r="DG61">
        <f t="shared" si="10"/>
        <v>1.8367582173865488E-2</v>
      </c>
      <c r="DH61">
        <f t="shared" si="11"/>
        <v>1.8194959721854247E-2</v>
      </c>
      <c r="DI61">
        <f t="shared" si="12"/>
        <v>1.8006805541850635E-2</v>
      </c>
      <c r="DJ61">
        <f t="shared" si="13"/>
        <v>1.779976786787528E-2</v>
      </c>
      <c r="DK61">
        <f t="shared" si="14"/>
        <v>1.7589157289414802E-2</v>
      </c>
      <c r="DL61">
        <f t="shared" si="15"/>
        <v>1.7391624235137741E-2</v>
      </c>
      <c r="DM61">
        <f t="shared" si="16"/>
        <v>1.7201414767845355E-2</v>
      </c>
      <c r="DN61">
        <f t="shared" si="17"/>
        <v>1.707199237334053E-2</v>
      </c>
      <c r="DO61">
        <f t="shared" si="18"/>
        <v>1.7030969012498592E-2</v>
      </c>
      <c r="DP61">
        <f t="shared" si="19"/>
        <v>1.7056556038429073E-2</v>
      </c>
      <c r="DQ61">
        <f t="shared" si="20"/>
        <v>1.7097549046927084E-2</v>
      </c>
      <c r="DR61">
        <f t="shared" si="21"/>
        <v>1.7161952384691093E-2</v>
      </c>
      <c r="DS61">
        <f t="shared" si="22"/>
        <v>1.7256773107119112E-2</v>
      </c>
      <c r="DT61">
        <f t="shared" si="23"/>
        <v>1.7379626387188301E-2</v>
      </c>
      <c r="DU61">
        <f t="shared" si="24"/>
        <v>1.7529011951898842E-2</v>
      </c>
      <c r="DV61">
        <f t="shared" si="25"/>
        <v>1.7688938452050322E-2</v>
      </c>
      <c r="DW61">
        <f t="shared" si="26"/>
        <v>1.7842378222699688E-2</v>
      </c>
      <c r="DX61">
        <f t="shared" si="27"/>
        <v>1.8062289626549231E-2</v>
      </c>
      <c r="DY61">
        <f t="shared" si="28"/>
        <v>1.8376804950370175E-2</v>
      </c>
      <c r="DZ61">
        <f t="shared" si="29"/>
        <v>1.8739086191433982E-2</v>
      </c>
      <c r="EA61">
        <f t="shared" si="30"/>
        <v>1.9072719155879814E-2</v>
      </c>
      <c r="EB61">
        <f t="shared" si="31"/>
        <v>1.9391253997246519E-2</v>
      </c>
      <c r="EC61">
        <f t="shared" si="32"/>
        <v>1.9615800637618631E-2</v>
      </c>
      <c r="ED61">
        <f t="shared" si="33"/>
        <v>1.9698684216785063E-2</v>
      </c>
      <c r="EE61">
        <f t="shared" si="34"/>
        <v>1.9669285803667176E-2</v>
      </c>
      <c r="EF61">
        <f t="shared" si="35"/>
        <v>1.961462123225461E-2</v>
      </c>
      <c r="EG61">
        <f t="shared" si="36"/>
        <v>1.9529253096935293E-2</v>
      </c>
      <c r="EH61">
        <f t="shared" si="37"/>
        <v>1.9339273440246923E-2</v>
      </c>
      <c r="EI61">
        <f t="shared" si="38"/>
        <v>1.9020422067293551E-2</v>
      </c>
      <c r="EJ61">
        <f t="shared" si="39"/>
        <v>1.8605488181614626E-2</v>
      </c>
      <c r="EK61">
        <f t="shared" si="40"/>
        <v>1.8146356947128819E-2</v>
      </c>
      <c r="EL61">
        <f t="shared" si="41"/>
        <v>1.7626447311953716E-2</v>
      </c>
      <c r="EM61">
        <f t="shared" si="42"/>
        <v>1.7120057477973537E-2</v>
      </c>
      <c r="EN61">
        <f t="shared" si="43"/>
        <v>1.6667447661382909E-2</v>
      </c>
      <c r="EO61">
        <f t="shared" si="44"/>
        <v>1.6233148980278538E-2</v>
      </c>
      <c r="EP61">
        <f t="shared" si="45"/>
        <v>1.5761889816369321E-2</v>
      </c>
      <c r="EQ61">
        <f t="shared" si="46"/>
        <v>1.5289273469081651E-2</v>
      </c>
      <c r="ER61">
        <f t="shared" si="47"/>
        <v>1.4697103575114572E-2</v>
      </c>
      <c r="ES61">
        <f t="shared" si="48"/>
        <v>1.3928924774763821E-2</v>
      </c>
      <c r="ET61">
        <f t="shared" si="49"/>
        <v>1.3056472664876353E-2</v>
      </c>
      <c r="EU61">
        <f t="shared" si="50"/>
        <v>1.2202496460342176E-2</v>
      </c>
      <c r="EV61">
        <f t="shared" si="51"/>
        <v>1.133593704122568E-2</v>
      </c>
      <c r="EW61">
        <f t="shared" si="52"/>
        <v>1.0581039559367567E-2</v>
      </c>
      <c r="EX61">
        <f t="shared" si="53"/>
        <v>1.0010029585166755E-2</v>
      </c>
      <c r="EY61">
        <f t="shared" si="54"/>
        <v>9.56571463056647E-3</v>
      </c>
      <c r="EZ61">
        <f t="shared" si="55"/>
        <v>9.1175405922383195E-3</v>
      </c>
      <c r="FA61">
        <f t="shared" si="56"/>
        <v>8.6902663107284901E-3</v>
      </c>
      <c r="FB61">
        <f t="shared" si="57"/>
        <v>8.2828944947365216E-3</v>
      </c>
      <c r="FC61">
        <f t="shared" si="58"/>
        <v>7.8814153695155285E-3</v>
      </c>
      <c r="FD61">
        <f t="shared" si="59"/>
        <v>7.4932826035241616E-3</v>
      </c>
      <c r="FE61">
        <f t="shared" si="60"/>
        <v>7.1299477025211716E-3</v>
      </c>
      <c r="FF61">
        <f t="shared" si="61"/>
        <v>6.7771277206643277E-3</v>
      </c>
      <c r="FG61">
        <f t="shared" si="62"/>
        <v>6.4737213547206773E-3</v>
      </c>
      <c r="FH61">
        <f t="shared" si="63"/>
        <v>6.2363139926217715E-3</v>
      </c>
      <c r="FI61">
        <f t="shared" si="64"/>
        <v>6.0371809362148414E-3</v>
      </c>
      <c r="FJ61">
        <f t="shared" si="65"/>
        <v>5.8385378533598754E-3</v>
      </c>
      <c r="FK61">
        <f t="shared" si="66"/>
        <v>5.6557690463787426E-3</v>
      </c>
      <c r="FL61">
        <f t="shared" si="67"/>
        <v>5.4051280623276556E-3</v>
      </c>
      <c r="FM61">
        <f t="shared" si="68"/>
        <v>5.0435709414689616E-3</v>
      </c>
      <c r="FN61">
        <f t="shared" si="69"/>
        <v>4.6106771402835006E-3</v>
      </c>
      <c r="FO61">
        <f t="shared" si="70"/>
        <v>4.1938484011336992E-3</v>
      </c>
      <c r="FP61">
        <f t="shared" si="71"/>
        <v>3.7813773913619917E-3</v>
      </c>
      <c r="FQ61">
        <f t="shared" si="72"/>
        <v>3.3718809112951325E-3</v>
      </c>
      <c r="FR61">
        <f t="shared" si="73"/>
        <v>2.9753405460359798E-3</v>
      </c>
      <c r="FS61">
        <f t="shared" si="74"/>
        <v>2.5931004708155867E-3</v>
      </c>
      <c r="FT61">
        <f t="shared" si="75"/>
        <v>2.181930275783609E-3</v>
      </c>
      <c r="FU61">
        <f t="shared" si="76"/>
        <v>1.8429422906592232E-3</v>
      </c>
      <c r="FV61">
        <f t="shared" si="77"/>
        <v>1.5851641697361525E-3</v>
      </c>
      <c r="FW61">
        <f t="shared" si="78"/>
        <v>1.2801621377117674E-3</v>
      </c>
      <c r="FX61">
        <f t="shared" si="79"/>
        <v>9.285302333172105E-4</v>
      </c>
      <c r="FY61">
        <f t="shared" si="80"/>
        <v>6.7889954871397937E-4</v>
      </c>
      <c r="FZ61">
        <f t="shared" si="81"/>
        <v>5.6134058463548847E-4</v>
      </c>
      <c r="GA61">
        <f t="shared" si="82"/>
        <v>4.6148570916471651E-4</v>
      </c>
      <c r="GB61">
        <f t="shared" si="83"/>
        <v>3.4648067802522784E-4</v>
      </c>
      <c r="GC61">
        <f t="shared" si="84"/>
        <v>2.163211551678901E-4</v>
      </c>
      <c r="GD61">
        <f t="shared" si="85"/>
        <v>1.2668201145312749E-4</v>
      </c>
      <c r="GE61">
        <f t="shared" si="86"/>
        <v>2.2006316556917873E-4</v>
      </c>
    </row>
    <row r="62" spans="1:187">
      <c r="A62" s="4">
        <v>2010</v>
      </c>
      <c r="B62" s="17">
        <v>4199.6509999999998</v>
      </c>
      <c r="C62" s="17">
        <v>4190.3040000000001</v>
      </c>
      <c r="D62" s="17">
        <v>4179.0249999999996</v>
      </c>
      <c r="E62" s="17">
        <v>4166.7669999999998</v>
      </c>
      <c r="F62" s="17">
        <v>4154.482</v>
      </c>
      <c r="G62" s="17">
        <v>4143.125</v>
      </c>
      <c r="H62" s="17">
        <v>4133.6480000000001</v>
      </c>
      <c r="I62" s="17">
        <v>4127.0039999999999</v>
      </c>
      <c r="J62" s="17">
        <v>4124.1469999999999</v>
      </c>
      <c r="K62" s="17">
        <v>4126.0280000000002</v>
      </c>
      <c r="L62" s="17">
        <v>4128.12</v>
      </c>
      <c r="M62" s="17">
        <v>4125.8900000000003</v>
      </c>
      <c r="N62" s="17">
        <v>4147.7089999999998</v>
      </c>
      <c r="O62" s="17">
        <v>4205.4960000000001</v>
      </c>
      <c r="P62" s="17">
        <v>4283.7539999999999</v>
      </c>
      <c r="Q62" s="17">
        <v>4357.0739999999996</v>
      </c>
      <c r="R62" s="17">
        <v>4432.942</v>
      </c>
      <c r="S62" s="17">
        <v>4479.6350000000002</v>
      </c>
      <c r="T62" s="17">
        <v>4479.55</v>
      </c>
      <c r="U62" s="17">
        <v>4447.7640000000001</v>
      </c>
      <c r="V62" s="17">
        <v>4417.8549999999996</v>
      </c>
      <c r="W62" s="17">
        <v>4384.183</v>
      </c>
      <c r="X62" s="17">
        <v>4347.7560000000003</v>
      </c>
      <c r="Y62" s="17">
        <v>4312.7910000000002</v>
      </c>
      <c r="Z62" s="17">
        <v>4277.9740000000002</v>
      </c>
      <c r="AA62" s="17">
        <v>4239.3429999999998</v>
      </c>
      <c r="AB62" s="17">
        <v>4199.5829999999996</v>
      </c>
      <c r="AC62" s="17">
        <v>4157.3140000000003</v>
      </c>
      <c r="AD62" s="17">
        <v>4112.0780000000004</v>
      </c>
      <c r="AE62" s="17">
        <v>4066.808</v>
      </c>
      <c r="AF62" s="17">
        <v>4024.538</v>
      </c>
      <c r="AG62" s="17">
        <v>3984.2440000000001</v>
      </c>
      <c r="AH62" s="17">
        <v>3956.444</v>
      </c>
      <c r="AI62" s="17">
        <v>3946.558</v>
      </c>
      <c r="AJ62" s="17">
        <v>3950.393</v>
      </c>
      <c r="AK62" s="17">
        <v>3957.9389999999999</v>
      </c>
      <c r="AL62" s="17">
        <v>3970.73</v>
      </c>
      <c r="AM62" s="17">
        <v>3990.549</v>
      </c>
      <c r="AN62" s="17">
        <v>4017.1309999999999</v>
      </c>
      <c r="AO62" s="17">
        <v>4050.0039999999999</v>
      </c>
      <c r="AP62" s="17">
        <v>4085.1089999999999</v>
      </c>
      <c r="AQ62" s="17">
        <v>4118.643</v>
      </c>
      <c r="AR62" s="17">
        <v>4167.5460000000003</v>
      </c>
      <c r="AS62" s="17">
        <v>4238.3419999999996</v>
      </c>
      <c r="AT62" s="17">
        <v>4320.2700000000004</v>
      </c>
      <c r="AU62" s="17">
        <v>4395.5870000000004</v>
      </c>
      <c r="AV62" s="17">
        <v>4467.299</v>
      </c>
      <c r="AW62" s="17">
        <v>4518.0360000000001</v>
      </c>
      <c r="AX62" s="17">
        <v>4537.1629999999996</v>
      </c>
      <c r="AY62" s="17">
        <v>4531.0150000000003</v>
      </c>
      <c r="AZ62" s="17">
        <v>4518.9440000000004</v>
      </c>
      <c r="BA62" s="17">
        <v>4499.9290000000001</v>
      </c>
      <c r="BB62" s="17">
        <v>4455.991</v>
      </c>
      <c r="BC62" s="17">
        <v>4381.0249999999996</v>
      </c>
      <c r="BD62" s="17">
        <v>4283.0569999999998</v>
      </c>
      <c r="BE62" s="17">
        <v>4175.049</v>
      </c>
      <c r="BF62" s="17">
        <v>4053.0039999999999</v>
      </c>
      <c r="BG62" s="17">
        <v>3934.1819999999998</v>
      </c>
      <c r="BH62" s="17">
        <v>3828.04</v>
      </c>
      <c r="BI62" s="17">
        <v>3726.3240000000001</v>
      </c>
      <c r="BJ62" s="17">
        <v>3615.9430000000002</v>
      </c>
      <c r="BK62" s="17">
        <v>3505.058</v>
      </c>
      <c r="BL62" s="17">
        <v>3367.1060000000002</v>
      </c>
      <c r="BM62" s="17">
        <v>3189.3449999999998</v>
      </c>
      <c r="BN62" s="17">
        <v>2987.9659999999999</v>
      </c>
      <c r="BO62" s="17">
        <v>2790.7240000000002</v>
      </c>
      <c r="BP62" s="17">
        <v>2590.6480000000001</v>
      </c>
      <c r="BQ62" s="17">
        <v>2415.5720000000001</v>
      </c>
      <c r="BR62" s="17">
        <v>2281.7159999999999</v>
      </c>
      <c r="BS62" s="17">
        <v>2176.297</v>
      </c>
      <c r="BT62" s="17">
        <v>2070.0450000000001</v>
      </c>
      <c r="BU62" s="17">
        <v>1968.4949999999999</v>
      </c>
      <c r="BV62" s="17">
        <v>1871.684</v>
      </c>
      <c r="BW62" s="17">
        <v>1776.595</v>
      </c>
      <c r="BX62" s="17">
        <v>1684.798</v>
      </c>
      <c r="BY62" s="17">
        <v>1598.586</v>
      </c>
      <c r="BZ62" s="17">
        <v>1514.759</v>
      </c>
      <c r="CA62" s="17">
        <v>1442.23</v>
      </c>
      <c r="CB62" s="17">
        <v>1384.77</v>
      </c>
      <c r="CC62" s="17">
        <v>1336.056</v>
      </c>
      <c r="CD62" s="17">
        <v>1287.6600000000001</v>
      </c>
      <c r="CE62" s="17">
        <v>1243.268</v>
      </c>
      <c r="CF62" s="17">
        <v>1182.8579999999999</v>
      </c>
      <c r="CG62" s="17">
        <v>1096.242</v>
      </c>
      <c r="CH62" s="17">
        <v>992.99</v>
      </c>
      <c r="CI62" s="17">
        <v>893.952</v>
      </c>
      <c r="CJ62" s="17">
        <v>796.27300000000002</v>
      </c>
      <c r="CK62" s="17">
        <v>700.52</v>
      </c>
      <c r="CL62" s="17">
        <v>609.5</v>
      </c>
      <c r="CM62" s="17">
        <v>523.16899999999998</v>
      </c>
      <c r="CN62" s="17">
        <v>428.447</v>
      </c>
      <c r="CO62" s="17">
        <v>354.303</v>
      </c>
      <c r="CP62" s="17">
        <v>302.92700000000002</v>
      </c>
      <c r="CQ62" s="17">
        <v>236.934</v>
      </c>
      <c r="CR62" s="17">
        <v>156.32400000000001</v>
      </c>
      <c r="CS62" s="17">
        <v>106.848</v>
      </c>
      <c r="CT62" s="17">
        <v>91.188999999999993</v>
      </c>
      <c r="CU62" s="17">
        <v>73.209000000000003</v>
      </c>
      <c r="CV62" s="17">
        <v>52.905000000000001</v>
      </c>
      <c r="CW62" s="17">
        <v>30.279</v>
      </c>
      <c r="CX62" s="17">
        <v>52.393999999999998</v>
      </c>
      <c r="CY62" s="3">
        <f t="shared" si="87"/>
        <v>309011.46899999992</v>
      </c>
      <c r="CZ62" s="21">
        <f t="shared" si="3"/>
        <v>233306.66799999995</v>
      </c>
      <c r="DA62">
        <f t="shared" si="4"/>
        <v>1.9200265634928194E-2</v>
      </c>
      <c r="DB62">
        <f t="shared" si="5"/>
        <v>1.906402435098855E-2</v>
      </c>
      <c r="DC62">
        <f t="shared" si="6"/>
        <v>1.8935828272169233E-2</v>
      </c>
      <c r="DD62">
        <f t="shared" si="7"/>
        <v>1.8791503207272246E-2</v>
      </c>
      <c r="DE62">
        <f t="shared" si="8"/>
        <v>1.8635369650043612E-2</v>
      </c>
      <c r="DF62">
        <f t="shared" si="9"/>
        <v>1.8485502523228361E-2</v>
      </c>
      <c r="DG62">
        <f t="shared" si="10"/>
        <v>1.833626975462185E-2</v>
      </c>
      <c r="DH62">
        <f t="shared" si="11"/>
        <v>1.8170689403527895E-2</v>
      </c>
      <c r="DI62">
        <f t="shared" si="12"/>
        <v>1.8000269927990229E-2</v>
      </c>
      <c r="DJ62">
        <f t="shared" si="13"/>
        <v>1.7819096366332748E-2</v>
      </c>
      <c r="DK62">
        <f t="shared" si="14"/>
        <v>1.762520563707164E-2</v>
      </c>
      <c r="DL62">
        <f t="shared" si="15"/>
        <v>1.7431169176870681E-2</v>
      </c>
      <c r="DM62">
        <f t="shared" si="16"/>
        <v>1.7249991329009083E-2</v>
      </c>
      <c r="DN62">
        <f t="shared" si="17"/>
        <v>1.7077283020475013E-2</v>
      </c>
      <c r="DO62">
        <f t="shared" si="18"/>
        <v>1.6958126546130266E-2</v>
      </c>
      <c r="DP62">
        <f t="shared" si="19"/>
        <v>1.6915753132267959E-2</v>
      </c>
      <c r="DQ62">
        <f t="shared" si="20"/>
        <v>1.6932190725041776E-2</v>
      </c>
      <c r="DR62">
        <f t="shared" si="21"/>
        <v>1.6964534421279383E-2</v>
      </c>
      <c r="DS62">
        <f t="shared" si="22"/>
        <v>1.7019359258090304E-2</v>
      </c>
      <c r="DT62">
        <f t="shared" si="23"/>
        <v>1.7104307537408235E-2</v>
      </c>
      <c r="DU62">
        <f t="shared" si="24"/>
        <v>1.7218243415143199E-2</v>
      </c>
      <c r="DV62">
        <f t="shared" si="25"/>
        <v>1.7359143802953805E-2</v>
      </c>
      <c r="DW62">
        <f t="shared" si="26"/>
        <v>1.7509610998344895E-2</v>
      </c>
      <c r="DX62">
        <f t="shared" si="27"/>
        <v>1.7653344567074271E-2</v>
      </c>
      <c r="DY62">
        <f t="shared" si="28"/>
        <v>1.7862952806818197E-2</v>
      </c>
      <c r="DZ62">
        <f t="shared" si="29"/>
        <v>1.816639891321066E-2</v>
      </c>
      <c r="EA62">
        <f t="shared" si="30"/>
        <v>1.8517559043790387E-2</v>
      </c>
      <c r="EB62">
        <f t="shared" si="31"/>
        <v>1.8840383078978271E-2</v>
      </c>
      <c r="EC62">
        <f t="shared" si="32"/>
        <v>1.9147755348338354E-2</v>
      </c>
      <c r="ED62">
        <f t="shared" si="33"/>
        <v>1.936522448642574E-2</v>
      </c>
      <c r="EE62">
        <f t="shared" si="34"/>
        <v>1.9447206712497393E-2</v>
      </c>
      <c r="EF62">
        <f t="shared" si="35"/>
        <v>1.9420855129609931E-2</v>
      </c>
      <c r="EG62">
        <f t="shared" si="36"/>
        <v>1.9369116359760456E-2</v>
      </c>
      <c r="EH62">
        <f t="shared" si="37"/>
        <v>1.9287614188549473E-2</v>
      </c>
      <c r="EI62">
        <f t="shared" si="38"/>
        <v>1.909928695222719E-2</v>
      </c>
      <c r="EJ62">
        <f t="shared" si="39"/>
        <v>1.877796737468301E-2</v>
      </c>
      <c r="EK62">
        <f t="shared" si="40"/>
        <v>1.8358056530128838E-2</v>
      </c>
      <c r="EL62">
        <f t="shared" si="41"/>
        <v>1.7895112196278939E-2</v>
      </c>
      <c r="EM62">
        <f t="shared" si="42"/>
        <v>1.7372002415293165E-2</v>
      </c>
      <c r="EN62">
        <f t="shared" si="43"/>
        <v>1.686270707016398E-2</v>
      </c>
      <c r="EO62">
        <f t="shared" si="44"/>
        <v>1.6407760793189164E-2</v>
      </c>
      <c r="EP62">
        <f t="shared" si="45"/>
        <v>1.5971785255619018E-2</v>
      </c>
      <c r="EQ62">
        <f t="shared" si="46"/>
        <v>1.5498669759408681E-2</v>
      </c>
      <c r="ER62">
        <f t="shared" si="47"/>
        <v>1.5023394016325332E-2</v>
      </c>
      <c r="ES62">
        <f t="shared" si="48"/>
        <v>1.4432103586512156E-2</v>
      </c>
      <c r="ET62">
        <f t="shared" si="49"/>
        <v>1.3670183657159772E-2</v>
      </c>
      <c r="EU62">
        <f t="shared" si="50"/>
        <v>1.2807032159063711E-2</v>
      </c>
      <c r="EV62">
        <f t="shared" si="51"/>
        <v>1.1961612687383633E-2</v>
      </c>
      <c r="EW62">
        <f t="shared" si="52"/>
        <v>1.1104046113246968E-2</v>
      </c>
      <c r="EX62">
        <f t="shared" si="53"/>
        <v>1.0353634641938312E-2</v>
      </c>
      <c r="EY62">
        <f t="shared" si="54"/>
        <v>9.7799005041724757E-3</v>
      </c>
      <c r="EZ62">
        <f t="shared" si="55"/>
        <v>9.3280531527714441E-3</v>
      </c>
      <c r="FA62">
        <f t="shared" si="56"/>
        <v>8.8726353933441821E-3</v>
      </c>
      <c r="FB62">
        <f t="shared" si="57"/>
        <v>8.4373713656568112E-3</v>
      </c>
      <c r="FC62">
        <f t="shared" si="58"/>
        <v>8.0224196592615198E-3</v>
      </c>
      <c r="FD62">
        <f t="shared" si="59"/>
        <v>7.6148487963490202E-3</v>
      </c>
      <c r="FE62">
        <f t="shared" si="60"/>
        <v>7.2213881173769125E-3</v>
      </c>
      <c r="FF62">
        <f t="shared" si="61"/>
        <v>6.8518658883765828E-3</v>
      </c>
      <c r="FG62">
        <f t="shared" si="62"/>
        <v>6.4925662561860446E-3</v>
      </c>
      <c r="FH62">
        <f t="shared" si="63"/>
        <v>6.1816921580655397E-3</v>
      </c>
      <c r="FI62">
        <f t="shared" si="64"/>
        <v>5.9354068697256446E-3</v>
      </c>
      <c r="FJ62">
        <f t="shared" si="65"/>
        <v>5.7266087225591013E-3</v>
      </c>
      <c r="FK62">
        <f t="shared" si="66"/>
        <v>5.5191735883005294E-3</v>
      </c>
      <c r="FL62">
        <f t="shared" si="67"/>
        <v>5.3289004153108917E-3</v>
      </c>
      <c r="FM62">
        <f t="shared" si="68"/>
        <v>5.0699708248372923E-3</v>
      </c>
      <c r="FN62">
        <f t="shared" si="69"/>
        <v>4.698716969375261E-3</v>
      </c>
      <c r="FO62">
        <f t="shared" si="70"/>
        <v>4.2561578222873606E-3</v>
      </c>
      <c r="FP62">
        <f t="shared" si="71"/>
        <v>3.8316607393321491E-3</v>
      </c>
      <c r="FQ62">
        <f t="shared" si="72"/>
        <v>3.4129886077666678E-3</v>
      </c>
      <c r="FR62">
        <f t="shared" si="73"/>
        <v>3.0025717053230564E-3</v>
      </c>
      <c r="FS62">
        <f t="shared" si="74"/>
        <v>2.6124414069468435E-3</v>
      </c>
      <c r="FT62">
        <f t="shared" si="75"/>
        <v>2.242409119657052E-3</v>
      </c>
      <c r="FU62">
        <f t="shared" si="76"/>
        <v>1.8364112936540679E-3</v>
      </c>
      <c r="FV62">
        <f t="shared" si="77"/>
        <v>1.5186149758908737E-3</v>
      </c>
      <c r="FW62">
        <f t="shared" si="78"/>
        <v>1.2984069533752034E-3</v>
      </c>
      <c r="FX62">
        <f t="shared" si="79"/>
        <v>1.0155474853380533E-3</v>
      </c>
      <c r="FY62">
        <f t="shared" si="80"/>
        <v>6.7003657177942312E-4</v>
      </c>
      <c r="FZ62">
        <f t="shared" si="81"/>
        <v>4.5797233707868144E-4</v>
      </c>
      <c r="GA62">
        <f t="shared" si="82"/>
        <v>3.9085466687133013E-4</v>
      </c>
      <c r="GB62">
        <f t="shared" si="83"/>
        <v>3.1378871691742653E-4</v>
      </c>
      <c r="GC62">
        <f t="shared" si="84"/>
        <v>2.2676162860463129E-4</v>
      </c>
      <c r="GD62">
        <f t="shared" si="85"/>
        <v>1.2978197434117061E-4</v>
      </c>
      <c r="GE62">
        <f t="shared" si="86"/>
        <v>2.2457137830282677E-4</v>
      </c>
    </row>
    <row r="63" spans="1:187">
      <c r="A63" s="4">
        <v>2011</v>
      </c>
      <c r="B63" s="17">
        <v>4107.4690000000001</v>
      </c>
      <c r="C63" s="17">
        <v>4199.0479999999998</v>
      </c>
      <c r="D63" s="17">
        <v>4195.1210000000001</v>
      </c>
      <c r="E63" s="17">
        <v>4186.8149999999996</v>
      </c>
      <c r="F63" s="17">
        <v>4175.6099999999997</v>
      </c>
      <c r="G63" s="17">
        <v>4162.9849999999997</v>
      </c>
      <c r="H63" s="17">
        <v>4149.7359999999999</v>
      </c>
      <c r="I63" s="17">
        <v>4136.6549999999997</v>
      </c>
      <c r="J63" s="17">
        <v>4128.6499999999996</v>
      </c>
      <c r="K63" s="17">
        <v>4128.5749999999998</v>
      </c>
      <c r="L63" s="17">
        <v>4135.8500000000004</v>
      </c>
      <c r="M63" s="17">
        <v>4142.3879999999999</v>
      </c>
      <c r="N63" s="17">
        <v>4144.2150000000001</v>
      </c>
      <c r="O63" s="17">
        <v>4170.0749999999998</v>
      </c>
      <c r="P63" s="17">
        <v>4231.6679999999997</v>
      </c>
      <c r="Q63" s="17">
        <v>4313.4269999999997</v>
      </c>
      <c r="R63" s="17">
        <v>4390.1890000000003</v>
      </c>
      <c r="S63" s="17">
        <v>4469.5020000000004</v>
      </c>
      <c r="T63" s="17">
        <v>4518.3789999999999</v>
      </c>
      <c r="U63" s="17">
        <v>4518.6450000000004</v>
      </c>
      <c r="V63" s="17">
        <v>4485.9110000000001</v>
      </c>
      <c r="W63" s="17">
        <v>4454.9189999999999</v>
      </c>
      <c r="X63" s="17">
        <v>4419.8639999999996</v>
      </c>
      <c r="Y63" s="17">
        <v>4381.8040000000001</v>
      </c>
      <c r="Z63" s="17">
        <v>4345.1220000000003</v>
      </c>
      <c r="AA63" s="17">
        <v>4308.4889999999996</v>
      </c>
      <c r="AB63" s="17">
        <v>4267.7709999999997</v>
      </c>
      <c r="AC63" s="17">
        <v>4225.6949999999997</v>
      </c>
      <c r="AD63" s="17">
        <v>4181.2160000000003</v>
      </c>
      <c r="AE63" s="17">
        <v>4134.0290000000005</v>
      </c>
      <c r="AF63" s="17">
        <v>4086.9769999999999</v>
      </c>
      <c r="AG63" s="17">
        <v>4042.8420000000001</v>
      </c>
      <c r="AH63" s="17">
        <v>4000.636</v>
      </c>
      <c r="AI63" s="17">
        <v>3971.0340000000001</v>
      </c>
      <c r="AJ63" s="17">
        <v>3959.5079999999998</v>
      </c>
      <c r="AK63" s="17">
        <v>3961.8090000000002</v>
      </c>
      <c r="AL63" s="17">
        <v>3967.8110000000001</v>
      </c>
      <c r="AM63" s="17">
        <v>3979.0529999999999</v>
      </c>
      <c r="AN63" s="17">
        <v>3997.3409999999999</v>
      </c>
      <c r="AO63" s="17">
        <v>4022.404</v>
      </c>
      <c r="AP63" s="17">
        <v>4053.7489999999998</v>
      </c>
      <c r="AQ63" s="17">
        <v>4087.3159999999998</v>
      </c>
      <c r="AR63" s="17">
        <v>4119.3159999999998</v>
      </c>
      <c r="AS63" s="17">
        <v>4166.5339999999997</v>
      </c>
      <c r="AT63" s="17">
        <v>4235.424</v>
      </c>
      <c r="AU63" s="17">
        <v>4315.2939999999999</v>
      </c>
      <c r="AV63" s="17">
        <v>4388.5609999999997</v>
      </c>
      <c r="AW63" s="17">
        <v>4458.2209999999995</v>
      </c>
      <c r="AX63" s="17">
        <v>4506.8649999999998</v>
      </c>
      <c r="AY63" s="17">
        <v>4523.8549999999996</v>
      </c>
      <c r="AZ63" s="17">
        <v>4515.558</v>
      </c>
      <c r="BA63" s="17">
        <v>4501.3459999999995</v>
      </c>
      <c r="BB63" s="17">
        <v>4480.1809999999996</v>
      </c>
      <c r="BC63" s="17">
        <v>4434.2370000000001</v>
      </c>
      <c r="BD63" s="17">
        <v>4357.4809999999998</v>
      </c>
      <c r="BE63" s="17">
        <v>4257.875</v>
      </c>
      <c r="BF63" s="17">
        <v>4148.2619999999997</v>
      </c>
      <c r="BG63" s="17">
        <v>4024.6930000000002</v>
      </c>
      <c r="BH63" s="17">
        <v>3904.3110000000001</v>
      </c>
      <c r="BI63" s="17">
        <v>3796.5160000000001</v>
      </c>
      <c r="BJ63" s="17">
        <v>3693.123</v>
      </c>
      <c r="BK63" s="17">
        <v>3581.1190000000001</v>
      </c>
      <c r="BL63" s="17">
        <v>3468.585</v>
      </c>
      <c r="BM63" s="17">
        <v>3329.3</v>
      </c>
      <c r="BN63" s="17">
        <v>3150.6759999999999</v>
      </c>
      <c r="BO63" s="17">
        <v>2948.7130000000002</v>
      </c>
      <c r="BP63" s="17">
        <v>2750.8229999999999</v>
      </c>
      <c r="BQ63" s="17">
        <v>2550.1039999999998</v>
      </c>
      <c r="BR63" s="17">
        <v>2374.1419999999998</v>
      </c>
      <c r="BS63" s="17">
        <v>2238.9949999999999</v>
      </c>
      <c r="BT63" s="17">
        <v>2131.991</v>
      </c>
      <c r="BU63" s="17">
        <v>2024.12</v>
      </c>
      <c r="BV63" s="17">
        <v>1920.8520000000001</v>
      </c>
      <c r="BW63" s="17">
        <v>1822.23</v>
      </c>
      <c r="BX63" s="17">
        <v>1725.2629999999999</v>
      </c>
      <c r="BY63" s="17">
        <v>1631.4860000000001</v>
      </c>
      <c r="BZ63" s="17">
        <v>1543.3420000000001</v>
      </c>
      <c r="CA63" s="17">
        <v>1457.845</v>
      </c>
      <c r="CB63" s="17">
        <v>1382.847</v>
      </c>
      <c r="CC63" s="17">
        <v>1321.6849999999999</v>
      </c>
      <c r="CD63" s="17">
        <v>1268.665</v>
      </c>
      <c r="CE63" s="17">
        <v>1216.4390000000001</v>
      </c>
      <c r="CF63" s="17">
        <v>1168.499</v>
      </c>
      <c r="CG63" s="17">
        <v>1105.7349999999999</v>
      </c>
      <c r="CH63" s="17">
        <v>1018.5309999999999</v>
      </c>
      <c r="CI63" s="17">
        <v>916.10699999999997</v>
      </c>
      <c r="CJ63" s="17">
        <v>816.10400000000004</v>
      </c>
      <c r="CK63" s="17">
        <v>721.74699999999996</v>
      </c>
      <c r="CL63" s="17">
        <v>633.65499999999997</v>
      </c>
      <c r="CM63" s="17">
        <v>545.83100000000002</v>
      </c>
      <c r="CN63" s="17">
        <v>458.23899999999998</v>
      </c>
      <c r="CO63" s="17">
        <v>371.06700000000001</v>
      </c>
      <c r="CP63" s="17">
        <v>307.94799999999998</v>
      </c>
      <c r="CQ63" s="17">
        <v>262.20800000000003</v>
      </c>
      <c r="CR63" s="17">
        <v>203.929</v>
      </c>
      <c r="CS63" s="17">
        <v>133.11000000000001</v>
      </c>
      <c r="CT63" s="17">
        <v>95.823999999999998</v>
      </c>
      <c r="CU63" s="17">
        <v>76.974999999999994</v>
      </c>
      <c r="CV63" s="17">
        <v>55.582000000000001</v>
      </c>
      <c r="CW63" s="17">
        <v>31.646999999999998</v>
      </c>
      <c r="CX63" s="17">
        <v>54.136000000000003</v>
      </c>
      <c r="CY63" s="3">
        <f t="shared" si="87"/>
        <v>311584.05099999969</v>
      </c>
      <c r="CZ63" s="21">
        <f t="shared" si="3"/>
        <v>236016.07299999997</v>
      </c>
      <c r="DA63">
        <f t="shared" si="4"/>
        <v>1.9144369883656188E-2</v>
      </c>
      <c r="DB63">
        <f t="shared" si="5"/>
        <v>1.9145496925542019E-2</v>
      </c>
      <c r="DC63">
        <f t="shared" si="6"/>
        <v>1.9006802981591853E-2</v>
      </c>
      <c r="DD63">
        <f t="shared" si="7"/>
        <v>1.8875489890894E-2</v>
      </c>
      <c r="DE63">
        <f t="shared" si="8"/>
        <v>1.8726961870940036E-2</v>
      </c>
      <c r="DF63">
        <f t="shared" si="9"/>
        <v>1.8565701667275857E-2</v>
      </c>
      <c r="DG63">
        <f t="shared" si="10"/>
        <v>1.8410280049020223E-2</v>
      </c>
      <c r="DH63">
        <f t="shared" si="11"/>
        <v>1.8255066043743554E-2</v>
      </c>
      <c r="DI63">
        <f t="shared" si="12"/>
        <v>1.808254389522022E-2</v>
      </c>
      <c r="DJ63">
        <f t="shared" si="13"/>
        <v>1.7904267901279757E-2</v>
      </c>
      <c r="DK63">
        <f t="shared" si="14"/>
        <v>1.7715810397370694E-2</v>
      </c>
      <c r="DL63">
        <f t="shared" si="15"/>
        <v>1.7515879098623933E-2</v>
      </c>
      <c r="DM63">
        <f t="shared" si="16"/>
        <v>1.731651979481923E-2</v>
      </c>
      <c r="DN63">
        <f t="shared" si="17"/>
        <v>1.7129519818762515E-2</v>
      </c>
      <c r="DO63">
        <f t="shared" si="18"/>
        <v>1.6950693014877848E-2</v>
      </c>
      <c r="DP63">
        <f t="shared" si="19"/>
        <v>1.6825269353583392E-2</v>
      </c>
      <c r="DQ63">
        <f t="shared" si="20"/>
        <v>1.677643369653049E-2</v>
      </c>
      <c r="DR63">
        <f t="shared" si="21"/>
        <v>1.6786183032542874E-2</v>
      </c>
      <c r="DS63">
        <f t="shared" si="22"/>
        <v>1.6811613503966743E-2</v>
      </c>
      <c r="DT63">
        <f t="shared" si="23"/>
        <v>1.6859245853141538E-2</v>
      </c>
      <c r="DU63">
        <f t="shared" si="24"/>
        <v>1.6936732101292103E-2</v>
      </c>
      <c r="DV63">
        <f t="shared" si="25"/>
        <v>1.7042924021534754E-2</v>
      </c>
      <c r="DW63">
        <f t="shared" si="26"/>
        <v>1.7175732773081095E-2</v>
      </c>
      <c r="DX63">
        <f t="shared" si="27"/>
        <v>1.7317956137673726E-2</v>
      </c>
      <c r="DY63">
        <f t="shared" si="28"/>
        <v>1.7453540123938932E-2</v>
      </c>
      <c r="DZ63">
        <f t="shared" si="29"/>
        <v>1.7653602769672386E-2</v>
      </c>
      <c r="EA63">
        <f t="shared" si="30"/>
        <v>1.7945489670103953E-2</v>
      </c>
      <c r="EB63">
        <f t="shared" si="31"/>
        <v>1.8283898825822768E-2</v>
      </c>
      <c r="EC63">
        <f t="shared" si="32"/>
        <v>1.8594331073375669E-2</v>
      </c>
      <c r="ED63">
        <f t="shared" si="33"/>
        <v>1.888948046347674E-2</v>
      </c>
      <c r="EE63">
        <f t="shared" si="34"/>
        <v>1.9095585070598137E-2</v>
      </c>
      <c r="EF63">
        <f t="shared" si="35"/>
        <v>1.916757169330582E-2</v>
      </c>
      <c r="EG63">
        <f t="shared" si="36"/>
        <v>1.9132417307866995E-2</v>
      </c>
      <c r="EH63">
        <f t="shared" si="37"/>
        <v>1.907220106996696E-2</v>
      </c>
      <c r="EI63">
        <f t="shared" si="38"/>
        <v>1.898252497405124E-2</v>
      </c>
      <c r="EJ63">
        <f t="shared" si="39"/>
        <v>1.8787860265770971E-2</v>
      </c>
      <c r="EK63">
        <f t="shared" si="40"/>
        <v>1.8462645126715586E-2</v>
      </c>
      <c r="EL63">
        <f t="shared" si="41"/>
        <v>1.8040614547467707E-2</v>
      </c>
      <c r="EM63">
        <f t="shared" si="42"/>
        <v>1.7576184313514955E-2</v>
      </c>
      <c r="EN63">
        <f t="shared" si="43"/>
        <v>1.7052622513552291E-2</v>
      </c>
      <c r="EO63">
        <f t="shared" si="44"/>
        <v>1.6542564031221722E-2</v>
      </c>
      <c r="EP63">
        <f t="shared" si="45"/>
        <v>1.6085836662488664E-2</v>
      </c>
      <c r="EQ63">
        <f t="shared" si="46"/>
        <v>1.5647760565866208E-2</v>
      </c>
      <c r="ER63">
        <f t="shared" si="47"/>
        <v>1.5173199665939703E-2</v>
      </c>
      <c r="ES63">
        <f t="shared" si="48"/>
        <v>1.4696393156240679E-2</v>
      </c>
      <c r="ET63">
        <f t="shared" si="49"/>
        <v>1.4106242671023514E-2</v>
      </c>
      <c r="EU63">
        <f t="shared" si="50"/>
        <v>1.3349412859691129E-2</v>
      </c>
      <c r="EV63">
        <f t="shared" si="51"/>
        <v>1.2493695715376132E-2</v>
      </c>
      <c r="EW63">
        <f t="shared" si="52"/>
        <v>1.1655235870312952E-2</v>
      </c>
      <c r="EX63">
        <f t="shared" si="53"/>
        <v>1.0804789553464015E-2</v>
      </c>
      <c r="EY63">
        <f t="shared" si="54"/>
        <v>1.0059238634989068E-2</v>
      </c>
      <c r="EZ63">
        <f t="shared" si="55"/>
        <v>9.4866208539958214E-3</v>
      </c>
      <c r="FA63">
        <f t="shared" si="56"/>
        <v>9.0332449519232548E-3</v>
      </c>
      <c r="FB63">
        <f t="shared" si="57"/>
        <v>8.5761955712228121E-3</v>
      </c>
      <c r="FC63">
        <f t="shared" si="58"/>
        <v>8.138649099546709E-3</v>
      </c>
      <c r="FD63">
        <f t="shared" si="59"/>
        <v>7.7207877278764837E-3</v>
      </c>
      <c r="FE63">
        <f t="shared" si="60"/>
        <v>7.309938590495911E-3</v>
      </c>
      <c r="FF63">
        <f t="shared" si="61"/>
        <v>6.912605481746153E-3</v>
      </c>
      <c r="FG63">
        <f t="shared" si="62"/>
        <v>6.5391393915786413E-3</v>
      </c>
      <c r="FH63">
        <f t="shared" si="63"/>
        <v>6.1768886392750046E-3</v>
      </c>
      <c r="FI63">
        <f t="shared" si="64"/>
        <v>5.8591221454650684E-3</v>
      </c>
      <c r="FJ63">
        <f t="shared" si="65"/>
        <v>5.5999787777165503E-3</v>
      </c>
      <c r="FK63">
        <f t="shared" si="66"/>
        <v>5.3753330604733862E-3</v>
      </c>
      <c r="FL63">
        <f t="shared" si="67"/>
        <v>5.1540515208894277E-3</v>
      </c>
      <c r="FM63">
        <f t="shared" si="68"/>
        <v>4.9509297614658649E-3</v>
      </c>
      <c r="FN63">
        <f t="shared" si="69"/>
        <v>4.684998720404945E-3</v>
      </c>
      <c r="FO63">
        <f t="shared" si="70"/>
        <v>4.3155154098339739E-3</v>
      </c>
      <c r="FP63">
        <f t="shared" si="71"/>
        <v>3.8815449657956138E-3</v>
      </c>
      <c r="FQ63">
        <f t="shared" si="72"/>
        <v>3.4578322977181311E-3</v>
      </c>
      <c r="FR63">
        <f t="shared" si="73"/>
        <v>3.0580417292173151E-3</v>
      </c>
      <c r="FS63">
        <f t="shared" si="74"/>
        <v>2.6847959630274844E-3</v>
      </c>
      <c r="FT63">
        <f t="shared" si="75"/>
        <v>2.3126857127226249E-3</v>
      </c>
      <c r="FU63">
        <f t="shared" si="76"/>
        <v>1.9415584463181878E-3</v>
      </c>
      <c r="FV63">
        <f t="shared" si="77"/>
        <v>1.5722107197334821E-3</v>
      </c>
      <c r="FW63">
        <f t="shared" si="78"/>
        <v>1.3047755438249328E-3</v>
      </c>
      <c r="FX63">
        <f t="shared" si="79"/>
        <v>1.1109751834571032E-3</v>
      </c>
      <c r="FY63">
        <f t="shared" si="80"/>
        <v>8.6404708547116633E-4</v>
      </c>
      <c r="FZ63">
        <f t="shared" si="81"/>
        <v>5.639870128675517E-4</v>
      </c>
      <c r="GA63">
        <f t="shared" si="82"/>
        <v>4.060062468711612E-4</v>
      </c>
      <c r="GB63">
        <f t="shared" si="83"/>
        <v>3.2614304196138373E-4</v>
      </c>
      <c r="GC63">
        <f t="shared" si="84"/>
        <v>2.3550091014352232E-4</v>
      </c>
      <c r="GD63">
        <f t="shared" si="85"/>
        <v>1.3408832541671856E-4</v>
      </c>
      <c r="GE63">
        <f t="shared" si="86"/>
        <v>2.2937420876416331E-4</v>
      </c>
    </row>
    <row r="64" spans="1:187">
      <c r="A64" s="4">
        <v>2012</v>
      </c>
      <c r="B64" s="17">
        <v>4001.1289999999999</v>
      </c>
      <c r="C64" s="17">
        <v>4084.65</v>
      </c>
      <c r="D64" s="17">
        <v>4198.5810000000001</v>
      </c>
      <c r="E64" s="17">
        <v>4200.0780000000004</v>
      </c>
      <c r="F64" s="17">
        <v>4194.7479999999996</v>
      </c>
      <c r="G64" s="17">
        <v>4184.5969999999998</v>
      </c>
      <c r="H64" s="17">
        <v>4171.6319999999996</v>
      </c>
      <c r="I64" s="17">
        <v>4156.4880000000003</v>
      </c>
      <c r="J64" s="17">
        <v>4139.799</v>
      </c>
      <c r="K64" s="17">
        <v>4130.4319999999998</v>
      </c>
      <c r="L64" s="17">
        <v>4133.1409999999996</v>
      </c>
      <c r="M64" s="17">
        <v>4145.8140000000003</v>
      </c>
      <c r="N64" s="17">
        <v>4156.8019999999997</v>
      </c>
      <c r="O64" s="17">
        <v>4162.6890000000003</v>
      </c>
      <c r="P64" s="17">
        <v>4192.5940000000001</v>
      </c>
      <c r="Q64" s="17">
        <v>4257.9960000000001</v>
      </c>
      <c r="R64" s="17">
        <v>4343.2629999999999</v>
      </c>
      <c r="S64" s="17">
        <v>4423.4719999999998</v>
      </c>
      <c r="T64" s="17">
        <v>4506.2380000000003</v>
      </c>
      <c r="U64" s="17">
        <v>4557.3010000000004</v>
      </c>
      <c r="V64" s="17">
        <v>4557.9170000000004</v>
      </c>
      <c r="W64" s="17">
        <v>4524.2349999999997</v>
      </c>
      <c r="X64" s="17">
        <v>4492.1559999999999</v>
      </c>
      <c r="Y64" s="17">
        <v>4455.7150000000001</v>
      </c>
      <c r="Z64" s="17">
        <v>4416.0190000000002</v>
      </c>
      <c r="AA64" s="17">
        <v>4377.6180000000004</v>
      </c>
      <c r="AB64" s="17">
        <v>4339.1670000000004</v>
      </c>
      <c r="AC64" s="17">
        <v>4296.357</v>
      </c>
      <c r="AD64" s="17">
        <v>4251.9610000000002</v>
      </c>
      <c r="AE64" s="17">
        <v>4205.2669999999998</v>
      </c>
      <c r="AF64" s="17">
        <v>4156.125</v>
      </c>
      <c r="AG64" s="17">
        <v>4107.2879999999996</v>
      </c>
      <c r="AH64" s="17">
        <v>4061.2849999999999</v>
      </c>
      <c r="AI64" s="17">
        <v>4017.163</v>
      </c>
      <c r="AJ64" s="17">
        <v>3985.7570000000001</v>
      </c>
      <c r="AK64" s="17">
        <v>3972.5889999999999</v>
      </c>
      <c r="AL64" s="17">
        <v>3973.3539999999998</v>
      </c>
      <c r="AM64" s="17">
        <v>3977.8110000000001</v>
      </c>
      <c r="AN64" s="17">
        <v>3987.502</v>
      </c>
      <c r="AO64" s="17">
        <v>4004.259</v>
      </c>
      <c r="AP64" s="17">
        <v>4027.8049999999998</v>
      </c>
      <c r="AQ64" s="17">
        <v>4057.623</v>
      </c>
      <c r="AR64" s="17">
        <v>4089.6529999999998</v>
      </c>
      <c r="AS64" s="17">
        <v>4120.1189999999997</v>
      </c>
      <c r="AT64" s="17">
        <v>4165.6530000000002</v>
      </c>
      <c r="AU64" s="17">
        <v>4232.6390000000001</v>
      </c>
      <c r="AV64" s="17">
        <v>4310.451</v>
      </c>
      <c r="AW64" s="17">
        <v>4381.6689999999999</v>
      </c>
      <c r="AX64" s="17">
        <v>4449.2790000000005</v>
      </c>
      <c r="AY64" s="17">
        <v>4495.826</v>
      </c>
      <c r="AZ64" s="17">
        <v>4510.6769999999997</v>
      </c>
      <c r="BA64" s="17">
        <v>4500.2290000000003</v>
      </c>
      <c r="BB64" s="17">
        <v>4483.8720000000003</v>
      </c>
      <c r="BC64" s="17">
        <v>4460.5540000000001</v>
      </c>
      <c r="BD64" s="17">
        <v>4412.6000000000004</v>
      </c>
      <c r="BE64" s="17">
        <v>4334.049</v>
      </c>
      <c r="BF64" s="17">
        <v>4232.8010000000004</v>
      </c>
      <c r="BG64" s="17">
        <v>4121.5789999999997</v>
      </c>
      <c r="BH64" s="17">
        <v>3996.4780000000001</v>
      </c>
      <c r="BI64" s="17">
        <v>3874.5309999999999</v>
      </c>
      <c r="BJ64" s="17">
        <v>3765.0770000000002</v>
      </c>
      <c r="BK64" s="17">
        <v>3660.0010000000002</v>
      </c>
      <c r="BL64" s="17">
        <v>3546.3679999999999</v>
      </c>
      <c r="BM64" s="17">
        <v>3432.183</v>
      </c>
      <c r="BN64" s="17">
        <v>3291.558</v>
      </c>
      <c r="BO64" s="17">
        <v>3112.0630000000001</v>
      </c>
      <c r="BP64" s="17">
        <v>2909.51</v>
      </c>
      <c r="BQ64" s="17">
        <v>2710.9630000000002</v>
      </c>
      <c r="BR64" s="17">
        <v>2509.5970000000002</v>
      </c>
      <c r="BS64" s="17">
        <v>2332.7420000000002</v>
      </c>
      <c r="BT64" s="17">
        <v>2196.3000000000002</v>
      </c>
      <c r="BU64" s="17">
        <v>2087.7069999999999</v>
      </c>
      <c r="BV64" s="17">
        <v>1978.212</v>
      </c>
      <c r="BW64" s="17">
        <v>1873.223</v>
      </c>
      <c r="BX64" s="17">
        <v>1772.787</v>
      </c>
      <c r="BY64" s="17">
        <v>1673.9369999999999</v>
      </c>
      <c r="BZ64" s="17">
        <v>1578.1759999999999</v>
      </c>
      <c r="CA64" s="17">
        <v>1488.0940000000001</v>
      </c>
      <c r="CB64" s="17">
        <v>1400.921</v>
      </c>
      <c r="CC64" s="17">
        <v>1323.4480000000001</v>
      </c>
      <c r="CD64" s="17">
        <v>1258.579</v>
      </c>
      <c r="CE64" s="17">
        <v>1201.248</v>
      </c>
      <c r="CF64" s="17">
        <v>1145.1869999999999</v>
      </c>
      <c r="CG64" s="17">
        <v>1093.694</v>
      </c>
      <c r="CH64" s="17">
        <v>1028.5719999999999</v>
      </c>
      <c r="CI64" s="17">
        <v>940.77700000000004</v>
      </c>
      <c r="CJ64" s="17">
        <v>839.178</v>
      </c>
      <c r="CK64" s="17">
        <v>738.20699999999999</v>
      </c>
      <c r="CL64" s="17">
        <v>647.17100000000005</v>
      </c>
      <c r="CM64" s="17">
        <v>566.745</v>
      </c>
      <c r="CN64" s="17">
        <v>482.11900000000003</v>
      </c>
      <c r="CO64" s="17">
        <v>393.26299999999998</v>
      </c>
      <c r="CP64" s="17">
        <v>313.64299999999997</v>
      </c>
      <c r="CQ64" s="17">
        <v>261.55599999999998</v>
      </c>
      <c r="CR64" s="17">
        <v>221.45599999999999</v>
      </c>
      <c r="CS64" s="17">
        <v>170.89599999999999</v>
      </c>
      <c r="CT64" s="17">
        <v>109.878</v>
      </c>
      <c r="CU64" s="17">
        <v>81.587000000000003</v>
      </c>
      <c r="CV64" s="17">
        <v>58.881999999999998</v>
      </c>
      <c r="CW64" s="17">
        <v>33.293999999999997</v>
      </c>
      <c r="CX64" s="17">
        <v>56.01</v>
      </c>
      <c r="CY64" s="3">
        <f t="shared" si="87"/>
        <v>314043.88499999989</v>
      </c>
      <c r="CZ64" s="21">
        <f t="shared" si="3"/>
        <v>238765.98</v>
      </c>
      <c r="DA64">
        <f t="shared" si="4"/>
        <v>1.8873032079360721E-2</v>
      </c>
      <c r="DB64">
        <f t="shared" si="5"/>
        <v>1.9086894204944943E-2</v>
      </c>
      <c r="DC64">
        <f t="shared" si="6"/>
        <v>1.9089474136977137E-2</v>
      </c>
      <c r="DD64">
        <f t="shared" si="7"/>
        <v>1.8948407139073999E-2</v>
      </c>
      <c r="DE64">
        <f t="shared" si="8"/>
        <v>1.8814053827936456E-2</v>
      </c>
      <c r="DF64">
        <f t="shared" si="9"/>
        <v>1.8661431582506018E-2</v>
      </c>
      <c r="DG64">
        <f t="shared" si="10"/>
        <v>1.849517674167819E-2</v>
      </c>
      <c r="DH64">
        <f t="shared" si="11"/>
        <v>1.833434562159986E-2</v>
      </c>
      <c r="DI64">
        <f t="shared" si="12"/>
        <v>1.8173305091453984E-2</v>
      </c>
      <c r="DJ64">
        <f t="shared" si="13"/>
        <v>1.7994008191619257E-2</v>
      </c>
      <c r="DK64">
        <f t="shared" si="14"/>
        <v>1.7808068804441905E-2</v>
      </c>
      <c r="DL64">
        <f t="shared" si="15"/>
        <v>1.761250493056004E-2</v>
      </c>
      <c r="DM64">
        <f t="shared" si="16"/>
        <v>1.7406688339771017E-2</v>
      </c>
      <c r="DN64">
        <f t="shared" si="17"/>
        <v>1.7202149150394037E-2</v>
      </c>
      <c r="DO64">
        <f t="shared" si="18"/>
        <v>1.7009479323645688E-2</v>
      </c>
      <c r="DP64">
        <f t="shared" si="19"/>
        <v>1.68246875036385E-2</v>
      </c>
      <c r="DQ64">
        <f t="shared" si="20"/>
        <v>1.6693152852010156E-2</v>
      </c>
      <c r="DR64">
        <f t="shared" si="21"/>
        <v>1.6638002616620674E-2</v>
      </c>
      <c r="DS64">
        <f t="shared" si="22"/>
        <v>1.664120659065416E-2</v>
      </c>
      <c r="DT64">
        <f t="shared" si="23"/>
        <v>1.6659873404075404E-2</v>
      </c>
      <c r="DU64">
        <f t="shared" si="24"/>
        <v>1.6700461263367584E-2</v>
      </c>
      <c r="DV64">
        <f t="shared" si="25"/>
        <v>1.6770642953405673E-2</v>
      </c>
      <c r="DW64">
        <f t="shared" si="26"/>
        <v>1.6869258342415448E-2</v>
      </c>
      <c r="DX64">
        <f t="shared" si="27"/>
        <v>1.6994142130298463E-2</v>
      </c>
      <c r="DY64">
        <f t="shared" si="28"/>
        <v>1.7128290219569804E-2</v>
      </c>
      <c r="DZ64">
        <f t="shared" si="29"/>
        <v>1.7255887961928243E-2</v>
      </c>
      <c r="EA64">
        <f t="shared" si="30"/>
        <v>1.7446593522242992E-2</v>
      </c>
      <c r="EB64">
        <f t="shared" si="31"/>
        <v>1.7727144377938597E-2</v>
      </c>
      <c r="EC64">
        <f t="shared" si="32"/>
        <v>1.8053036701459729E-2</v>
      </c>
      <c r="ED64">
        <f t="shared" si="33"/>
        <v>1.8351312025272612E-2</v>
      </c>
      <c r="EE64">
        <f t="shared" si="34"/>
        <v>1.8634476318611221E-2</v>
      </c>
      <c r="EF64">
        <f t="shared" si="35"/>
        <v>1.8829424526894491E-2</v>
      </c>
      <c r="EG64">
        <f t="shared" si="36"/>
        <v>1.8891623505157641E-2</v>
      </c>
      <c r="EH64">
        <f t="shared" si="37"/>
        <v>1.8847865177442785E-2</v>
      </c>
      <c r="EI64">
        <f t="shared" si="38"/>
        <v>1.8779358767945082E-2</v>
      </c>
      <c r="EJ64">
        <f t="shared" si="39"/>
        <v>1.8681698288843328E-2</v>
      </c>
      <c r="EK64">
        <f t="shared" si="40"/>
        <v>1.8480857281259248E-2</v>
      </c>
      <c r="EL64">
        <f t="shared" si="41"/>
        <v>1.8151869876939754E-2</v>
      </c>
      <c r="EM64">
        <f t="shared" si="42"/>
        <v>1.7727822866557455E-2</v>
      </c>
      <c r="EN64">
        <f t="shared" si="43"/>
        <v>1.7262002735900648E-2</v>
      </c>
      <c r="EO64">
        <f t="shared" si="44"/>
        <v>1.673805455869383E-2</v>
      </c>
      <c r="EP64">
        <f t="shared" si="45"/>
        <v>1.6227315968547946E-2</v>
      </c>
      <c r="EQ64">
        <f t="shared" si="46"/>
        <v>1.5768900577879646E-2</v>
      </c>
      <c r="ER64">
        <f t="shared" si="47"/>
        <v>1.5328821132725859E-2</v>
      </c>
      <c r="ES64">
        <f t="shared" si="48"/>
        <v>1.4852903248611882E-2</v>
      </c>
      <c r="ET64">
        <f t="shared" si="49"/>
        <v>1.4374673477352174E-2</v>
      </c>
      <c r="EU64">
        <f t="shared" si="50"/>
        <v>1.3785707662373007E-2</v>
      </c>
      <c r="EV64">
        <f t="shared" si="51"/>
        <v>1.3033946460881907E-2</v>
      </c>
      <c r="EW64">
        <f t="shared" si="52"/>
        <v>1.2185613712640302E-2</v>
      </c>
      <c r="EX64">
        <f t="shared" si="53"/>
        <v>1.1354058899010654E-2</v>
      </c>
      <c r="EY64">
        <f t="shared" si="54"/>
        <v>1.0510697545772643E-2</v>
      </c>
      <c r="EZ64">
        <f t="shared" si="55"/>
        <v>9.7699931958480854E-3</v>
      </c>
      <c r="FA64">
        <f t="shared" si="56"/>
        <v>9.198546627119995E-3</v>
      </c>
      <c r="FB64">
        <f t="shared" si="57"/>
        <v>8.7437372778148698E-3</v>
      </c>
      <c r="FC64">
        <f t="shared" si="58"/>
        <v>8.2851501708911795E-3</v>
      </c>
      <c r="FD64">
        <f t="shared" si="59"/>
        <v>7.8454350992549268E-3</v>
      </c>
      <c r="FE64">
        <f t="shared" si="60"/>
        <v>7.4247889083696094E-3</v>
      </c>
      <c r="FF64">
        <f t="shared" si="61"/>
        <v>7.0107852048269179E-3</v>
      </c>
      <c r="FG64">
        <f t="shared" si="62"/>
        <v>6.6097188552573525E-3</v>
      </c>
      <c r="FH64">
        <f t="shared" si="63"/>
        <v>6.2324373011599056E-3</v>
      </c>
      <c r="FI64">
        <f t="shared" si="64"/>
        <v>5.8673392247924096E-3</v>
      </c>
      <c r="FJ64">
        <f t="shared" si="65"/>
        <v>5.5428667015292553E-3</v>
      </c>
      <c r="FK64">
        <f t="shared" si="66"/>
        <v>5.2711822680936368E-3</v>
      </c>
      <c r="FL64">
        <f t="shared" si="67"/>
        <v>5.0310684964415785E-3</v>
      </c>
      <c r="FM64">
        <f t="shared" si="68"/>
        <v>4.7962737405052424E-3</v>
      </c>
      <c r="FN64">
        <f t="shared" si="69"/>
        <v>4.580610688340106E-3</v>
      </c>
      <c r="FO64">
        <f t="shared" si="70"/>
        <v>4.3078666399626944E-3</v>
      </c>
      <c r="FP64">
        <f t="shared" si="71"/>
        <v>3.9401635023548999E-3</v>
      </c>
      <c r="FQ64">
        <f t="shared" si="72"/>
        <v>3.5146464332984121E-3</v>
      </c>
      <c r="FR64">
        <f t="shared" si="73"/>
        <v>3.0917595546903287E-3</v>
      </c>
      <c r="FS64">
        <f t="shared" si="74"/>
        <v>2.710482456504063E-3</v>
      </c>
      <c r="FT64">
        <f t="shared" si="75"/>
        <v>2.3736421746515142E-3</v>
      </c>
      <c r="FU64">
        <f t="shared" si="76"/>
        <v>2.0192114471249212E-3</v>
      </c>
      <c r="FV64">
        <f t="shared" si="77"/>
        <v>1.6470646278837545E-3</v>
      </c>
      <c r="FW64">
        <f t="shared" si="78"/>
        <v>1.313600036320082E-3</v>
      </c>
      <c r="FX64">
        <f t="shared" si="79"/>
        <v>1.0954491925524732E-3</v>
      </c>
      <c r="FY64">
        <f t="shared" si="80"/>
        <v>9.2750231837885775E-4</v>
      </c>
      <c r="FZ64">
        <f t="shared" si="81"/>
        <v>7.157468580741694E-4</v>
      </c>
      <c r="GA64">
        <f t="shared" si="82"/>
        <v>4.6019118804111034E-4</v>
      </c>
      <c r="GB64">
        <f t="shared" si="83"/>
        <v>3.417027836210167E-4</v>
      </c>
      <c r="GC64">
        <f t="shared" si="84"/>
        <v>2.4660967194740219E-4</v>
      </c>
      <c r="GD64">
        <f t="shared" si="85"/>
        <v>1.3944197577896145E-4</v>
      </c>
      <c r="GE64">
        <f t="shared" si="86"/>
        <v>2.3458115766743652E-4</v>
      </c>
    </row>
    <row r="65" spans="1:187">
      <c r="A65" s="4">
        <v>2013</v>
      </c>
      <c r="B65" s="17">
        <v>3895.8820000000001</v>
      </c>
      <c r="C65" s="17">
        <v>4015.134</v>
      </c>
      <c r="D65" s="17">
        <v>4103.6149999999998</v>
      </c>
      <c r="E65" s="17">
        <v>4197.2449999999999</v>
      </c>
      <c r="F65" s="17">
        <v>4204.1679999999997</v>
      </c>
      <c r="G65" s="17">
        <v>4201.8149999999996</v>
      </c>
      <c r="H65" s="17">
        <v>4192.7209999999995</v>
      </c>
      <c r="I65" s="17">
        <v>4179.4179999999997</v>
      </c>
      <c r="J65" s="17">
        <v>4162.3819999999996</v>
      </c>
      <c r="K65" s="17">
        <v>4142.0870000000004</v>
      </c>
      <c r="L65" s="17">
        <v>4131.3599999999997</v>
      </c>
      <c r="M65" s="17">
        <v>4136.8540000000003</v>
      </c>
      <c r="N65" s="17">
        <v>4154.924</v>
      </c>
      <c r="O65" s="17">
        <v>4170.3620000000001</v>
      </c>
      <c r="P65" s="17">
        <v>4180.3109999999997</v>
      </c>
      <c r="Q65" s="17">
        <v>4214.2569999999996</v>
      </c>
      <c r="R65" s="17">
        <v>4283.4570000000003</v>
      </c>
      <c r="S65" s="17">
        <v>4372.2150000000001</v>
      </c>
      <c r="T65" s="17">
        <v>4455.8580000000002</v>
      </c>
      <c r="U65" s="17">
        <v>4542.0590000000002</v>
      </c>
      <c r="V65" s="17">
        <v>4595.3010000000004</v>
      </c>
      <c r="W65" s="17">
        <v>4596.268</v>
      </c>
      <c r="X65" s="17">
        <v>4561.6409999999996</v>
      </c>
      <c r="Y65" s="17">
        <v>4528.4830000000002</v>
      </c>
      <c r="Z65" s="17">
        <v>4490.6620000000003</v>
      </c>
      <c r="AA65" s="17">
        <v>4449.3379999999997</v>
      </c>
      <c r="AB65" s="17">
        <v>4409.2250000000004</v>
      </c>
      <c r="AC65" s="17">
        <v>4368.9589999999998</v>
      </c>
      <c r="AD65" s="17">
        <v>4324.0659999999998</v>
      </c>
      <c r="AE65" s="17">
        <v>4277.357</v>
      </c>
      <c r="AF65" s="17">
        <v>4228.4560000000001</v>
      </c>
      <c r="AG65" s="17">
        <v>4177.3680000000004</v>
      </c>
      <c r="AH65" s="17">
        <v>4126.7539999999999</v>
      </c>
      <c r="AI65" s="17">
        <v>4078.8919999999998</v>
      </c>
      <c r="AJ65" s="17">
        <v>4032.8629999999998</v>
      </c>
      <c r="AK65" s="17">
        <v>3999.6590000000001</v>
      </c>
      <c r="AL65" s="17">
        <v>3984.8490000000002</v>
      </c>
      <c r="AM65" s="17">
        <v>3984.078</v>
      </c>
      <c r="AN65" s="17">
        <v>3986.9879999999998</v>
      </c>
      <c r="AO65" s="17">
        <v>3995.1260000000002</v>
      </c>
      <c r="AP65" s="17">
        <v>4010.3470000000002</v>
      </c>
      <c r="AQ65" s="17">
        <v>4032.37</v>
      </c>
      <c r="AR65" s="17">
        <v>4060.6550000000002</v>
      </c>
      <c r="AS65" s="17">
        <v>4091.14</v>
      </c>
      <c r="AT65" s="17">
        <v>4120.0659999999998</v>
      </c>
      <c r="AU65" s="17">
        <v>4163.9080000000004</v>
      </c>
      <c r="AV65" s="17">
        <v>4228.973</v>
      </c>
      <c r="AW65" s="17">
        <v>4304.7089999999998</v>
      </c>
      <c r="AX65" s="17">
        <v>4373.8609999999999</v>
      </c>
      <c r="AY65" s="17">
        <v>4439.4049999999997</v>
      </c>
      <c r="AZ65" s="17">
        <v>4483.848</v>
      </c>
      <c r="BA65" s="17">
        <v>4496.5550000000003</v>
      </c>
      <c r="BB65" s="17">
        <v>4483.9560000000001</v>
      </c>
      <c r="BC65" s="17">
        <v>4465.4549999999999</v>
      </c>
      <c r="BD65" s="17">
        <v>4439.9870000000001</v>
      </c>
      <c r="BE65" s="17">
        <v>4390.03</v>
      </c>
      <c r="BF65" s="17">
        <v>4309.7</v>
      </c>
      <c r="BG65" s="17">
        <v>4206.8280000000004</v>
      </c>
      <c r="BH65" s="17">
        <v>4094.0189999999998</v>
      </c>
      <c r="BI65" s="17">
        <v>3967.4110000000001</v>
      </c>
      <c r="BJ65" s="17">
        <v>3843.9250000000002</v>
      </c>
      <c r="BK65" s="17">
        <v>3732.8330000000001</v>
      </c>
      <c r="BL65" s="17">
        <v>3626.0949999999998</v>
      </c>
      <c r="BM65" s="17">
        <v>3510.855</v>
      </c>
      <c r="BN65" s="17">
        <v>3395.04</v>
      </c>
      <c r="BO65" s="17">
        <v>3253.1039999999998</v>
      </c>
      <c r="BP65" s="17">
        <v>3072.7759999999998</v>
      </c>
      <c r="BQ65" s="17">
        <v>2869.6729999999998</v>
      </c>
      <c r="BR65" s="17">
        <v>2670.511</v>
      </c>
      <c r="BS65" s="17">
        <v>2468.5369999999998</v>
      </c>
      <c r="BT65" s="17">
        <v>2290.826</v>
      </c>
      <c r="BU65" s="17">
        <v>2153.1170000000002</v>
      </c>
      <c r="BV65" s="17">
        <v>2042.9570000000001</v>
      </c>
      <c r="BW65" s="17">
        <v>1931.8610000000001</v>
      </c>
      <c r="BX65" s="17">
        <v>1825.173</v>
      </c>
      <c r="BY65" s="17">
        <v>1722.943</v>
      </c>
      <c r="BZ65" s="17">
        <v>1622.2280000000001</v>
      </c>
      <c r="CA65" s="17">
        <v>1524.501</v>
      </c>
      <c r="CB65" s="17">
        <v>1432.5</v>
      </c>
      <c r="CC65" s="17">
        <v>1343.6679999999999</v>
      </c>
      <c r="CD65" s="17">
        <v>1263.7339999999999</v>
      </c>
      <c r="CE65" s="17">
        <v>1195.1690000000001</v>
      </c>
      <c r="CF65" s="17">
        <v>1133.537</v>
      </c>
      <c r="CG65" s="17">
        <v>1073.6479999999999</v>
      </c>
      <c r="CH65" s="17">
        <v>1018.611</v>
      </c>
      <c r="CI65" s="17">
        <v>951.14300000000003</v>
      </c>
      <c r="CJ65" s="17">
        <v>862.77499999999998</v>
      </c>
      <c r="CK65" s="17">
        <v>762.02499999999998</v>
      </c>
      <c r="CL65" s="17">
        <v>660.10699999999997</v>
      </c>
      <c r="CM65" s="17">
        <v>572.41399999999999</v>
      </c>
      <c r="CN65" s="17">
        <v>499.67500000000001</v>
      </c>
      <c r="CO65" s="17">
        <v>418.26400000000001</v>
      </c>
      <c r="CP65" s="17">
        <v>328.16399999999999</v>
      </c>
      <c r="CQ65" s="17">
        <v>256.12</v>
      </c>
      <c r="CR65" s="17">
        <v>215.08099999999999</v>
      </c>
      <c r="CS65" s="17">
        <v>180.63300000000001</v>
      </c>
      <c r="CT65" s="17">
        <v>137.809</v>
      </c>
      <c r="CU65" s="17">
        <v>86.606999999999999</v>
      </c>
      <c r="CV65" s="17">
        <v>62.722000000000001</v>
      </c>
      <c r="CW65" s="17">
        <v>35.231999999999999</v>
      </c>
      <c r="CX65" s="17">
        <v>58.265999999999998</v>
      </c>
      <c r="CY65" s="3">
        <f t="shared" si="87"/>
        <v>316400.53900000005</v>
      </c>
      <c r="CZ65" s="21">
        <f t="shared" si="3"/>
        <v>241462.33199999997</v>
      </c>
      <c r="DA65">
        <f t="shared" si="4"/>
        <v>1.8453636072727073E-2</v>
      </c>
      <c r="DB65">
        <f t="shared" si="5"/>
        <v>1.8810631713769753E-2</v>
      </c>
      <c r="DC65">
        <f t="shared" si="6"/>
        <v>1.9031129874120496E-2</v>
      </c>
      <c r="DD65">
        <f t="shared" si="7"/>
        <v>1.9035134639551154E-2</v>
      </c>
      <c r="DE65">
        <f t="shared" si="8"/>
        <v>1.8891729249098779E-2</v>
      </c>
      <c r="DF65">
        <f t="shared" si="9"/>
        <v>1.8754407623297536E-2</v>
      </c>
      <c r="DG65">
        <f t="shared" si="10"/>
        <v>1.859777449676913E-2</v>
      </c>
      <c r="DH65">
        <f t="shared" si="11"/>
        <v>1.842663393145727E-2</v>
      </c>
      <c r="DI65">
        <f t="shared" si="12"/>
        <v>1.8260508641157334E-2</v>
      </c>
      <c r="DJ65">
        <f t="shared" si="13"/>
        <v>1.809374971165275E-2</v>
      </c>
      <c r="DK65">
        <f t="shared" si="14"/>
        <v>1.790782837299857E-2</v>
      </c>
      <c r="DL65">
        <f t="shared" si="15"/>
        <v>1.7714386192542862E-2</v>
      </c>
      <c r="DM65">
        <f t="shared" si="16"/>
        <v>1.7511865991586634E-2</v>
      </c>
      <c r="DN65">
        <f t="shared" si="17"/>
        <v>1.7300288477293431E-2</v>
      </c>
      <c r="DO65">
        <f t="shared" si="18"/>
        <v>1.709067400210481E-2</v>
      </c>
      <c r="DP65">
        <f t="shared" si="19"/>
        <v>1.6892456749734365E-2</v>
      </c>
      <c r="DQ65">
        <f t="shared" si="20"/>
        <v>1.670183074352152E-2</v>
      </c>
      <c r="DR65">
        <f t="shared" si="21"/>
        <v>1.6564318611815614E-2</v>
      </c>
      <c r="DS65">
        <f t="shared" si="22"/>
        <v>1.6502983993379145E-2</v>
      </c>
      <c r="DT65">
        <f t="shared" si="23"/>
        <v>1.6499790948759661E-2</v>
      </c>
      <c r="DU65">
        <f t="shared" si="24"/>
        <v>1.6511842517946032E-2</v>
      </c>
      <c r="DV65">
        <f t="shared" si="25"/>
        <v>1.6545545497340764E-2</v>
      </c>
      <c r="DW65">
        <f t="shared" si="26"/>
        <v>1.6608582244621081E-2</v>
      </c>
      <c r="DX65">
        <f t="shared" si="27"/>
        <v>1.6699789017195446E-2</v>
      </c>
      <c r="DY65">
        <f t="shared" si="28"/>
        <v>1.6816929441400411E-2</v>
      </c>
      <c r="DZ65">
        <f t="shared" si="29"/>
        <v>1.6943181017567577E-2</v>
      </c>
      <c r="EA65">
        <f t="shared" si="30"/>
        <v>1.7062976100139713E-2</v>
      </c>
      <c r="EB65">
        <f t="shared" si="31"/>
        <v>1.7244544793015588E-2</v>
      </c>
      <c r="EC65">
        <f t="shared" si="32"/>
        <v>1.7514007112297749E-2</v>
      </c>
      <c r="ED65">
        <f t="shared" si="33"/>
        <v>1.782766266002931E-2</v>
      </c>
      <c r="EE65">
        <f t="shared" si="34"/>
        <v>1.8114051014797624E-2</v>
      </c>
      <c r="EF65">
        <f t="shared" si="35"/>
        <v>1.838549708034792E-2</v>
      </c>
      <c r="EG65">
        <f t="shared" si="36"/>
        <v>1.856955477428256E-2</v>
      </c>
      <c r="EH65">
        <f t="shared" si="37"/>
        <v>1.8622179959729705E-2</v>
      </c>
      <c r="EI65">
        <f t="shared" si="38"/>
        <v>1.8570002049015252E-2</v>
      </c>
      <c r="EJ65">
        <f t="shared" si="39"/>
        <v>1.849338140244583E-2</v>
      </c>
      <c r="EK65">
        <f t="shared" si="40"/>
        <v>1.8387907394185197E-2</v>
      </c>
      <c r="EL65">
        <f t="shared" si="41"/>
        <v>1.8181013840287107E-2</v>
      </c>
      <c r="EM65">
        <f t="shared" si="42"/>
        <v>1.7848332550685381E-2</v>
      </c>
      <c r="EN65">
        <f t="shared" si="43"/>
        <v>1.7422295084932756E-2</v>
      </c>
      <c r="EO65">
        <f t="shared" si="44"/>
        <v>1.6955104202339935E-2</v>
      </c>
      <c r="EP65">
        <f t="shared" si="45"/>
        <v>1.6430765689780552E-2</v>
      </c>
      <c r="EQ65">
        <f t="shared" si="46"/>
        <v>1.5919356730142078E-2</v>
      </c>
      <c r="ER65">
        <f t="shared" si="47"/>
        <v>1.5459276687512487E-2</v>
      </c>
      <c r="ES65">
        <f t="shared" si="48"/>
        <v>1.501722844290264E-2</v>
      </c>
      <c r="ET65">
        <f t="shared" si="49"/>
        <v>1.4539969737391589E-2</v>
      </c>
      <c r="EU65">
        <f t="shared" si="50"/>
        <v>1.4060329708072233E-2</v>
      </c>
      <c r="EV65">
        <f t="shared" si="51"/>
        <v>1.3472511314932552E-2</v>
      </c>
      <c r="EW65">
        <f t="shared" si="52"/>
        <v>1.2725695037187002E-2</v>
      </c>
      <c r="EX65">
        <f t="shared" si="53"/>
        <v>1.1884557629469097E-2</v>
      </c>
      <c r="EY65">
        <f t="shared" si="54"/>
        <v>1.1059741608061668E-2</v>
      </c>
      <c r="EZ65">
        <f t="shared" si="55"/>
        <v>1.0223279877873456E-2</v>
      </c>
      <c r="FA65">
        <f t="shared" si="56"/>
        <v>9.487301729530221E-3</v>
      </c>
      <c r="FB65">
        <f t="shared" si="57"/>
        <v>8.9169891724561016E-3</v>
      </c>
      <c r="FC65">
        <f t="shared" si="58"/>
        <v>8.4607689451123187E-3</v>
      </c>
      <c r="FD65">
        <f t="shared" si="59"/>
        <v>8.0006723367518889E-3</v>
      </c>
      <c r="FE65">
        <f t="shared" si="60"/>
        <v>7.5588311637775464E-3</v>
      </c>
      <c r="FF65">
        <f t="shared" si="61"/>
        <v>7.1354524978247966E-3</v>
      </c>
      <c r="FG65">
        <f t="shared" si="62"/>
        <v>6.7183481024278369E-3</v>
      </c>
      <c r="FH65">
        <f t="shared" si="63"/>
        <v>6.3136183079686324E-3</v>
      </c>
      <c r="FI65">
        <f t="shared" si="64"/>
        <v>5.9326023572074185E-3</v>
      </c>
      <c r="FJ65">
        <f t="shared" si="65"/>
        <v>5.5647106067044866E-3</v>
      </c>
      <c r="FK65">
        <f t="shared" si="66"/>
        <v>5.2336693244559576E-3</v>
      </c>
      <c r="FL65">
        <f t="shared" si="67"/>
        <v>4.9497119906884704E-3</v>
      </c>
      <c r="FM65">
        <f t="shared" si="68"/>
        <v>4.694467209900053E-3</v>
      </c>
      <c r="FN65">
        <f t="shared" si="69"/>
        <v>4.4464409463253257E-3</v>
      </c>
      <c r="FO65">
        <f t="shared" si="70"/>
        <v>4.2185089142599691E-3</v>
      </c>
      <c r="FP65">
        <f t="shared" si="71"/>
        <v>3.939094732175452E-3</v>
      </c>
      <c r="FQ65">
        <f t="shared" si="72"/>
        <v>3.5731246064500035E-3</v>
      </c>
      <c r="FR65">
        <f t="shared" si="73"/>
        <v>3.1558752609081903E-3</v>
      </c>
      <c r="FS65">
        <f t="shared" si="74"/>
        <v>2.7337887219609893E-3</v>
      </c>
      <c r="FT65">
        <f t="shared" si="75"/>
        <v>2.370614063314853E-3</v>
      </c>
      <c r="FU65">
        <f t="shared" si="76"/>
        <v>2.0693703894154392E-3</v>
      </c>
      <c r="FV65">
        <f t="shared" si="77"/>
        <v>1.7322122110541038E-3</v>
      </c>
      <c r="FW65">
        <f t="shared" si="78"/>
        <v>1.3590691238747749E-3</v>
      </c>
      <c r="FX65">
        <f t="shared" si="79"/>
        <v>1.0607037457088754E-3</v>
      </c>
      <c r="FY65">
        <f t="shared" si="80"/>
        <v>8.9074348871939172E-4</v>
      </c>
      <c r="FZ65">
        <f t="shared" si="81"/>
        <v>7.4807941472212753E-4</v>
      </c>
      <c r="GA65">
        <f t="shared" si="82"/>
        <v>5.7072670034512881E-4</v>
      </c>
      <c r="GB65">
        <f t="shared" si="83"/>
        <v>3.586770627229758E-4</v>
      </c>
      <c r="GC65">
        <f t="shared" si="84"/>
        <v>2.5975894244241796E-4</v>
      </c>
      <c r="GD65">
        <f t="shared" si="85"/>
        <v>1.4591095724197678E-4</v>
      </c>
      <c r="GE65">
        <f t="shared" si="86"/>
        <v>2.4130471828624601E-4</v>
      </c>
    </row>
    <row r="66" spans="1:187">
      <c r="A66" s="4">
        <v>2014</v>
      </c>
      <c r="B66" s="17">
        <v>3811.8139999999999</v>
      </c>
      <c r="C66" s="17">
        <v>3951.875</v>
      </c>
      <c r="D66" s="17">
        <v>4058.2649999999999</v>
      </c>
      <c r="E66" s="17">
        <v>4134.9139999999998</v>
      </c>
      <c r="F66" s="17">
        <v>4194.3469999999998</v>
      </c>
      <c r="G66" s="17">
        <v>4206.6930000000002</v>
      </c>
      <c r="H66" s="17">
        <v>4207.3190000000004</v>
      </c>
      <c r="I66" s="17">
        <v>4199.2839999999997</v>
      </c>
      <c r="J66" s="17">
        <v>4185.6480000000001</v>
      </c>
      <c r="K66" s="17">
        <v>4166.7259999999997</v>
      </c>
      <c r="L66" s="17">
        <v>4142.8329999999996</v>
      </c>
      <c r="M66" s="17">
        <v>4130.75</v>
      </c>
      <c r="N66" s="17">
        <v>4139.027</v>
      </c>
      <c r="O66" s="17">
        <v>4162.4880000000003</v>
      </c>
      <c r="P66" s="17">
        <v>4182.37</v>
      </c>
      <c r="Q66" s="17">
        <v>4196.375</v>
      </c>
      <c r="R66" s="17">
        <v>4234.3490000000002</v>
      </c>
      <c r="S66" s="17">
        <v>4307.3220000000001</v>
      </c>
      <c r="T66" s="17">
        <v>4399.5379999999996</v>
      </c>
      <c r="U66" s="17">
        <v>4486.5820000000003</v>
      </c>
      <c r="V66" s="17">
        <v>4576.1869999999999</v>
      </c>
      <c r="W66" s="17">
        <v>4631.5870000000004</v>
      </c>
      <c r="X66" s="17">
        <v>4632.9040000000005</v>
      </c>
      <c r="Y66" s="17">
        <v>4597.3469999999998</v>
      </c>
      <c r="Z66" s="17">
        <v>4563.1220000000003</v>
      </c>
      <c r="AA66" s="17">
        <v>4523.9350000000004</v>
      </c>
      <c r="AB66" s="17">
        <v>4480.9970000000003</v>
      </c>
      <c r="AC66" s="17">
        <v>4439.1869999999999</v>
      </c>
      <c r="AD66" s="17">
        <v>4397.125</v>
      </c>
      <c r="AE66" s="17">
        <v>4350.1620000000003</v>
      </c>
      <c r="AF66" s="17">
        <v>4301.1589999999997</v>
      </c>
      <c r="AG66" s="17">
        <v>4250.0709999999999</v>
      </c>
      <c r="AH66" s="17">
        <v>4197.0540000000001</v>
      </c>
      <c r="AI66" s="17">
        <v>4144.6840000000002</v>
      </c>
      <c r="AJ66" s="17">
        <v>4094.98</v>
      </c>
      <c r="AK66" s="17">
        <v>4047.0610000000001</v>
      </c>
      <c r="AL66" s="17">
        <v>4012.0709999999999</v>
      </c>
      <c r="AM66" s="17">
        <v>3995.6260000000002</v>
      </c>
      <c r="AN66" s="17">
        <v>3993.3180000000002</v>
      </c>
      <c r="AO66" s="17">
        <v>3994.6790000000001</v>
      </c>
      <c r="AP66" s="17">
        <v>4001.26</v>
      </c>
      <c r="AQ66" s="17">
        <v>4014.9409999999998</v>
      </c>
      <c r="AR66" s="17">
        <v>4035.433</v>
      </c>
      <c r="AS66" s="17">
        <v>4062.1750000000002</v>
      </c>
      <c r="AT66" s="17">
        <v>4091.1030000000001</v>
      </c>
      <c r="AU66" s="17">
        <v>4118.4799999999996</v>
      </c>
      <c r="AV66" s="17">
        <v>4160.6130000000003</v>
      </c>
      <c r="AW66" s="17">
        <v>4223.732</v>
      </c>
      <c r="AX66" s="17">
        <v>4297.3639999999996</v>
      </c>
      <c r="AY66" s="17">
        <v>4364.4260000000004</v>
      </c>
      <c r="AZ66" s="17">
        <v>4427.8810000000003</v>
      </c>
      <c r="BA66" s="17">
        <v>4470.1989999999996</v>
      </c>
      <c r="BB66" s="17">
        <v>4480.759</v>
      </c>
      <c r="BC66" s="17">
        <v>4466.0119999999997</v>
      </c>
      <c r="BD66" s="17">
        <v>4445.375</v>
      </c>
      <c r="BE66" s="17">
        <v>4417.7690000000002</v>
      </c>
      <c r="BF66" s="17">
        <v>4365.8270000000002</v>
      </c>
      <c r="BG66" s="17">
        <v>4283.7460000000001</v>
      </c>
      <c r="BH66" s="17">
        <v>4179.29</v>
      </c>
      <c r="BI66" s="17">
        <v>4064.9360000000001</v>
      </c>
      <c r="BJ66" s="17">
        <v>3936.8679999999999</v>
      </c>
      <c r="BK66" s="17">
        <v>3811.8870000000002</v>
      </c>
      <c r="BL66" s="17">
        <v>3699.2</v>
      </c>
      <c r="BM66" s="17">
        <v>3590.8389999999999</v>
      </c>
      <c r="BN66" s="17">
        <v>3474.0360000000001</v>
      </c>
      <c r="BO66" s="17">
        <v>3356.634</v>
      </c>
      <c r="BP66" s="17">
        <v>3213.44</v>
      </c>
      <c r="BQ66" s="17">
        <v>3032.3440000000001</v>
      </c>
      <c r="BR66" s="17">
        <v>2828.768</v>
      </c>
      <c r="BS66" s="17">
        <v>2629.0659999999998</v>
      </c>
      <c r="BT66" s="17">
        <v>2426.5590000000002</v>
      </c>
      <c r="BU66" s="17">
        <v>2248.058</v>
      </c>
      <c r="BV66" s="17">
        <v>2109.1329999999998</v>
      </c>
      <c r="BW66" s="17">
        <v>1997.4490000000001</v>
      </c>
      <c r="BX66" s="17">
        <v>1884.7929999999999</v>
      </c>
      <c r="BY66" s="17">
        <v>1776.4459999999999</v>
      </c>
      <c r="BZ66" s="17">
        <v>1672.4590000000001</v>
      </c>
      <c r="CA66" s="17">
        <v>1569.9179999999999</v>
      </c>
      <c r="CB66" s="17">
        <v>1470.2619999999999</v>
      </c>
      <c r="CC66" s="17">
        <v>1376.375</v>
      </c>
      <c r="CD66" s="17">
        <v>1285.9159999999999</v>
      </c>
      <c r="CE66" s="17">
        <v>1203.5519999999999</v>
      </c>
      <c r="CF66" s="17">
        <v>1131.318</v>
      </c>
      <c r="CG66" s="17">
        <v>1065.4059999999999</v>
      </c>
      <c r="CH66" s="17">
        <v>1001.715</v>
      </c>
      <c r="CI66" s="17">
        <v>943.15300000000002</v>
      </c>
      <c r="CJ66" s="17">
        <v>873.36500000000001</v>
      </c>
      <c r="CK66" s="17">
        <v>784.45799999999997</v>
      </c>
      <c r="CL66" s="17">
        <v>684.59299999999996</v>
      </c>
      <c r="CM66" s="17">
        <v>581.76499999999999</v>
      </c>
      <c r="CN66" s="17">
        <v>497.44900000000001</v>
      </c>
      <c r="CO66" s="17">
        <v>432.42200000000003</v>
      </c>
      <c r="CP66" s="17">
        <v>354.25900000000001</v>
      </c>
      <c r="CQ66" s="17">
        <v>262.94900000000001</v>
      </c>
      <c r="CR66" s="17">
        <v>198.505</v>
      </c>
      <c r="CS66" s="17">
        <v>168.53</v>
      </c>
      <c r="CT66" s="17">
        <v>139.74600000000001</v>
      </c>
      <c r="CU66" s="17">
        <v>104.672</v>
      </c>
      <c r="CV66" s="17">
        <v>63.308</v>
      </c>
      <c r="CW66" s="17">
        <v>37.47</v>
      </c>
      <c r="CX66" s="17">
        <v>61.241</v>
      </c>
      <c r="CY66" s="3">
        <f t="shared" si="87"/>
        <v>318673.42200000014</v>
      </c>
      <c r="CZ66" s="21">
        <f t="shared" si="3"/>
        <v>244061.02299999993</v>
      </c>
      <c r="DA66">
        <f t="shared" si="4"/>
        <v>1.8026385147127736E-2</v>
      </c>
      <c r="DB66">
        <f t="shared" si="5"/>
        <v>1.8383033656299973E-2</v>
      </c>
      <c r="DC66">
        <f t="shared" si="6"/>
        <v>1.8750175442803094E-2</v>
      </c>
      <c r="DD66">
        <f t="shared" si="7"/>
        <v>1.8977167853631433E-2</v>
      </c>
      <c r="DE66">
        <f t="shared" si="8"/>
        <v>1.8982564045058527E-2</v>
      </c>
      <c r="DF66">
        <f t="shared" si="9"/>
        <v>1.88368750711989E-2</v>
      </c>
      <c r="DG66">
        <f t="shared" si="10"/>
        <v>1.8696643748805402E-2</v>
      </c>
      <c r="DH66">
        <f t="shared" si="11"/>
        <v>1.8536081445499807E-2</v>
      </c>
      <c r="DI66">
        <f t="shared" si="12"/>
        <v>1.836015003510004E-2</v>
      </c>
      <c r="DJ66">
        <f t="shared" si="13"/>
        <v>1.818884041963555E-2</v>
      </c>
      <c r="DK66">
        <f t="shared" si="14"/>
        <v>1.8016498275515304E-2</v>
      </c>
      <c r="DL66">
        <f t="shared" si="15"/>
        <v>1.7824075087975032E-2</v>
      </c>
      <c r="DM66">
        <f t="shared" si="16"/>
        <v>1.7623293335126276E-2</v>
      </c>
      <c r="DN66">
        <f t="shared" si="17"/>
        <v>1.7413968636851945E-2</v>
      </c>
      <c r="DO66">
        <f t="shared" si="18"/>
        <v>1.7196740177557977E-2</v>
      </c>
      <c r="DP66">
        <f t="shared" si="19"/>
        <v>1.6982162694614295E-2</v>
      </c>
      <c r="DQ66">
        <f t="shared" si="20"/>
        <v>1.6778508709274734E-2</v>
      </c>
      <c r="DR66">
        <f t="shared" si="21"/>
        <v>1.6582168468580096E-2</v>
      </c>
      <c r="DS66">
        <f t="shared" si="22"/>
        <v>1.6438802684195914E-2</v>
      </c>
      <c r="DT66">
        <f t="shared" si="23"/>
        <v>1.6371421994736134E-2</v>
      </c>
      <c r="DU66">
        <f t="shared" si="24"/>
        <v>1.6361965343396932E-2</v>
      </c>
      <c r="DV66">
        <f t="shared" si="25"/>
        <v>1.6367541817605188E-2</v>
      </c>
      <c r="DW66">
        <f t="shared" si="26"/>
        <v>1.6394506385396908E-2</v>
      </c>
      <c r="DX66">
        <f t="shared" si="27"/>
        <v>1.6450562038330886E-2</v>
      </c>
      <c r="DY66">
        <f t="shared" si="28"/>
        <v>1.6534524646321758E-2</v>
      </c>
      <c r="DZ66">
        <f t="shared" si="29"/>
        <v>1.6644095603909687E-2</v>
      </c>
      <c r="EA66">
        <f t="shared" si="30"/>
        <v>1.6762623337852688E-2</v>
      </c>
      <c r="EB66">
        <f t="shared" si="31"/>
        <v>1.6874796103759675E-2</v>
      </c>
      <c r="EC66">
        <f t="shared" si="32"/>
        <v>1.7047429158731347E-2</v>
      </c>
      <c r="ED66">
        <f t="shared" si="33"/>
        <v>1.7306048905646031E-2</v>
      </c>
      <c r="EE66">
        <f t="shared" si="34"/>
        <v>1.7607743945250942E-2</v>
      </c>
      <c r="EF66">
        <f t="shared" si="35"/>
        <v>1.7882519487759426E-2</v>
      </c>
      <c r="EG66">
        <f t="shared" si="36"/>
        <v>1.8142515939548454E-2</v>
      </c>
      <c r="EH66">
        <f t="shared" si="37"/>
        <v>1.8315907001668189E-2</v>
      </c>
      <c r="EI66">
        <f t="shared" si="38"/>
        <v>1.8359174869147381E-2</v>
      </c>
      <c r="EJ66">
        <f t="shared" si="39"/>
        <v>1.8298751456106127E-2</v>
      </c>
      <c r="EK66">
        <f t="shared" si="40"/>
        <v>1.8214194734404606E-2</v>
      </c>
      <c r="EL66">
        <f t="shared" si="41"/>
        <v>1.8101083678568379E-2</v>
      </c>
      <c r="EM66">
        <f t="shared" si="42"/>
        <v>1.7888259855405104E-2</v>
      </c>
      <c r="EN66">
        <f t="shared" si="43"/>
        <v>1.7551946424480904E-2</v>
      </c>
      <c r="EO66">
        <f t="shared" si="44"/>
        <v>1.7123955101999228E-2</v>
      </c>
      <c r="EP66">
        <f t="shared" si="45"/>
        <v>1.6655408348427686E-2</v>
      </c>
      <c r="EQ66">
        <f t="shared" si="46"/>
        <v>1.6130670729836288E-2</v>
      </c>
      <c r="ER66">
        <f t="shared" si="47"/>
        <v>1.5618581587277872E-2</v>
      </c>
      <c r="ES66">
        <f t="shared" si="48"/>
        <v>1.5156865092710855E-2</v>
      </c>
      <c r="ET66">
        <f t="shared" si="49"/>
        <v>1.4712873673400939E-2</v>
      </c>
      <c r="EU66">
        <f t="shared" si="50"/>
        <v>1.4234292544123284E-2</v>
      </c>
      <c r="EV66">
        <f t="shared" si="51"/>
        <v>1.3753257110620244E-2</v>
      </c>
      <c r="EW66">
        <f t="shared" si="52"/>
        <v>1.3166543188668028E-2</v>
      </c>
      <c r="EX66">
        <f t="shared" si="53"/>
        <v>1.2424532040087371E-2</v>
      </c>
      <c r="EY66">
        <f t="shared" si="54"/>
        <v>1.1590412779676011E-2</v>
      </c>
      <c r="EZ66">
        <f t="shared" si="55"/>
        <v>1.0772166598678891E-2</v>
      </c>
      <c r="FA66">
        <f t="shared" si="56"/>
        <v>9.9424273903826136E-3</v>
      </c>
      <c r="FB66">
        <f t="shared" si="57"/>
        <v>9.2110488285546549E-3</v>
      </c>
      <c r="FC66">
        <f t="shared" si="58"/>
        <v>8.6418264337112128E-3</v>
      </c>
      <c r="FD66">
        <f t="shared" si="59"/>
        <v>8.1842195670875344E-3</v>
      </c>
      <c r="FE66">
        <f t="shared" si="60"/>
        <v>7.7226300899345176E-3</v>
      </c>
      <c r="FF66">
        <f t="shared" si="61"/>
        <v>7.2786960333276994E-3</v>
      </c>
      <c r="FG66">
        <f t="shared" si="62"/>
        <v>6.85262636139979E-3</v>
      </c>
      <c r="FH66">
        <f t="shared" si="63"/>
        <v>6.4324814372346559E-3</v>
      </c>
      <c r="FI66">
        <f t="shared" si="64"/>
        <v>6.0241573272435244E-3</v>
      </c>
      <c r="FJ66">
        <f t="shared" si="65"/>
        <v>5.6394707482644631E-3</v>
      </c>
      <c r="FK66">
        <f t="shared" si="66"/>
        <v>5.2688298368723969E-3</v>
      </c>
      <c r="FL66">
        <f t="shared" si="67"/>
        <v>4.9313568598784423E-3</v>
      </c>
      <c r="FM66">
        <f t="shared" si="68"/>
        <v>4.6353898959114025E-3</v>
      </c>
      <c r="FN66">
        <f t="shared" si="69"/>
        <v>4.3653262897287793E-3</v>
      </c>
      <c r="FO66">
        <f t="shared" si="70"/>
        <v>4.104362866658968E-3</v>
      </c>
      <c r="FP66">
        <f t="shared" si="71"/>
        <v>3.8644146796024872E-3</v>
      </c>
      <c r="FQ66">
        <f t="shared" si="72"/>
        <v>3.5784697993337523E-3</v>
      </c>
      <c r="FR66">
        <f t="shared" si="73"/>
        <v>3.2141879533136276E-3</v>
      </c>
      <c r="FS66">
        <f t="shared" si="74"/>
        <v>2.8050075001119705E-3</v>
      </c>
      <c r="FT66">
        <f t="shared" si="75"/>
        <v>2.3836866405333398E-3</v>
      </c>
      <c r="FU66">
        <f t="shared" si="76"/>
        <v>2.0382156637932317E-3</v>
      </c>
      <c r="FV66">
        <f t="shared" si="77"/>
        <v>1.7717781999135526E-3</v>
      </c>
      <c r="FW66">
        <f t="shared" si="78"/>
        <v>1.4515181311847575E-3</v>
      </c>
      <c r="FX66">
        <f t="shared" si="79"/>
        <v>1.0773903869115556E-3</v>
      </c>
      <c r="FY66">
        <f t="shared" si="80"/>
        <v>8.1334166988229024E-4</v>
      </c>
      <c r="FZ66">
        <f t="shared" si="81"/>
        <v>6.9052402521479247E-4</v>
      </c>
      <c r="GA66">
        <f t="shared" si="82"/>
        <v>5.7258630764651041E-4</v>
      </c>
      <c r="GB66">
        <f t="shared" si="83"/>
        <v>4.2887634704374744E-4</v>
      </c>
      <c r="GC66">
        <f t="shared" si="84"/>
        <v>2.5939414340650377E-4</v>
      </c>
      <c r="GD66">
        <f t="shared" si="85"/>
        <v>1.5352717750429166E-4</v>
      </c>
      <c r="GE66">
        <f t="shared" si="86"/>
        <v>2.5092495002776422E-4</v>
      </c>
    </row>
    <row r="67" spans="1:187">
      <c r="A67" s="4">
        <v>2015</v>
      </c>
      <c r="B67" s="17">
        <v>3763.0520000000001</v>
      </c>
      <c r="C67" s="17">
        <v>3905.357</v>
      </c>
      <c r="D67" s="17">
        <v>4015.585</v>
      </c>
      <c r="E67" s="17">
        <v>4097.32</v>
      </c>
      <c r="F67" s="17">
        <v>4154.1480000000001</v>
      </c>
      <c r="G67" s="17">
        <v>4189.6490000000003</v>
      </c>
      <c r="H67" s="17">
        <v>4207.4089999999997</v>
      </c>
      <c r="I67" s="17">
        <v>4211.0119999999997</v>
      </c>
      <c r="J67" s="17">
        <v>4204.0389999999998</v>
      </c>
      <c r="K67" s="17">
        <v>4190.076</v>
      </c>
      <c r="L67" s="17">
        <v>4169.2780000000002</v>
      </c>
      <c r="M67" s="17">
        <v>4141.8</v>
      </c>
      <c r="N67" s="17">
        <v>4128.3680000000004</v>
      </c>
      <c r="O67" s="17">
        <v>4139.42</v>
      </c>
      <c r="P67" s="17">
        <v>4168.2569999999996</v>
      </c>
      <c r="Q67" s="17">
        <v>4192.5709999999999</v>
      </c>
      <c r="R67" s="17">
        <v>4210.6229999999996</v>
      </c>
      <c r="S67" s="17">
        <v>4252.6059999999998</v>
      </c>
      <c r="T67" s="17">
        <v>4329.317</v>
      </c>
      <c r="U67" s="17">
        <v>4424.9470000000001</v>
      </c>
      <c r="V67" s="17">
        <v>4515.3530000000001</v>
      </c>
      <c r="W67" s="17">
        <v>4608.3209999999999</v>
      </c>
      <c r="X67" s="17">
        <v>4665.8519999999999</v>
      </c>
      <c r="Y67" s="17">
        <v>4667.5200000000004</v>
      </c>
      <c r="Z67" s="17">
        <v>4631.0479999999998</v>
      </c>
      <c r="AA67" s="17">
        <v>4595.7719999999999</v>
      </c>
      <c r="AB67" s="17">
        <v>4555.2359999999999</v>
      </c>
      <c r="AC67" s="17">
        <v>4510.7070000000003</v>
      </c>
      <c r="AD67" s="17">
        <v>4467.2179999999998</v>
      </c>
      <c r="AE67" s="17">
        <v>4423.3779999999997</v>
      </c>
      <c r="AF67" s="17">
        <v>4374.37</v>
      </c>
      <c r="AG67" s="17">
        <v>4323.0950000000003</v>
      </c>
      <c r="AH67" s="17">
        <v>4269.8429999999998</v>
      </c>
      <c r="AI67" s="17">
        <v>4214.9229999999998</v>
      </c>
      <c r="AJ67" s="17">
        <v>4160.82</v>
      </c>
      <c r="AK67" s="17">
        <v>4109.2969999999996</v>
      </c>
      <c r="AL67" s="17">
        <v>4059.51</v>
      </c>
      <c r="AM67" s="17">
        <v>4022.7510000000002</v>
      </c>
      <c r="AN67" s="17">
        <v>4004.6790000000001</v>
      </c>
      <c r="AO67" s="17">
        <v>4000.8380000000002</v>
      </c>
      <c r="AP67" s="17">
        <v>4000.6509999999998</v>
      </c>
      <c r="AQ67" s="17">
        <v>4005.674</v>
      </c>
      <c r="AR67" s="17">
        <v>4017.8090000000002</v>
      </c>
      <c r="AS67" s="17">
        <v>4036.7620000000002</v>
      </c>
      <c r="AT67" s="17">
        <v>4061.951</v>
      </c>
      <c r="AU67" s="17">
        <v>4089.3130000000001</v>
      </c>
      <c r="AV67" s="17">
        <v>4115.1279999999997</v>
      </c>
      <c r="AW67" s="17">
        <v>4155.5339999999997</v>
      </c>
      <c r="AX67" s="17">
        <v>4216.683</v>
      </c>
      <c r="AY67" s="17">
        <v>4288.183</v>
      </c>
      <c r="AZ67" s="17">
        <v>4353.1270000000004</v>
      </c>
      <c r="BA67" s="17">
        <v>4414.4650000000001</v>
      </c>
      <c r="BB67" s="17">
        <v>4454.6459999999997</v>
      </c>
      <c r="BC67" s="17">
        <v>4463.0550000000003</v>
      </c>
      <c r="BD67" s="17">
        <v>4446.17</v>
      </c>
      <c r="BE67" s="17">
        <v>4423.4070000000002</v>
      </c>
      <c r="BF67" s="17">
        <v>4393.674</v>
      </c>
      <c r="BG67" s="17">
        <v>4339.7740000000003</v>
      </c>
      <c r="BH67" s="17">
        <v>4255.9790000000003</v>
      </c>
      <c r="BI67" s="17">
        <v>4149.9859999999999</v>
      </c>
      <c r="BJ67" s="17">
        <v>4034.136</v>
      </c>
      <c r="BK67" s="17">
        <v>3904.665</v>
      </c>
      <c r="BL67" s="17">
        <v>3778.2449999999999</v>
      </c>
      <c r="BM67" s="17">
        <v>3664.0120000000002</v>
      </c>
      <c r="BN67" s="17">
        <v>3554.076</v>
      </c>
      <c r="BO67" s="17">
        <v>3435.761</v>
      </c>
      <c r="BP67" s="17">
        <v>3316.8249999999998</v>
      </c>
      <c r="BQ67" s="17">
        <v>3172.4349999999999</v>
      </c>
      <c r="BR67" s="17">
        <v>2990.652</v>
      </c>
      <c r="BS67" s="17">
        <v>2786.6889999999999</v>
      </c>
      <c r="BT67" s="17">
        <v>2586.5329999999999</v>
      </c>
      <c r="BU67" s="17">
        <v>2383.5819999999999</v>
      </c>
      <c r="BV67" s="17">
        <v>2204.3670000000002</v>
      </c>
      <c r="BW67" s="17">
        <v>2064.2869999999998</v>
      </c>
      <c r="BX67" s="17">
        <v>1951.126</v>
      </c>
      <c r="BY67" s="17">
        <v>1836.96</v>
      </c>
      <c r="BZ67" s="17">
        <v>1727.001</v>
      </c>
      <c r="CA67" s="17">
        <v>1621.3050000000001</v>
      </c>
      <c r="CB67" s="17">
        <v>1516.9829999999999</v>
      </c>
      <c r="CC67" s="17">
        <v>1415.442</v>
      </c>
      <c r="CD67" s="17">
        <v>1319.711</v>
      </c>
      <c r="CE67" s="17">
        <v>1227.6669999999999</v>
      </c>
      <c r="CF67" s="17">
        <v>1142.9110000000001</v>
      </c>
      <c r="CG67" s="17">
        <v>1067.0409999999999</v>
      </c>
      <c r="CH67" s="17">
        <v>996.88199999999995</v>
      </c>
      <c r="CI67" s="17">
        <v>929.41800000000001</v>
      </c>
      <c r="CJ67" s="17">
        <v>867.36099999999999</v>
      </c>
      <c r="CK67" s="17">
        <v>795.28499999999997</v>
      </c>
      <c r="CL67" s="17">
        <v>705.87599999999998</v>
      </c>
      <c r="CM67" s="17">
        <v>606.93899999999996</v>
      </c>
      <c r="CN67" s="17">
        <v>503.24599999999998</v>
      </c>
      <c r="CO67" s="17">
        <v>422.339</v>
      </c>
      <c r="CP67" s="17">
        <v>365.04700000000003</v>
      </c>
      <c r="CQ67" s="17">
        <v>290.161</v>
      </c>
      <c r="CR67" s="17">
        <v>197.68100000000001</v>
      </c>
      <c r="CS67" s="17">
        <v>140.858</v>
      </c>
      <c r="CT67" s="17">
        <v>121.949</v>
      </c>
      <c r="CU67" s="17">
        <v>98.837000000000003</v>
      </c>
      <c r="CV67" s="17">
        <v>71.521000000000001</v>
      </c>
      <c r="CW67" s="17">
        <v>40.000999999999998</v>
      </c>
      <c r="CX67" s="17">
        <v>65.162999999999997</v>
      </c>
      <c r="CY67" s="3">
        <f t="shared" si="87"/>
        <v>320878.31200000003</v>
      </c>
      <c r="CZ67" s="21">
        <f t="shared" ref="CZ67:CZ130" si="88">SUM(T67:CX67)</f>
        <v>246537.74200000003</v>
      </c>
      <c r="DA67">
        <f t="shared" ref="DA67:DA130" si="89">T67/$CZ67</f>
        <v>1.756046341983614E-2</v>
      </c>
      <c r="DB67">
        <f t="shared" ref="DB67:DB130" si="90">U67/$CZ67</f>
        <v>1.7948355347555667E-2</v>
      </c>
      <c r="DC67">
        <f t="shared" ref="DC67:DC130" si="91">V67/$CZ67</f>
        <v>1.8315057821856742E-2</v>
      </c>
      <c r="DD67">
        <f t="shared" ref="DD67:DD130" si="92">W67/$CZ67</f>
        <v>1.8692152214162809E-2</v>
      </c>
      <c r="DE67">
        <f t="shared" ref="DE67:DE130" si="93">X67/$CZ67</f>
        <v>1.8925507965429484E-2</v>
      </c>
      <c r="DF67">
        <f t="shared" ref="DF67:DF130" si="94">Y67/$CZ67</f>
        <v>1.8932273663802762E-2</v>
      </c>
      <c r="DG67">
        <f t="shared" ref="DG67:DG130" si="95">Z67/$CZ67</f>
        <v>1.8784336882585708E-2</v>
      </c>
      <c r="DH67">
        <f t="shared" ref="DH67:DH130" si="96">AA67/$CZ67</f>
        <v>1.8641251285573951E-2</v>
      </c>
      <c r="DI67">
        <f t="shared" ref="DI67:DI130" si="97">AB67/$CZ67</f>
        <v>1.8476830212876695E-2</v>
      </c>
      <c r="DJ67">
        <f t="shared" ref="DJ67:DJ130" si="98">AC67/$CZ67</f>
        <v>1.8296212837059244E-2</v>
      </c>
      <c r="DK67">
        <f t="shared" ref="DK67:DK130" si="99">AD67/$CZ67</f>
        <v>1.8119813882289875E-2</v>
      </c>
      <c r="DL67">
        <f t="shared" ref="DL67:DL130" si="100">AE67/$CZ67</f>
        <v>1.7941991210416779E-2</v>
      </c>
      <c r="DM67">
        <f t="shared" ref="DM67:DM130" si="101">AF67/$CZ67</f>
        <v>1.774320623087397E-2</v>
      </c>
      <c r="DN67">
        <f t="shared" ref="DN67:DN130" si="102">AG67/$CZ67</f>
        <v>1.7535225904681158E-2</v>
      </c>
      <c r="DO67">
        <f t="shared" ref="DO67:DO130" si="103">AH67/$CZ67</f>
        <v>1.7319226522322897E-2</v>
      </c>
      <c r="DP67">
        <f t="shared" ref="DP67:DP130" si="104">AI67/$CZ67</f>
        <v>1.7096461441591361E-2</v>
      </c>
      <c r="DQ67">
        <f t="shared" ref="DQ67:DQ130" si="105">AJ67/$CZ67</f>
        <v>1.6877010255087026E-2</v>
      </c>
      <c r="DR67">
        <f t="shared" ref="DR67:DR130" si="106">AK67/$CZ67</f>
        <v>1.6668023997721205E-2</v>
      </c>
      <c r="DS67">
        <f t="shared" ref="DS67:DS130" si="107">AL67/$CZ67</f>
        <v>1.6466079258566423E-2</v>
      </c>
      <c r="DT67">
        <f t="shared" ref="DT67:DT130" si="108">AM67/$CZ67</f>
        <v>1.6316978355387063E-2</v>
      </c>
      <c r="DU67">
        <f t="shared" ref="DU67:DU130" si="109">AN67/$CZ67</f>
        <v>1.6243675177328425E-2</v>
      </c>
      <c r="DV67">
        <f t="shared" ref="DV67:DV130" si="110">AO67/$CZ67</f>
        <v>1.6228095412669105E-2</v>
      </c>
      <c r="DW67">
        <f t="shared" ref="DW67:DW130" si="111">AP67/$CZ67</f>
        <v>1.6227336908115265E-2</v>
      </c>
      <c r="DX67">
        <f t="shared" ref="DX67:DX130" si="112">AQ67/$CZ67</f>
        <v>1.6247711070542698E-2</v>
      </c>
      <c r="DY67">
        <f t="shared" ref="DY67:DY130" si="113">AR67/$CZ67</f>
        <v>1.6296932743060492E-2</v>
      </c>
      <c r="DZ67">
        <f t="shared" ref="DZ67:DZ130" si="114">AS67/$CZ67</f>
        <v>1.6373809410487744E-2</v>
      </c>
      <c r="EA67">
        <f t="shared" ref="EA67:EA130" si="115">AT67/$CZ67</f>
        <v>1.6475980379507166E-2</v>
      </c>
      <c r="EB67">
        <f t="shared" ref="EB67:EB130" si="116">AU67/$CZ67</f>
        <v>1.6586965414812631E-2</v>
      </c>
      <c r="EC67">
        <f t="shared" ref="EC67:EC130" si="117">AV67/$CZ67</f>
        <v>1.6691675548809071E-2</v>
      </c>
      <c r="ED67">
        <f t="shared" ref="ED67:ED130" si="118">AW67/$CZ67</f>
        <v>1.6855569318875319E-2</v>
      </c>
      <c r="EE67">
        <f t="shared" ref="EE67:EE130" si="119">AX67/$CZ67</f>
        <v>1.7103600307980429E-2</v>
      </c>
      <c r="EF67">
        <f t="shared" ref="EF67:EF130" si="120">AY67/$CZ67</f>
        <v>1.7393616755036232E-2</v>
      </c>
      <c r="EG67">
        <f t="shared" ref="EG67:EG130" si="121">AZ67/$CZ67</f>
        <v>1.7657040924792766E-2</v>
      </c>
      <c r="EH67">
        <f t="shared" ref="EH67:EH130" si="122">BA67/$CZ67</f>
        <v>1.790583853079988E-2</v>
      </c>
      <c r="EI67">
        <f t="shared" ref="EI67:EI130" si="123">BB67/$CZ67</f>
        <v>1.8068819661697069E-2</v>
      </c>
      <c r="EJ67">
        <f t="shared" ref="EJ67:EJ130" si="124">BC67/$CZ67</f>
        <v>1.8102928029575284E-2</v>
      </c>
      <c r="EK67">
        <f t="shared" ref="EK67:EK130" si="125">BD67/$CZ67</f>
        <v>1.8034439530155183E-2</v>
      </c>
      <c r="EL67">
        <f t="shared" ref="EL67:EL130" si="126">BE67/$CZ67</f>
        <v>1.7942108839465235E-2</v>
      </c>
      <c r="EM67">
        <f t="shared" ref="EM67:EM130" si="127">BF67/$CZ67</f>
        <v>1.7821506615404954E-2</v>
      </c>
      <c r="EN67">
        <f t="shared" ref="EN67:EN130" si="128">BG67/$CZ67</f>
        <v>1.7602878832239811E-2</v>
      </c>
      <c r="EO67">
        <f t="shared" ref="EO67:EO130" si="129">BH67/$CZ67</f>
        <v>1.7262991724812667E-2</v>
      </c>
      <c r="EP67">
        <f t="shared" ref="EP67:EP130" si="130">BI67/$CZ67</f>
        <v>1.6833065665053423E-2</v>
      </c>
      <c r="EQ67">
        <f t="shared" ref="EQ67:EQ130" si="131">BJ67/$CZ67</f>
        <v>1.6363157897341329E-2</v>
      </c>
      <c r="ER67">
        <f t="shared" ref="ER67:ER130" si="132">BK67/$CZ67</f>
        <v>1.5838000982421586E-2</v>
      </c>
      <c r="ES67">
        <f t="shared" ref="ES67:ES130" si="133">BL67/$CZ67</f>
        <v>1.532521945463425E-2</v>
      </c>
      <c r="ET67">
        <f t="shared" ref="ET67:ET130" si="134">BM67/$CZ67</f>
        <v>1.4861870520417111E-2</v>
      </c>
      <c r="EU67">
        <f t="shared" ref="EU67:EU130" si="135">BN67/$CZ67</f>
        <v>1.4415950966241913E-2</v>
      </c>
      <c r="EV67">
        <f t="shared" ref="EV67:EV130" si="136">BO67/$CZ67</f>
        <v>1.3936044729411044E-2</v>
      </c>
      <c r="EW67">
        <f t="shared" ref="EW67:EW130" si="137">BP67/$CZ67</f>
        <v>1.3453619608473575E-2</v>
      </c>
      <c r="EX67">
        <f t="shared" ref="EX67:EX130" si="138">BQ67/$CZ67</f>
        <v>1.2867948632384245E-2</v>
      </c>
      <c r="EY67">
        <f t="shared" ref="EY67:EY130" si="139">BR67/$CZ67</f>
        <v>1.2130605138745854E-2</v>
      </c>
      <c r="EZ67">
        <f t="shared" ref="EZ67:EZ130" si="140">BS67/$CZ67</f>
        <v>1.1303295703908894E-2</v>
      </c>
      <c r="FA67">
        <f t="shared" ref="FA67:FA130" si="141">BT67/$CZ67</f>
        <v>1.0491428123812376E-2</v>
      </c>
      <c r="FB67">
        <f t="shared" ref="FB67:FB130" si="142">BU67/$CZ67</f>
        <v>9.6682235371491291E-3</v>
      </c>
      <c r="FC67">
        <f t="shared" ref="FC67:FC130" si="143">BV67/$CZ67</f>
        <v>8.9412962985602421E-3</v>
      </c>
      <c r="FD67">
        <f t="shared" ref="FD67:FD130" si="144">BW67/$CZ67</f>
        <v>8.3731074327759499E-3</v>
      </c>
      <c r="FE67">
        <f t="shared" ref="FE67:FE130" si="145">BX67/$CZ67</f>
        <v>7.9141067171776061E-3</v>
      </c>
      <c r="FF67">
        <f t="shared" ref="FF67:FF130" si="146">BY67/$CZ67</f>
        <v>7.4510295466241423E-3</v>
      </c>
      <c r="FG67">
        <f t="shared" ref="FG67:FG130" si="147">BZ67/$CZ67</f>
        <v>7.0050167004449965E-3</v>
      </c>
      <c r="FH67">
        <f t="shared" ref="FH67:FH130" si="148">CA67/$CZ67</f>
        <v>6.5762953243889118E-3</v>
      </c>
      <c r="FI67">
        <f t="shared" ref="FI67:FI130" si="149">CB67/$CZ67</f>
        <v>6.1531471315251999E-3</v>
      </c>
      <c r="FJ67">
        <f t="shared" ref="FJ67:FJ130" si="150">CC67/$CZ67</f>
        <v>5.7412791587910291E-3</v>
      </c>
      <c r="FK67">
        <f t="shared" ref="FK67:FK130" si="151">CD67/$CZ67</f>
        <v>5.3529775574889457E-3</v>
      </c>
      <c r="FL67">
        <f t="shared" ref="FL67:FL130" si="152">CE67/$CZ67</f>
        <v>4.9796310700371375E-3</v>
      </c>
      <c r="FM67">
        <f t="shared" ref="FM67:FM130" si="153">CF67/$CZ67</f>
        <v>4.6358459793145986E-3</v>
      </c>
      <c r="FN67">
        <f t="shared" ref="FN67:FN130" si="154">CG67/$CZ67</f>
        <v>4.3281040515086725E-3</v>
      </c>
      <c r="FO67">
        <f t="shared" ref="FO67:FO130" si="155">CH67/$CZ67</f>
        <v>4.0435269339004487E-3</v>
      </c>
      <c r="FP67">
        <f t="shared" ref="FP67:FP130" si="156">CI67/$CZ67</f>
        <v>3.7698812054504818E-3</v>
      </c>
      <c r="FQ67">
        <f t="shared" ref="FQ67:FQ130" si="157">CJ67/$CZ67</f>
        <v>3.518167210276469E-3</v>
      </c>
      <c r="FR67">
        <f t="shared" ref="FR67:FR130" si="158">CK67/$CZ67</f>
        <v>3.2258144069478817E-3</v>
      </c>
      <c r="FS67">
        <f t="shared" ref="FS67:FS130" si="159">CL67/$CZ67</f>
        <v>2.8631559382092495E-3</v>
      </c>
      <c r="FT67">
        <f t="shared" ref="FT67:FT130" si="160">CM67/$CZ67</f>
        <v>2.4618502427916286E-3</v>
      </c>
      <c r="FU67">
        <f t="shared" ref="FU67:FU130" si="161">CN67/$CZ67</f>
        <v>2.0412533834271913E-3</v>
      </c>
      <c r="FV67">
        <f t="shared" ref="FV67:FV130" si="162">CO67/$CZ67</f>
        <v>1.7130805067566489E-3</v>
      </c>
      <c r="FW67">
        <f t="shared" ref="FW67:FW130" si="163">CP67/$CZ67</f>
        <v>1.4806941810962151E-3</v>
      </c>
      <c r="FX67">
        <f t="shared" ref="FX67:FX130" si="164">CQ67/$CZ67</f>
        <v>1.1769435285896306E-3</v>
      </c>
      <c r="FY67">
        <f t="shared" ref="FY67:FY130" si="165">CR67/$CZ67</f>
        <v>8.0182854923689531E-4</v>
      </c>
      <c r="FZ67">
        <f t="shared" ref="FZ67:FZ130" si="166">CS67/$CZ67</f>
        <v>5.7134456922218425E-4</v>
      </c>
      <c r="GA67">
        <f t="shared" ref="GA67:GA130" si="167">CT67/$CZ67</f>
        <v>4.9464637345465745E-4</v>
      </c>
      <c r="GB67">
        <f t="shared" ref="GB67:GB130" si="168">CU67/$CZ67</f>
        <v>4.0090007800915121E-4</v>
      </c>
      <c r="GC67">
        <f t="shared" ref="GC67:GC130" si="169">CV67/$CZ67</f>
        <v>2.9010162671158071E-4</v>
      </c>
      <c r="GD67">
        <f t="shared" ref="GD67:GD130" si="170">CW67/$CZ67</f>
        <v>1.6225101956194598E-4</v>
      </c>
      <c r="GE67">
        <f t="shared" ref="GE67:GE130" si="171">CX67/$CZ67</f>
        <v>2.6431247188108016E-4</v>
      </c>
    </row>
    <row r="68" spans="1:187">
      <c r="A68" s="4">
        <v>2016</v>
      </c>
      <c r="B68" s="17">
        <v>3764.4259999999999</v>
      </c>
      <c r="C68" s="17">
        <v>3801.2040000000002</v>
      </c>
      <c r="D68" s="17">
        <v>3921.1990000000001</v>
      </c>
      <c r="E68" s="17">
        <v>4017.0940000000001</v>
      </c>
      <c r="F68" s="17">
        <v>4091.2539999999999</v>
      </c>
      <c r="G68" s="17">
        <v>4146.0479999999998</v>
      </c>
      <c r="H68" s="17">
        <v>4184.9059999999999</v>
      </c>
      <c r="I68" s="17">
        <v>4211.2610000000004</v>
      </c>
      <c r="J68" s="17">
        <v>4222.1629999999996</v>
      </c>
      <c r="K68" s="17">
        <v>4217.8540000000003</v>
      </c>
      <c r="L68" s="17">
        <v>4203.8909999999996</v>
      </c>
      <c r="M68" s="17">
        <v>4185.6210000000001</v>
      </c>
      <c r="N68" s="17">
        <v>4162.0050000000001</v>
      </c>
      <c r="O68" s="17">
        <v>4152.4319999999998</v>
      </c>
      <c r="P68" s="17">
        <v>4167.1379999999999</v>
      </c>
      <c r="Q68" s="17">
        <v>4199.3450000000003</v>
      </c>
      <c r="R68" s="17">
        <v>4226.9620000000004</v>
      </c>
      <c r="S68" s="17">
        <v>4248.32</v>
      </c>
      <c r="T68" s="17">
        <v>4292.3530000000001</v>
      </c>
      <c r="U68" s="17">
        <v>4369.2870000000003</v>
      </c>
      <c r="V68" s="17">
        <v>4463.8500000000004</v>
      </c>
      <c r="W68" s="17">
        <v>4553.0619999999999</v>
      </c>
      <c r="X68" s="17">
        <v>4644.5420000000004</v>
      </c>
      <c r="Y68" s="17">
        <v>4700.3559999999998</v>
      </c>
      <c r="Z68" s="17">
        <v>4700.2470000000003</v>
      </c>
      <c r="AA68" s="17">
        <v>4661.9219999999996</v>
      </c>
      <c r="AB68" s="17">
        <v>4624.5290000000005</v>
      </c>
      <c r="AC68" s="17">
        <v>4581.6679999999997</v>
      </c>
      <c r="AD68" s="17">
        <v>4534.915</v>
      </c>
      <c r="AE68" s="17">
        <v>4489.4470000000001</v>
      </c>
      <c r="AF68" s="17">
        <v>4443.7960000000003</v>
      </c>
      <c r="AG68" s="17">
        <v>4392.9160000000002</v>
      </c>
      <c r="AH68" s="17">
        <v>4339.7380000000003</v>
      </c>
      <c r="AI68" s="17">
        <v>4284.7280000000001</v>
      </c>
      <c r="AJ68" s="17">
        <v>4228.2539999999999</v>
      </c>
      <c r="AK68" s="17">
        <v>4172.74</v>
      </c>
      <c r="AL68" s="17">
        <v>4119.8100000000004</v>
      </c>
      <c r="AM68" s="17">
        <v>4068.6260000000002</v>
      </c>
      <c r="AN68" s="17">
        <v>4030.5259999999998</v>
      </c>
      <c r="AO68" s="17">
        <v>4011.1689999999999</v>
      </c>
      <c r="AP68" s="17">
        <v>4006.07</v>
      </c>
      <c r="AQ68" s="17">
        <v>4004.6010000000001</v>
      </c>
      <c r="AR68" s="17">
        <v>4008.3159999999998</v>
      </c>
      <c r="AS68" s="17">
        <v>4019.06</v>
      </c>
      <c r="AT68" s="17">
        <v>4036.5030000000002</v>
      </c>
      <c r="AU68" s="17">
        <v>4060.07</v>
      </c>
      <c r="AV68" s="17">
        <v>4085.7629999999999</v>
      </c>
      <c r="AW68" s="17">
        <v>4109.875</v>
      </c>
      <c r="AX68" s="17">
        <v>4148.3580000000002</v>
      </c>
      <c r="AY68" s="17">
        <v>4207.2860000000001</v>
      </c>
      <c r="AZ68" s="17">
        <v>4276.3549999999996</v>
      </c>
      <c r="BA68" s="17">
        <v>4338.8519999999999</v>
      </c>
      <c r="BB68" s="17">
        <v>4397.7259999999997</v>
      </c>
      <c r="BC68" s="17">
        <v>4435.3850000000002</v>
      </c>
      <c r="BD68" s="17">
        <v>4441.2349999999997</v>
      </c>
      <c r="BE68" s="17">
        <v>4421.7889999999998</v>
      </c>
      <c r="BF68" s="17">
        <v>4396.4530000000004</v>
      </c>
      <c r="BG68" s="17">
        <v>4364.107</v>
      </c>
      <c r="BH68" s="17">
        <v>4307.8429999999998</v>
      </c>
      <c r="BI68" s="17">
        <v>4222.0690000000004</v>
      </c>
      <c r="BJ68" s="17">
        <v>4114.3440000000001</v>
      </c>
      <c r="BK68" s="17">
        <v>3996.7829999999999</v>
      </c>
      <c r="BL68" s="17">
        <v>3865.7159999999999</v>
      </c>
      <c r="BM68" s="17">
        <v>3737.5070000000001</v>
      </c>
      <c r="BN68" s="17">
        <v>3621.1379999999999</v>
      </c>
      <c r="BO68" s="17">
        <v>3508.8870000000002</v>
      </c>
      <c r="BP68" s="17">
        <v>3388.35</v>
      </c>
      <c r="BQ68" s="17">
        <v>3267.1610000000001</v>
      </c>
      <c r="BR68" s="17">
        <v>3120.951</v>
      </c>
      <c r="BS68" s="17">
        <v>2938.0129999999999</v>
      </c>
      <c r="BT68" s="17">
        <v>2733.308</v>
      </c>
      <c r="BU68" s="17">
        <v>2532.36</v>
      </c>
      <c r="BV68" s="17">
        <v>2328.6889999999999</v>
      </c>
      <c r="BW68" s="17">
        <v>2148.442</v>
      </c>
      <c r="BX68" s="17">
        <v>2006.787</v>
      </c>
      <c r="BY68" s="17">
        <v>1891.702</v>
      </c>
      <c r="BZ68" s="17">
        <v>1775.75</v>
      </c>
      <c r="CA68" s="17">
        <v>1664.107</v>
      </c>
      <c r="CB68" s="17">
        <v>1556.636</v>
      </c>
      <c r="CC68" s="17">
        <v>1450.425</v>
      </c>
      <c r="CD68" s="17">
        <v>1346.9839999999999</v>
      </c>
      <c r="CE68" s="17">
        <v>1249.6500000000001</v>
      </c>
      <c r="CF68" s="17">
        <v>1156.442</v>
      </c>
      <c r="CG68" s="17">
        <v>1070.403</v>
      </c>
      <c r="CH68" s="17">
        <v>992.95100000000002</v>
      </c>
      <c r="CI68" s="17">
        <v>921.31500000000005</v>
      </c>
      <c r="CJ68" s="17">
        <v>851.82799999999997</v>
      </c>
      <c r="CK68" s="17">
        <v>791.99400000000003</v>
      </c>
      <c r="CL68" s="17">
        <v>722.75</v>
      </c>
      <c r="CM68" s="17">
        <v>635.23500000000001</v>
      </c>
      <c r="CN68" s="17">
        <v>535.69799999999998</v>
      </c>
      <c r="CO68" s="17">
        <v>439.48700000000002</v>
      </c>
      <c r="CP68" s="17">
        <v>370.22</v>
      </c>
      <c r="CQ68" s="17">
        <v>318.63499999999999</v>
      </c>
      <c r="CR68" s="17">
        <v>251.72900000000001</v>
      </c>
      <c r="CS68" s="17">
        <v>169.50200000000001</v>
      </c>
      <c r="CT68" s="17">
        <v>129.73500000000001</v>
      </c>
      <c r="CU68" s="17">
        <v>105.41800000000001</v>
      </c>
      <c r="CV68" s="17">
        <v>76.477000000000004</v>
      </c>
      <c r="CW68" s="17">
        <v>42.914000000000001</v>
      </c>
      <c r="CX68" s="17">
        <v>70.248999999999995</v>
      </c>
      <c r="CY68" s="3">
        <f t="shared" si="87"/>
        <v>323015.99199999985</v>
      </c>
      <c r="CZ68" s="21">
        <f t="shared" si="88"/>
        <v>248892.86899999998</v>
      </c>
      <c r="DA68">
        <f t="shared" si="89"/>
        <v>1.7245785374429511E-2</v>
      </c>
      <c r="DB68">
        <f t="shared" si="90"/>
        <v>1.7554890252801901E-2</v>
      </c>
      <c r="DC68">
        <f t="shared" si="91"/>
        <v>1.7934824802071772E-2</v>
      </c>
      <c r="DD68">
        <f t="shared" si="92"/>
        <v>1.8293260141575212E-2</v>
      </c>
      <c r="DE68">
        <f t="shared" si="93"/>
        <v>1.8660807835358277E-2</v>
      </c>
      <c r="DF68">
        <f t="shared" si="94"/>
        <v>1.8885056927846335E-2</v>
      </c>
      <c r="DG68">
        <f t="shared" si="95"/>
        <v>1.888461898842108E-2</v>
      </c>
      <c r="DH68">
        <f t="shared" si="96"/>
        <v>1.8730637075825583E-2</v>
      </c>
      <c r="DI68">
        <f t="shared" si="97"/>
        <v>1.8580399746205668E-2</v>
      </c>
      <c r="DJ68">
        <f t="shared" si="98"/>
        <v>1.8408193125050924E-2</v>
      </c>
      <c r="DK68">
        <f t="shared" si="99"/>
        <v>1.8220349253959545E-2</v>
      </c>
      <c r="DL68">
        <f t="shared" si="100"/>
        <v>1.8037668246734705E-2</v>
      </c>
      <c r="DM68">
        <f t="shared" si="101"/>
        <v>1.7854251983410584E-2</v>
      </c>
      <c r="DN68">
        <f t="shared" si="102"/>
        <v>1.7649826681052885E-2</v>
      </c>
      <c r="DO68">
        <f t="shared" si="103"/>
        <v>1.7436168490628796E-2</v>
      </c>
      <c r="DP68">
        <f t="shared" si="104"/>
        <v>1.7215149703626104E-2</v>
      </c>
      <c r="DQ68">
        <f t="shared" si="105"/>
        <v>1.6988248867829157E-2</v>
      </c>
      <c r="DR68">
        <f t="shared" si="106"/>
        <v>1.6765205113208767E-2</v>
      </c>
      <c r="DS68">
        <f t="shared" si="107"/>
        <v>1.655254333542196E-2</v>
      </c>
      <c r="DT68">
        <f t="shared" si="108"/>
        <v>1.6346896624025015E-2</v>
      </c>
      <c r="DU68">
        <f t="shared" si="109"/>
        <v>1.6193818714830277E-2</v>
      </c>
      <c r="DV68">
        <f t="shared" si="110"/>
        <v>1.6116046297814986E-2</v>
      </c>
      <c r="DW68">
        <f t="shared" si="111"/>
        <v>1.6095559571857404E-2</v>
      </c>
      <c r="DX68">
        <f t="shared" si="112"/>
        <v>1.6089657434098688E-2</v>
      </c>
      <c r="DY68">
        <f t="shared" si="113"/>
        <v>1.6104583534693396E-2</v>
      </c>
      <c r="DZ68">
        <f t="shared" si="114"/>
        <v>1.6147750701527734E-2</v>
      </c>
      <c r="EA68">
        <f t="shared" si="115"/>
        <v>1.6217833062947256E-2</v>
      </c>
      <c r="EB68">
        <f t="shared" si="116"/>
        <v>1.6312520388038921E-2</v>
      </c>
      <c r="EC68">
        <f t="shared" si="117"/>
        <v>1.6415749540819511E-2</v>
      </c>
      <c r="ED68">
        <f t="shared" si="118"/>
        <v>1.6512626563037449E-2</v>
      </c>
      <c r="EE68">
        <f t="shared" si="119"/>
        <v>1.6667243286909921E-2</v>
      </c>
      <c r="EF68">
        <f t="shared" si="120"/>
        <v>1.690400378646445E-2</v>
      </c>
      <c r="EG68">
        <f t="shared" si="121"/>
        <v>1.7181508723739289E-2</v>
      </c>
      <c r="EH68">
        <f t="shared" si="122"/>
        <v>1.7432608726126262E-2</v>
      </c>
      <c r="EI68">
        <f t="shared" si="123"/>
        <v>1.7669152264864606E-2</v>
      </c>
      <c r="EJ68">
        <f t="shared" si="124"/>
        <v>1.7820458327393866E-2</v>
      </c>
      <c r="EK68">
        <f t="shared" si="125"/>
        <v>1.7843962415813527E-2</v>
      </c>
      <c r="EL68">
        <f t="shared" si="126"/>
        <v>1.7765832415230828E-2</v>
      </c>
      <c r="EM68">
        <f t="shared" si="127"/>
        <v>1.7664037614512774E-2</v>
      </c>
      <c r="EN68">
        <f t="shared" si="128"/>
        <v>1.7534078085620044E-2</v>
      </c>
      <c r="EO68">
        <f t="shared" si="129"/>
        <v>1.7308020986330469E-2</v>
      </c>
      <c r="EP68">
        <f t="shared" si="130"/>
        <v>1.6963398818790588E-2</v>
      </c>
      <c r="EQ68">
        <f t="shared" si="131"/>
        <v>1.6530582079472916E-2</v>
      </c>
      <c r="ER68">
        <f t="shared" si="132"/>
        <v>1.6058246329267074E-2</v>
      </c>
      <c r="ES68">
        <f t="shared" si="133"/>
        <v>1.5531646268258495E-2</v>
      </c>
      <c r="ET68">
        <f t="shared" si="134"/>
        <v>1.5016529059335969E-2</v>
      </c>
      <c r="EU68">
        <f t="shared" si="135"/>
        <v>1.4548982518257685E-2</v>
      </c>
      <c r="EV68">
        <f t="shared" si="136"/>
        <v>1.4097981248309691E-2</v>
      </c>
      <c r="EW68">
        <f t="shared" si="137"/>
        <v>1.3613688546456509E-2</v>
      </c>
      <c r="EX68">
        <f t="shared" si="138"/>
        <v>1.312677624363758E-2</v>
      </c>
      <c r="EY68">
        <f t="shared" si="139"/>
        <v>1.2539334744861654E-2</v>
      </c>
      <c r="EZ68">
        <f t="shared" si="140"/>
        <v>1.1804327748739157E-2</v>
      </c>
      <c r="FA68">
        <f t="shared" si="141"/>
        <v>1.0981865454731048E-2</v>
      </c>
      <c r="FB68">
        <f t="shared" si="142"/>
        <v>1.0174498008619123E-2</v>
      </c>
      <c r="FC68">
        <f t="shared" si="143"/>
        <v>9.3561901124615994E-3</v>
      </c>
      <c r="FD68">
        <f t="shared" si="144"/>
        <v>8.6319949970121487E-3</v>
      </c>
      <c r="FE68">
        <f t="shared" si="145"/>
        <v>8.0628545448604236E-3</v>
      </c>
      <c r="FF68">
        <f t="shared" si="146"/>
        <v>7.6004668498557918E-3</v>
      </c>
      <c r="FG68">
        <f t="shared" si="147"/>
        <v>7.1345957284135774E-3</v>
      </c>
      <c r="FH68">
        <f t="shared" si="148"/>
        <v>6.6860372765440703E-3</v>
      </c>
      <c r="FI68">
        <f t="shared" si="149"/>
        <v>6.2542410566210323E-3</v>
      </c>
      <c r="FJ68">
        <f t="shared" si="150"/>
        <v>5.8275072557422286E-3</v>
      </c>
      <c r="FK68">
        <f t="shared" si="151"/>
        <v>5.4119027411749596E-3</v>
      </c>
      <c r="FL68">
        <f t="shared" si="152"/>
        <v>5.0208348878006638E-3</v>
      </c>
      <c r="FM68">
        <f t="shared" si="153"/>
        <v>4.6463444478997912E-3</v>
      </c>
      <c r="FN68">
        <f t="shared" si="154"/>
        <v>4.3006575652434625E-3</v>
      </c>
      <c r="FO68">
        <f t="shared" si="155"/>
        <v>3.9894714701528876E-3</v>
      </c>
      <c r="FP68">
        <f t="shared" si="156"/>
        <v>3.7016528585236412E-3</v>
      </c>
      <c r="FQ68">
        <f t="shared" si="157"/>
        <v>3.4224684838198398E-3</v>
      </c>
      <c r="FR68">
        <f t="shared" si="158"/>
        <v>3.1820678639049322E-3</v>
      </c>
      <c r="FS68">
        <f t="shared" si="159"/>
        <v>2.9038598128739482E-3</v>
      </c>
      <c r="FT68">
        <f t="shared" si="160"/>
        <v>2.5522426679086578E-3</v>
      </c>
      <c r="FU68">
        <f t="shared" si="161"/>
        <v>2.1523236167927335E-3</v>
      </c>
      <c r="FV68">
        <f t="shared" si="162"/>
        <v>1.7657677448364342E-3</v>
      </c>
      <c r="FW68">
        <f t="shared" si="163"/>
        <v>1.4874672845689287E-3</v>
      </c>
      <c r="FX68">
        <f t="shared" si="164"/>
        <v>1.2802094382221936E-3</v>
      </c>
      <c r="FY68">
        <f t="shared" si="165"/>
        <v>1.011394986973291E-3</v>
      </c>
      <c r="FZ68">
        <f t="shared" si="166"/>
        <v>6.8102393082222063E-4</v>
      </c>
      <c r="GA68">
        <f t="shared" si="167"/>
        <v>5.2124836087610058E-4</v>
      </c>
      <c r="GB68">
        <f t="shared" si="168"/>
        <v>4.2354769111524856E-4</v>
      </c>
      <c r="GC68">
        <f t="shared" si="169"/>
        <v>3.0726874702063082E-4</v>
      </c>
      <c r="GD68">
        <f t="shared" si="170"/>
        <v>1.7241956417803197E-4</v>
      </c>
      <c r="GE68">
        <f t="shared" si="171"/>
        <v>2.8224593288769557E-4</v>
      </c>
    </row>
    <row r="69" spans="1:187">
      <c r="A69" s="4">
        <v>2017</v>
      </c>
      <c r="B69" s="17">
        <v>3802.2240000000002</v>
      </c>
      <c r="C69" s="17">
        <v>3886.0309999999999</v>
      </c>
      <c r="D69" s="17">
        <v>3836.636</v>
      </c>
      <c r="E69" s="17">
        <v>3934.2089999999998</v>
      </c>
      <c r="F69" s="17">
        <v>4015.6819999999998</v>
      </c>
      <c r="G69" s="17">
        <v>4082.203</v>
      </c>
      <c r="H69" s="17">
        <v>4134.9219999999996</v>
      </c>
      <c r="I69" s="17">
        <v>4177.1120000000001</v>
      </c>
      <c r="J69" s="17">
        <v>4212.0540000000001</v>
      </c>
      <c r="K69" s="17">
        <v>4230.2569999999996</v>
      </c>
      <c r="L69" s="17">
        <v>4228.6180000000004</v>
      </c>
      <c r="M69" s="17">
        <v>4214.6660000000002</v>
      </c>
      <c r="N69" s="17">
        <v>4198.9380000000001</v>
      </c>
      <c r="O69" s="17">
        <v>4179.2079999999996</v>
      </c>
      <c r="P69" s="17">
        <v>4173.5050000000001</v>
      </c>
      <c r="Q69" s="17">
        <v>4191.8580000000002</v>
      </c>
      <c r="R69" s="17">
        <v>4227.415</v>
      </c>
      <c r="S69" s="17">
        <v>4258.32</v>
      </c>
      <c r="T69" s="17">
        <v>4282.973</v>
      </c>
      <c r="U69" s="17">
        <v>4329.0259999999998</v>
      </c>
      <c r="V69" s="17">
        <v>4406.1279999999997</v>
      </c>
      <c r="W69" s="17">
        <v>4499.5540000000001</v>
      </c>
      <c r="X69" s="17">
        <v>4587.5039999999999</v>
      </c>
      <c r="Y69" s="17">
        <v>4677.4269999999997</v>
      </c>
      <c r="Z69" s="17">
        <v>4731.4809999999998</v>
      </c>
      <c r="AA69" s="17">
        <v>4729.5959999999995</v>
      </c>
      <c r="AB69" s="17">
        <v>4689.4399999999996</v>
      </c>
      <c r="AC69" s="17">
        <v>4649.9579999999996</v>
      </c>
      <c r="AD69" s="17">
        <v>4604.8</v>
      </c>
      <c r="AE69" s="17">
        <v>4555.8540000000003</v>
      </c>
      <c r="AF69" s="17">
        <v>4508.4390000000003</v>
      </c>
      <c r="AG69" s="17">
        <v>4461.009</v>
      </c>
      <c r="AH69" s="17">
        <v>4408.2920000000004</v>
      </c>
      <c r="AI69" s="17">
        <v>4353.2479999999996</v>
      </c>
      <c r="AJ69" s="17">
        <v>4296.518</v>
      </c>
      <c r="AK69" s="17">
        <v>4238.5290000000005</v>
      </c>
      <c r="AL69" s="17">
        <v>4181.6440000000002</v>
      </c>
      <c r="AM69" s="17">
        <v>4127.3440000000001</v>
      </c>
      <c r="AN69" s="17">
        <v>4074.797</v>
      </c>
      <c r="AO69" s="17">
        <v>4035.3820000000001</v>
      </c>
      <c r="AP69" s="17">
        <v>4014.7550000000001</v>
      </c>
      <c r="AQ69" s="17">
        <v>4008.4</v>
      </c>
      <c r="AR69" s="17">
        <v>4005.6489999999999</v>
      </c>
      <c r="AS69" s="17">
        <v>4008.0509999999999</v>
      </c>
      <c r="AT69" s="17">
        <v>4017.395</v>
      </c>
      <c r="AU69" s="17">
        <v>4033.3139999999999</v>
      </c>
      <c r="AV69" s="17">
        <v>4055.239</v>
      </c>
      <c r="AW69" s="17">
        <v>4079.24</v>
      </c>
      <c r="AX69" s="17">
        <v>4101.63</v>
      </c>
      <c r="AY69" s="17">
        <v>4138.1589999999997</v>
      </c>
      <c r="AZ69" s="17">
        <v>4194.8209999999999</v>
      </c>
      <c r="BA69" s="17">
        <v>4261.4049999999997</v>
      </c>
      <c r="BB69" s="17">
        <v>4321.41</v>
      </c>
      <c r="BC69" s="17">
        <v>4377.7709999999997</v>
      </c>
      <c r="BD69" s="17">
        <v>4412.8810000000003</v>
      </c>
      <c r="BE69" s="17">
        <v>4416.1660000000002</v>
      </c>
      <c r="BF69" s="17">
        <v>4394.1679999999997</v>
      </c>
      <c r="BG69" s="17">
        <v>4366.277</v>
      </c>
      <c r="BH69" s="17">
        <v>4331.3389999999999</v>
      </c>
      <c r="BI69" s="17">
        <v>4272.75</v>
      </c>
      <c r="BJ69" s="17">
        <v>4185.0550000000003</v>
      </c>
      <c r="BK69" s="17">
        <v>4075.6759999999999</v>
      </c>
      <c r="BL69" s="17">
        <v>3956.4879999999998</v>
      </c>
      <c r="BM69" s="17">
        <v>3823.9169999999999</v>
      </c>
      <c r="BN69" s="17">
        <v>3694.0140000000001</v>
      </c>
      <c r="BO69" s="17">
        <v>3575.59</v>
      </c>
      <c r="BP69" s="17">
        <v>3461.1030000000001</v>
      </c>
      <c r="BQ69" s="17">
        <v>3338.431</v>
      </c>
      <c r="BR69" s="17">
        <v>3215.0740000000001</v>
      </c>
      <c r="BS69" s="17">
        <v>3067.1480000000001</v>
      </c>
      <c r="BT69" s="17">
        <v>2883.1880000000001</v>
      </c>
      <c r="BU69" s="17">
        <v>2677.8879999999999</v>
      </c>
      <c r="BV69" s="17">
        <v>2476.2919999999999</v>
      </c>
      <c r="BW69" s="17">
        <v>2272.0509999999999</v>
      </c>
      <c r="BX69" s="17">
        <v>2090.9</v>
      </c>
      <c r="BY69" s="17">
        <v>1947.768</v>
      </c>
      <c r="BZ69" s="17">
        <v>1830.8430000000001</v>
      </c>
      <c r="CA69" s="17">
        <v>1713.184</v>
      </c>
      <c r="CB69" s="17">
        <v>1599.9359999999999</v>
      </c>
      <c r="CC69" s="17">
        <v>1490.768</v>
      </c>
      <c r="CD69" s="17">
        <v>1382.74</v>
      </c>
      <c r="CE69" s="17">
        <v>1277.4739999999999</v>
      </c>
      <c r="CF69" s="17">
        <v>1178.606</v>
      </c>
      <c r="CG69" s="17">
        <v>1084.3</v>
      </c>
      <c r="CH69" s="17">
        <v>997.04</v>
      </c>
      <c r="CI69" s="17">
        <v>918.06</v>
      </c>
      <c r="CJ69" s="17">
        <v>844.99900000000002</v>
      </c>
      <c r="CK69" s="17">
        <v>773.53599999999994</v>
      </c>
      <c r="CL69" s="17">
        <v>715.971</v>
      </c>
      <c r="CM69" s="17">
        <v>649.61300000000006</v>
      </c>
      <c r="CN69" s="17">
        <v>564.05799999999999</v>
      </c>
      <c r="CO69" s="17">
        <v>463.99200000000002</v>
      </c>
      <c r="CP69" s="17">
        <v>375.339</v>
      </c>
      <c r="CQ69" s="17">
        <v>317.779</v>
      </c>
      <c r="CR69" s="17">
        <v>271.94400000000002</v>
      </c>
      <c r="CS69" s="17">
        <v>213.07499999999999</v>
      </c>
      <c r="CT69" s="17">
        <v>141.172</v>
      </c>
      <c r="CU69" s="17">
        <v>112.179</v>
      </c>
      <c r="CV69" s="17">
        <v>81.637</v>
      </c>
      <c r="CW69" s="17">
        <v>46.073999999999998</v>
      </c>
      <c r="CX69" s="17">
        <v>76.234999999999999</v>
      </c>
      <c r="CY69" s="3">
        <f t="shared" si="87"/>
        <v>325084.75800000015</v>
      </c>
      <c r="CZ69" s="21">
        <f t="shared" si="88"/>
        <v>251100.89999999997</v>
      </c>
      <c r="DA69">
        <f t="shared" si="89"/>
        <v>1.7056780760244191E-2</v>
      </c>
      <c r="DB69">
        <f t="shared" si="90"/>
        <v>1.7240185120802037E-2</v>
      </c>
      <c r="DC69">
        <f t="shared" si="91"/>
        <v>1.7547240969665982E-2</v>
      </c>
      <c r="DD69">
        <f t="shared" si="92"/>
        <v>1.7919306541712917E-2</v>
      </c>
      <c r="DE69">
        <f t="shared" si="93"/>
        <v>1.8269564147320859E-2</v>
      </c>
      <c r="DF69">
        <f t="shared" si="94"/>
        <v>1.8627679152085876E-2</v>
      </c>
      <c r="DG69">
        <f t="shared" si="95"/>
        <v>1.884294719772012E-2</v>
      </c>
      <c r="DH69">
        <f t="shared" si="96"/>
        <v>1.8835440255291797E-2</v>
      </c>
      <c r="DI69">
        <f t="shared" si="97"/>
        <v>1.867552047802298E-2</v>
      </c>
      <c r="DJ69">
        <f t="shared" si="98"/>
        <v>1.8518284880699353E-2</v>
      </c>
      <c r="DK69">
        <f t="shared" si="99"/>
        <v>1.83384448243714E-2</v>
      </c>
      <c r="DL69">
        <f t="shared" si="100"/>
        <v>1.8143519198855922E-2</v>
      </c>
      <c r="DM69">
        <f t="shared" si="101"/>
        <v>1.7954690723928114E-2</v>
      </c>
      <c r="DN69">
        <f t="shared" si="102"/>
        <v>1.7765802512057904E-2</v>
      </c>
      <c r="DO69">
        <f t="shared" si="103"/>
        <v>1.7555859019222953E-2</v>
      </c>
      <c r="DP69">
        <f t="shared" si="104"/>
        <v>1.7336648335390278E-2</v>
      </c>
      <c r="DQ69">
        <f t="shared" si="105"/>
        <v>1.7110723219231794E-2</v>
      </c>
      <c r="DR69">
        <f t="shared" si="106"/>
        <v>1.6879784182374499E-2</v>
      </c>
      <c r="DS69">
        <f t="shared" si="107"/>
        <v>1.6653241784477878E-2</v>
      </c>
      <c r="DT69">
        <f t="shared" si="108"/>
        <v>1.6436994052988263E-2</v>
      </c>
      <c r="DU69">
        <f t="shared" si="109"/>
        <v>1.622772757883385E-2</v>
      </c>
      <c r="DV69">
        <f t="shared" si="110"/>
        <v>1.6070758806519612E-2</v>
      </c>
      <c r="DW69">
        <f t="shared" si="111"/>
        <v>1.5988612545793347E-2</v>
      </c>
      <c r="DX69">
        <f t="shared" si="112"/>
        <v>1.5963303994529693E-2</v>
      </c>
      <c r="DY69">
        <f t="shared" si="113"/>
        <v>1.5952348239293448E-2</v>
      </c>
      <c r="DZ69">
        <f t="shared" si="114"/>
        <v>1.5961914115003174E-2</v>
      </c>
      <c r="EA69">
        <f t="shared" si="115"/>
        <v>1.5999126247655825E-2</v>
      </c>
      <c r="EB69">
        <f t="shared" si="116"/>
        <v>1.6062523073394005E-2</v>
      </c>
      <c r="EC69">
        <f t="shared" si="117"/>
        <v>1.6149838570869324E-2</v>
      </c>
      <c r="ED69">
        <f t="shared" si="118"/>
        <v>1.6245421661172859E-2</v>
      </c>
      <c r="EE69">
        <f t="shared" si="119"/>
        <v>1.6334589003862594E-2</v>
      </c>
      <c r="EF69">
        <f t="shared" si="120"/>
        <v>1.6480064388458983E-2</v>
      </c>
      <c r="EG69">
        <f t="shared" si="121"/>
        <v>1.6705718697145253E-2</v>
      </c>
      <c r="EH69">
        <f t="shared" si="122"/>
        <v>1.6970887001998003E-2</v>
      </c>
      <c r="EI69">
        <f t="shared" si="123"/>
        <v>1.7209854683913919E-2</v>
      </c>
      <c r="EJ69">
        <f t="shared" si="124"/>
        <v>1.743431027128935E-2</v>
      </c>
      <c r="EK69">
        <f t="shared" si="125"/>
        <v>1.7574134541134663E-2</v>
      </c>
      <c r="EL69">
        <f t="shared" si="126"/>
        <v>1.758721693152036E-2</v>
      </c>
      <c r="EM69">
        <f t="shared" si="127"/>
        <v>1.7499610714258693E-2</v>
      </c>
      <c r="EN69">
        <f t="shared" si="128"/>
        <v>1.7388535843559306E-2</v>
      </c>
      <c r="EO69">
        <f t="shared" si="129"/>
        <v>1.7249396557320187E-2</v>
      </c>
      <c r="EP69">
        <f t="shared" si="130"/>
        <v>1.7016068042766876E-2</v>
      </c>
      <c r="EQ69">
        <f t="shared" si="131"/>
        <v>1.6666825965179738E-2</v>
      </c>
      <c r="ER69">
        <f t="shared" si="132"/>
        <v>1.6231228163658514E-2</v>
      </c>
      <c r="ES69">
        <f t="shared" si="133"/>
        <v>1.575656638427023E-2</v>
      </c>
      <c r="ET69">
        <f t="shared" si="134"/>
        <v>1.5228607304872266E-2</v>
      </c>
      <c r="EU69">
        <f t="shared" si="135"/>
        <v>1.471127343629593E-2</v>
      </c>
      <c r="EV69">
        <f t="shared" si="136"/>
        <v>1.4239654258507241E-2</v>
      </c>
      <c r="EW69">
        <f t="shared" si="137"/>
        <v>1.3783714036867253E-2</v>
      </c>
      <c r="EX69">
        <f t="shared" si="138"/>
        <v>1.3295177356990758E-2</v>
      </c>
      <c r="EY69">
        <f t="shared" si="139"/>
        <v>1.2803912690077975E-2</v>
      </c>
      <c r="EZ69">
        <f t="shared" si="140"/>
        <v>1.221480289397609E-2</v>
      </c>
      <c r="FA69">
        <f t="shared" si="141"/>
        <v>1.1482189032377027E-2</v>
      </c>
      <c r="FB69">
        <f t="shared" si="142"/>
        <v>1.0664589414056264E-2</v>
      </c>
      <c r="FC69">
        <f t="shared" si="143"/>
        <v>9.8617408380455834E-3</v>
      </c>
      <c r="FD69">
        <f t="shared" si="144"/>
        <v>9.0483586478582925E-3</v>
      </c>
      <c r="FE69">
        <f t="shared" si="145"/>
        <v>8.3269315243394201E-3</v>
      </c>
      <c r="FF69">
        <f t="shared" si="146"/>
        <v>7.7569136550287169E-3</v>
      </c>
      <c r="FG69">
        <f t="shared" si="147"/>
        <v>7.291264189017245E-3</v>
      </c>
      <c r="FH69">
        <f t="shared" si="148"/>
        <v>6.8226915952909776E-3</v>
      </c>
      <c r="FI69">
        <f t="shared" si="149"/>
        <v>6.3716856450932681E-3</v>
      </c>
      <c r="FJ69">
        <f t="shared" si="150"/>
        <v>5.9369281432284796E-3</v>
      </c>
      <c r="FK69">
        <f t="shared" si="151"/>
        <v>5.5067106489861259E-3</v>
      </c>
      <c r="FL69">
        <f t="shared" si="152"/>
        <v>5.0874927170711064E-3</v>
      </c>
      <c r="FM69">
        <f t="shared" si="153"/>
        <v>4.6937545823212906E-3</v>
      </c>
      <c r="FN69">
        <f t="shared" si="154"/>
        <v>4.3181844429868634E-3</v>
      </c>
      <c r="FO69">
        <f t="shared" si="155"/>
        <v>3.9706747367293394E-3</v>
      </c>
      <c r="FP69">
        <f t="shared" si="156"/>
        <v>3.6561398226768603E-3</v>
      </c>
      <c r="FQ69">
        <f t="shared" si="157"/>
        <v>3.365177106095598E-3</v>
      </c>
      <c r="FR69">
        <f t="shared" si="158"/>
        <v>3.0805783651113956E-3</v>
      </c>
      <c r="FS69">
        <f t="shared" si="159"/>
        <v>2.85132789249262E-3</v>
      </c>
      <c r="FT69">
        <f t="shared" si="160"/>
        <v>2.5870596242387029E-3</v>
      </c>
      <c r="FU69">
        <f t="shared" si="161"/>
        <v>2.2463400171006957E-3</v>
      </c>
      <c r="FV69">
        <f t="shared" si="162"/>
        <v>1.8478308918844979E-3</v>
      </c>
      <c r="FW69">
        <f t="shared" si="163"/>
        <v>1.4947736149093852E-3</v>
      </c>
      <c r="FX69">
        <f t="shared" si="164"/>
        <v>1.2655430546047427E-3</v>
      </c>
      <c r="FY69">
        <f t="shared" si="165"/>
        <v>1.083006870943115E-3</v>
      </c>
      <c r="FZ69">
        <f t="shared" si="166"/>
        <v>8.4856326679832691E-4</v>
      </c>
      <c r="GA69">
        <f t="shared" si="167"/>
        <v>5.6221224217037856E-4</v>
      </c>
      <c r="GB69">
        <f t="shared" si="168"/>
        <v>4.4674869743597102E-4</v>
      </c>
      <c r="GC69">
        <f t="shared" si="169"/>
        <v>3.2511631778301076E-4</v>
      </c>
      <c r="GD69">
        <f t="shared" si="170"/>
        <v>1.834879922772081E-4</v>
      </c>
      <c r="GE69">
        <f t="shared" si="171"/>
        <v>3.0360305359319705E-4</v>
      </c>
    </row>
    <row r="70" spans="1:187">
      <c r="A70" s="4">
        <v>2018</v>
      </c>
      <c r="B70" s="17">
        <v>3864.2849999999999</v>
      </c>
      <c r="C70" s="17">
        <v>3898.5920000000001</v>
      </c>
      <c r="D70" s="17">
        <v>3933.1109999999999</v>
      </c>
      <c r="E70" s="17">
        <v>3870.2139999999999</v>
      </c>
      <c r="F70" s="17">
        <v>3945.319</v>
      </c>
      <c r="G70" s="17">
        <v>4012.3310000000001</v>
      </c>
      <c r="H70" s="17">
        <v>4071.181</v>
      </c>
      <c r="I70" s="17">
        <v>4121.7979999999998</v>
      </c>
      <c r="J70" s="17">
        <v>4167.3010000000004</v>
      </c>
      <c r="K70" s="17">
        <v>4210.8119999999999</v>
      </c>
      <c r="L70" s="17">
        <v>4236.3069999999998</v>
      </c>
      <c r="M70" s="17">
        <v>4237.3379999999997</v>
      </c>
      <c r="N70" s="17">
        <v>4223.4040000000005</v>
      </c>
      <c r="O70" s="17">
        <v>4210.2280000000001</v>
      </c>
      <c r="P70" s="17">
        <v>4194.3909999999996</v>
      </c>
      <c r="Q70" s="17">
        <v>4192.5619999999999</v>
      </c>
      <c r="R70" s="17">
        <v>4214.5540000000001</v>
      </c>
      <c r="S70" s="17">
        <v>4253.4440000000004</v>
      </c>
      <c r="T70" s="17">
        <v>4287.6220000000003</v>
      </c>
      <c r="U70" s="17">
        <v>4315.558</v>
      </c>
      <c r="V70" s="17">
        <v>4363.6099999999997</v>
      </c>
      <c r="W70" s="17">
        <v>4440.8410000000003</v>
      </c>
      <c r="X70" s="17">
        <v>4533.085</v>
      </c>
      <c r="Y70" s="17">
        <v>4619.7309999999998</v>
      </c>
      <c r="Z70" s="17">
        <v>4708.0540000000001</v>
      </c>
      <c r="AA70" s="17">
        <v>4760.3220000000001</v>
      </c>
      <c r="AB70" s="17">
        <v>4756.66</v>
      </c>
      <c r="AC70" s="17">
        <v>4714.6949999999997</v>
      </c>
      <c r="AD70" s="17">
        <v>4673.1400000000003</v>
      </c>
      <c r="AE70" s="17">
        <v>4625.7079999999996</v>
      </c>
      <c r="AF70" s="17">
        <v>4574.5929999999998</v>
      </c>
      <c r="AG70" s="17">
        <v>4525.2520000000004</v>
      </c>
      <c r="AH70" s="17">
        <v>4476.0680000000002</v>
      </c>
      <c r="AI70" s="17">
        <v>4421.54</v>
      </c>
      <c r="AJ70" s="17">
        <v>4364.6580000000004</v>
      </c>
      <c r="AK70" s="17">
        <v>4306.2340000000004</v>
      </c>
      <c r="AL70" s="17">
        <v>4246.759</v>
      </c>
      <c r="AM70" s="17">
        <v>4188.5290000000005</v>
      </c>
      <c r="AN70" s="17">
        <v>4132.8879999999999</v>
      </c>
      <c r="AO70" s="17">
        <v>4079.0039999999999</v>
      </c>
      <c r="AP70" s="17">
        <v>4038.2919999999999</v>
      </c>
      <c r="AQ70" s="17">
        <v>4016.4059999999999</v>
      </c>
      <c r="AR70" s="17">
        <v>4008.7959999999998</v>
      </c>
      <c r="AS70" s="17">
        <v>4004.7649999999999</v>
      </c>
      <c r="AT70" s="17">
        <v>4005.8539999999998</v>
      </c>
      <c r="AU70" s="17">
        <v>4013.7919999999999</v>
      </c>
      <c r="AV70" s="17">
        <v>4028.18</v>
      </c>
      <c r="AW70" s="17">
        <v>4048.451</v>
      </c>
      <c r="AX70" s="17">
        <v>4070.75</v>
      </c>
      <c r="AY70" s="17">
        <v>4091.4059999999999</v>
      </c>
      <c r="AZ70" s="17">
        <v>4125.9639999999999</v>
      </c>
      <c r="BA70" s="17">
        <v>4180.33</v>
      </c>
      <c r="BB70" s="17">
        <v>4244.3990000000003</v>
      </c>
      <c r="BC70" s="17">
        <v>4301.8819999999996</v>
      </c>
      <c r="BD70" s="17">
        <v>4355.7039999999997</v>
      </c>
      <c r="BE70" s="17">
        <v>4388.2470000000003</v>
      </c>
      <c r="BF70" s="17">
        <v>4388.9660000000003</v>
      </c>
      <c r="BG70" s="17">
        <v>4364.43</v>
      </c>
      <c r="BH70" s="17">
        <v>4333.9949999999999</v>
      </c>
      <c r="BI70" s="17">
        <v>4296.4830000000002</v>
      </c>
      <c r="BJ70" s="17">
        <v>4235.5969999999998</v>
      </c>
      <c r="BK70" s="17">
        <v>4146.0259999999998</v>
      </c>
      <c r="BL70" s="17">
        <v>4035.0450000000001</v>
      </c>
      <c r="BM70" s="17">
        <v>3914.2890000000002</v>
      </c>
      <c r="BN70" s="17">
        <v>3780.28</v>
      </c>
      <c r="BO70" s="17">
        <v>3648.7429999999999</v>
      </c>
      <c r="BP70" s="17">
        <v>3528.3220000000001</v>
      </c>
      <c r="BQ70" s="17">
        <v>3411.6550000000002</v>
      </c>
      <c r="BR70" s="17">
        <v>3286.9059999999999</v>
      </c>
      <c r="BS70" s="17">
        <v>3161.442</v>
      </c>
      <c r="BT70" s="17">
        <v>3011.8710000000001</v>
      </c>
      <c r="BU70" s="17">
        <v>2826.9769999999999</v>
      </c>
      <c r="BV70" s="17">
        <v>2621.183</v>
      </c>
      <c r="BW70" s="17">
        <v>2419.0369999999998</v>
      </c>
      <c r="BX70" s="17">
        <v>2214.3220000000001</v>
      </c>
      <c r="BY70" s="17">
        <v>2032.356</v>
      </c>
      <c r="BZ70" s="17">
        <v>1887.817</v>
      </c>
      <c r="CA70" s="17">
        <v>1769.106</v>
      </c>
      <c r="CB70" s="17">
        <v>1649.797</v>
      </c>
      <c r="CC70" s="17">
        <v>1534.9970000000001</v>
      </c>
      <c r="CD70" s="17">
        <v>1424.184</v>
      </c>
      <c r="CE70" s="17">
        <v>1314.394</v>
      </c>
      <c r="CF70" s="17">
        <v>1207.3530000000001</v>
      </c>
      <c r="CG70" s="17">
        <v>1106.999</v>
      </c>
      <c r="CH70" s="17">
        <v>1011.641</v>
      </c>
      <c r="CI70" s="17">
        <v>923.20100000000002</v>
      </c>
      <c r="CJ70" s="17">
        <v>842.73299999999995</v>
      </c>
      <c r="CK70" s="17">
        <v>768.28099999999995</v>
      </c>
      <c r="CL70" s="17">
        <v>694.875</v>
      </c>
      <c r="CM70" s="17">
        <v>639.60799999999995</v>
      </c>
      <c r="CN70" s="17">
        <v>576.16899999999998</v>
      </c>
      <c r="CO70" s="17">
        <v>492.613</v>
      </c>
      <c r="CP70" s="17">
        <v>392.06599999999997</v>
      </c>
      <c r="CQ70" s="17">
        <v>311.01299999999998</v>
      </c>
      <c r="CR70" s="17">
        <v>265.18700000000001</v>
      </c>
      <c r="CS70" s="17">
        <v>225.12299999999999</v>
      </c>
      <c r="CT70" s="17">
        <v>174.31899999999999</v>
      </c>
      <c r="CU70" s="17">
        <v>112.77500000000001</v>
      </c>
      <c r="CV70" s="17">
        <v>86.853999999999999</v>
      </c>
      <c r="CW70" s="17">
        <v>49.386000000000003</v>
      </c>
      <c r="CX70" s="17">
        <v>82.906000000000006</v>
      </c>
      <c r="CY70" s="3">
        <f t="shared" si="87"/>
        <v>327096.26300000009</v>
      </c>
      <c r="CZ70" s="21">
        <f t="shared" si="88"/>
        <v>253239.09100000004</v>
      </c>
      <c r="DA70">
        <f t="shared" si="89"/>
        <v>1.6931122217620026E-2</v>
      </c>
      <c r="DB70">
        <f t="shared" si="90"/>
        <v>1.7041436939923306E-2</v>
      </c>
      <c r="DC70">
        <f t="shared" si="91"/>
        <v>1.7231186475866789E-2</v>
      </c>
      <c r="DD70">
        <f t="shared" si="92"/>
        <v>1.7536159139032764E-2</v>
      </c>
      <c r="DE70">
        <f t="shared" si="93"/>
        <v>1.7900415698459442E-2</v>
      </c>
      <c r="DF70">
        <f t="shared" si="94"/>
        <v>1.8242566665981275E-2</v>
      </c>
      <c r="DG70">
        <f t="shared" si="95"/>
        <v>1.8591339833864746E-2</v>
      </c>
      <c r="DH70">
        <f t="shared" si="96"/>
        <v>1.8797737668391802E-2</v>
      </c>
      <c r="DI70">
        <f t="shared" si="97"/>
        <v>1.8783277025741649E-2</v>
      </c>
      <c r="DJ70">
        <f t="shared" si="98"/>
        <v>1.8617564063203806E-2</v>
      </c>
      <c r="DK70">
        <f t="shared" si="99"/>
        <v>1.8453470124010198E-2</v>
      </c>
      <c r="DL70">
        <f t="shared" si="100"/>
        <v>1.8266168867270175E-2</v>
      </c>
      <c r="DM70">
        <f t="shared" si="101"/>
        <v>1.8064324042294081E-2</v>
      </c>
      <c r="DN70">
        <f t="shared" si="102"/>
        <v>1.7869484454909844E-2</v>
      </c>
      <c r="DO70">
        <f t="shared" si="103"/>
        <v>1.7675264835001321E-2</v>
      </c>
      <c r="DP70">
        <f t="shared" si="104"/>
        <v>1.7459942627893885E-2</v>
      </c>
      <c r="DQ70">
        <f t="shared" si="105"/>
        <v>1.7235324857488132E-2</v>
      </c>
      <c r="DR70">
        <f t="shared" si="106"/>
        <v>1.7004617979773113E-2</v>
      </c>
      <c r="DS70">
        <f t="shared" si="107"/>
        <v>1.6769760873924473E-2</v>
      </c>
      <c r="DT70">
        <f t="shared" si="108"/>
        <v>1.6539820070669894E-2</v>
      </c>
      <c r="DU70">
        <f t="shared" si="109"/>
        <v>1.6320102807508494E-2</v>
      </c>
      <c r="DV70">
        <f t="shared" si="110"/>
        <v>1.6107323651702726E-2</v>
      </c>
      <c r="DW70">
        <f t="shared" si="111"/>
        <v>1.5946558582458342E-2</v>
      </c>
      <c r="DX70">
        <f t="shared" si="112"/>
        <v>1.5860134326575983E-2</v>
      </c>
      <c r="DY70">
        <f t="shared" si="113"/>
        <v>1.5830083673772147E-2</v>
      </c>
      <c r="DZ70">
        <f t="shared" si="114"/>
        <v>1.5814165910112192E-2</v>
      </c>
      <c r="EA70">
        <f t="shared" si="115"/>
        <v>1.5818466194067956E-2</v>
      </c>
      <c r="EB70">
        <f t="shared" si="116"/>
        <v>1.5849812065547177E-2</v>
      </c>
      <c r="EC70">
        <f t="shared" si="117"/>
        <v>1.5906627938417291E-2</v>
      </c>
      <c r="ED70">
        <f t="shared" si="118"/>
        <v>1.5986674821858365E-2</v>
      </c>
      <c r="EE70">
        <f t="shared" si="119"/>
        <v>1.6074729947597226E-2</v>
      </c>
      <c r="EF70">
        <f t="shared" si="120"/>
        <v>1.6156297133446903E-2</v>
      </c>
      <c r="EG70">
        <f t="shared" si="121"/>
        <v>1.6292761057178171E-2</v>
      </c>
      <c r="EH70">
        <f t="shared" si="122"/>
        <v>1.6507443552622764E-2</v>
      </c>
      <c r="EI70">
        <f t="shared" si="123"/>
        <v>1.6760441617601603E-2</v>
      </c>
      <c r="EJ70">
        <f t="shared" si="124"/>
        <v>1.6987432639299749E-2</v>
      </c>
      <c r="EK70">
        <f t="shared" si="125"/>
        <v>1.7199966967185169E-2</v>
      </c>
      <c r="EL70">
        <f t="shared" si="126"/>
        <v>1.7328473983505174E-2</v>
      </c>
      <c r="EM70">
        <f t="shared" si="127"/>
        <v>1.7331313197613711E-2</v>
      </c>
      <c r="EN70">
        <f t="shared" si="128"/>
        <v>1.7234424522555247E-2</v>
      </c>
      <c r="EO70">
        <f t="shared" si="129"/>
        <v>1.7114241655527027E-2</v>
      </c>
      <c r="EP70">
        <f t="shared" si="130"/>
        <v>1.6966112866042469E-2</v>
      </c>
      <c r="EQ70">
        <f t="shared" si="131"/>
        <v>1.6725683950587229E-2</v>
      </c>
      <c r="ER70">
        <f t="shared" si="132"/>
        <v>1.6371982633597428E-2</v>
      </c>
      <c r="ES70">
        <f t="shared" si="133"/>
        <v>1.5933736707339545E-2</v>
      </c>
      <c r="ET70">
        <f t="shared" si="134"/>
        <v>1.5456890895252817E-2</v>
      </c>
      <c r="EU70">
        <f t="shared" si="135"/>
        <v>1.4927711140773283E-2</v>
      </c>
      <c r="EV70">
        <f t="shared" si="136"/>
        <v>1.4408292912408216E-2</v>
      </c>
      <c r="EW70">
        <f t="shared" si="137"/>
        <v>1.3932769960858845E-2</v>
      </c>
      <c r="EX70">
        <f t="shared" si="138"/>
        <v>1.3472070945002719E-2</v>
      </c>
      <c r="EY70">
        <f t="shared" si="139"/>
        <v>1.2979457425078183E-2</v>
      </c>
      <c r="EZ70">
        <f t="shared" si="140"/>
        <v>1.248402048639481E-2</v>
      </c>
      <c r="FA70">
        <f t="shared" si="141"/>
        <v>1.1893388923908274E-2</v>
      </c>
      <c r="FB70">
        <f t="shared" si="142"/>
        <v>1.1163272577060386E-2</v>
      </c>
      <c r="FC70">
        <f t="shared" si="143"/>
        <v>1.0350625528031135E-2</v>
      </c>
      <c r="FD70">
        <f t="shared" si="144"/>
        <v>9.5523838379280839E-3</v>
      </c>
      <c r="FE70">
        <f t="shared" si="145"/>
        <v>8.7439975844803512E-3</v>
      </c>
      <c r="FF70">
        <f t="shared" si="146"/>
        <v>8.0254434336127032E-3</v>
      </c>
      <c r="FG70">
        <f t="shared" si="147"/>
        <v>7.4546824210484927E-3</v>
      </c>
      <c r="FH70">
        <f t="shared" si="148"/>
        <v>6.9859119814957779E-3</v>
      </c>
      <c r="FI70">
        <f t="shared" si="149"/>
        <v>6.5147801371629463E-3</v>
      </c>
      <c r="FJ70">
        <f t="shared" si="150"/>
        <v>6.0614536007791934E-3</v>
      </c>
      <c r="FK70">
        <f t="shared" si="151"/>
        <v>5.6238710792086985E-3</v>
      </c>
      <c r="FL70">
        <f t="shared" si="152"/>
        <v>5.1903282183239233E-3</v>
      </c>
      <c r="FM70">
        <f t="shared" si="153"/>
        <v>4.7676407115203228E-3</v>
      </c>
      <c r="FN70">
        <f t="shared" si="154"/>
        <v>4.3713590805773339E-3</v>
      </c>
      <c r="FO70">
        <f t="shared" si="155"/>
        <v>3.9948058414093733E-3</v>
      </c>
      <c r="FP70">
        <f t="shared" si="156"/>
        <v>3.6455706595471859E-3</v>
      </c>
      <c r="FQ70">
        <f t="shared" si="157"/>
        <v>3.3278156096366645E-3</v>
      </c>
      <c r="FR70">
        <f t="shared" si="158"/>
        <v>3.0338167656746161E-3</v>
      </c>
      <c r="FS70">
        <f t="shared" si="159"/>
        <v>2.743948405659061E-3</v>
      </c>
      <c r="FT70">
        <f t="shared" si="160"/>
        <v>2.5257080076945934E-3</v>
      </c>
      <c r="FU70">
        <f t="shared" si="161"/>
        <v>2.2751977102934708E-3</v>
      </c>
      <c r="FV70">
        <f t="shared" si="162"/>
        <v>1.9452486504147179E-3</v>
      </c>
      <c r="FW70">
        <f t="shared" si="163"/>
        <v>1.5482048938487143E-3</v>
      </c>
      <c r="FX70">
        <f t="shared" si="164"/>
        <v>1.2281397740446002E-3</v>
      </c>
      <c r="FY70">
        <f t="shared" si="165"/>
        <v>1.047180350209044E-3</v>
      </c>
      <c r="FZ70">
        <f t="shared" si="166"/>
        <v>8.8897412761602414E-4</v>
      </c>
      <c r="GA70">
        <f t="shared" si="167"/>
        <v>6.8835739107908883E-4</v>
      </c>
      <c r="GB70">
        <f t="shared" si="168"/>
        <v>4.4533014059823799E-4</v>
      </c>
      <c r="GC70">
        <f t="shared" si="169"/>
        <v>3.4297232570622353E-4</v>
      </c>
      <c r="GD70">
        <f t="shared" si="170"/>
        <v>1.9501728506836252E-4</v>
      </c>
      <c r="GE70">
        <f t="shared" si="171"/>
        <v>3.2738231555253839E-4</v>
      </c>
    </row>
    <row r="71" spans="1:187">
      <c r="A71" s="4">
        <v>2019</v>
      </c>
      <c r="B71" s="17">
        <v>3931.9670000000001</v>
      </c>
      <c r="C71" s="17">
        <v>3919.5</v>
      </c>
      <c r="D71" s="17">
        <v>3919.4609999999998</v>
      </c>
      <c r="E71" s="17">
        <v>3930.1579999999999</v>
      </c>
      <c r="F71" s="17">
        <v>3903.01</v>
      </c>
      <c r="G71" s="17">
        <v>3955.6439999999998</v>
      </c>
      <c r="H71" s="17">
        <v>4008.192</v>
      </c>
      <c r="I71" s="17">
        <v>4059.364</v>
      </c>
      <c r="J71" s="17">
        <v>4107.8720000000003</v>
      </c>
      <c r="K71" s="17">
        <v>4156.6769999999997</v>
      </c>
      <c r="L71" s="17">
        <v>4208.7420000000002</v>
      </c>
      <c r="M71" s="17">
        <v>4241.5200000000004</v>
      </c>
      <c r="N71" s="17">
        <v>4245.22</v>
      </c>
      <c r="O71" s="17">
        <v>4231.3059999999996</v>
      </c>
      <c r="P71" s="17">
        <v>4220.6809999999996</v>
      </c>
      <c r="Q71" s="17">
        <v>4208.74</v>
      </c>
      <c r="R71" s="17">
        <v>4210.7809999999999</v>
      </c>
      <c r="S71" s="17">
        <v>4236.4040000000005</v>
      </c>
      <c r="T71" s="17">
        <v>4278.6180000000004</v>
      </c>
      <c r="U71" s="17">
        <v>4316.0590000000002</v>
      </c>
      <c r="V71" s="17">
        <v>4347.2719999999999</v>
      </c>
      <c r="W71" s="17">
        <v>4397.3100000000004</v>
      </c>
      <c r="X71" s="17">
        <v>4474.6570000000002</v>
      </c>
      <c r="Y71" s="17">
        <v>4565.701</v>
      </c>
      <c r="Z71" s="17">
        <v>4651.027</v>
      </c>
      <c r="AA71" s="17">
        <v>4737.732</v>
      </c>
      <c r="AB71" s="17">
        <v>4788.2049999999999</v>
      </c>
      <c r="AC71" s="17">
        <v>4782.7690000000002</v>
      </c>
      <c r="AD71" s="17">
        <v>4739.0039999999999</v>
      </c>
      <c r="AE71" s="17">
        <v>4695.3879999999999</v>
      </c>
      <c r="AF71" s="17">
        <v>4645.6909999999998</v>
      </c>
      <c r="AG71" s="17">
        <v>4592.4189999999999</v>
      </c>
      <c r="AH71" s="17">
        <v>4541.165</v>
      </c>
      <c r="AI71" s="17">
        <v>4490.2370000000001</v>
      </c>
      <c r="AJ71" s="17">
        <v>4433.9089999999997</v>
      </c>
      <c r="AK71" s="17">
        <v>4375.2</v>
      </c>
      <c r="AL71" s="17">
        <v>4315.098</v>
      </c>
      <c r="AM71" s="17">
        <v>4254.1490000000003</v>
      </c>
      <c r="AN71" s="17">
        <v>4194.5870000000004</v>
      </c>
      <c r="AO71" s="17">
        <v>4137.6139999999996</v>
      </c>
      <c r="AP71" s="17">
        <v>4082.4050000000002</v>
      </c>
      <c r="AQ71" s="17">
        <v>4040.4059999999999</v>
      </c>
      <c r="AR71" s="17">
        <v>4017.2640000000001</v>
      </c>
      <c r="AS71" s="17">
        <v>4008.404</v>
      </c>
      <c r="AT71" s="17">
        <v>4003.0940000000001</v>
      </c>
      <c r="AU71" s="17">
        <v>4002.87</v>
      </c>
      <c r="AV71" s="17">
        <v>4009.404</v>
      </c>
      <c r="AW71" s="17">
        <v>4022.2559999999999</v>
      </c>
      <c r="AX71" s="17">
        <v>4040.8719999999998</v>
      </c>
      <c r="AY71" s="17">
        <v>4061.4650000000001</v>
      </c>
      <c r="AZ71" s="17">
        <v>4080.3829999999998</v>
      </c>
      <c r="BA71" s="17">
        <v>4112.9639999999999</v>
      </c>
      <c r="BB71" s="17">
        <v>4165.027</v>
      </c>
      <c r="BC71" s="17">
        <v>4226.5690000000004</v>
      </c>
      <c r="BD71" s="17">
        <v>4281.5209999999997</v>
      </c>
      <c r="BE71" s="17">
        <v>4332.7950000000001</v>
      </c>
      <c r="BF71" s="17">
        <v>4362.7690000000002</v>
      </c>
      <c r="BG71" s="17">
        <v>4360.9219999999996</v>
      </c>
      <c r="BH71" s="17">
        <v>4333.8519999999999</v>
      </c>
      <c r="BI71" s="17">
        <v>4300.884</v>
      </c>
      <c r="BJ71" s="17">
        <v>4260.8059999999996</v>
      </c>
      <c r="BK71" s="17">
        <v>4197.6379999999999</v>
      </c>
      <c r="BL71" s="17">
        <v>4106.2079999999996</v>
      </c>
      <c r="BM71" s="17">
        <v>3993.65</v>
      </c>
      <c r="BN71" s="17">
        <v>3871.35</v>
      </c>
      <c r="BO71" s="17">
        <v>3735.9290000000001</v>
      </c>
      <c r="BP71" s="17">
        <v>3602.7860000000001</v>
      </c>
      <c r="BQ71" s="17">
        <v>3480.3919999999998</v>
      </c>
      <c r="BR71" s="17">
        <v>3361.57</v>
      </c>
      <c r="BS71" s="17">
        <v>3234.7689999999998</v>
      </c>
      <c r="BT71" s="17">
        <v>3107.2249999999999</v>
      </c>
      <c r="BU71" s="17">
        <v>2956.0390000000002</v>
      </c>
      <c r="BV71" s="17">
        <v>2770.2489999999998</v>
      </c>
      <c r="BW71" s="17">
        <v>2564.0010000000002</v>
      </c>
      <c r="BX71" s="17">
        <v>2361.3440000000001</v>
      </c>
      <c r="BY71" s="17">
        <v>2156.1970000000001</v>
      </c>
      <c r="BZ71" s="17">
        <v>1973.453</v>
      </c>
      <c r="CA71" s="17">
        <v>1827.5350000000001</v>
      </c>
      <c r="CB71" s="17">
        <v>1707.0619999999999</v>
      </c>
      <c r="CC71" s="17">
        <v>1586.1289999999999</v>
      </c>
      <c r="CD71" s="17">
        <v>1469.8019999999999</v>
      </c>
      <c r="CE71" s="17">
        <v>1357.365</v>
      </c>
      <c r="CF71" s="17">
        <v>1245.835</v>
      </c>
      <c r="CG71" s="17">
        <v>1137.0419999999999</v>
      </c>
      <c r="CH71" s="17">
        <v>1035.221</v>
      </c>
      <c r="CI71" s="17">
        <v>938.83199999999999</v>
      </c>
      <c r="CJ71" s="17">
        <v>849.23099999999999</v>
      </c>
      <c r="CK71" s="17">
        <v>767.29</v>
      </c>
      <c r="CL71" s="17">
        <v>691.46199999999999</v>
      </c>
      <c r="CM71" s="17">
        <v>616.13099999999997</v>
      </c>
      <c r="CN71" s="17">
        <v>563.17100000000005</v>
      </c>
      <c r="CO71" s="17">
        <v>502.66</v>
      </c>
      <c r="CP71" s="17">
        <v>421.11900000000003</v>
      </c>
      <c r="CQ71" s="17">
        <v>320.10899999999998</v>
      </c>
      <c r="CR71" s="17">
        <v>246.66800000000001</v>
      </c>
      <c r="CS71" s="17">
        <v>212.578</v>
      </c>
      <c r="CT71" s="17">
        <v>178.28899999999999</v>
      </c>
      <c r="CU71" s="17">
        <v>135.554</v>
      </c>
      <c r="CV71" s="17">
        <v>84.373999999999995</v>
      </c>
      <c r="CW71" s="17">
        <v>52.726999999999997</v>
      </c>
      <c r="CX71" s="17">
        <v>89.948999999999998</v>
      </c>
      <c r="CY71" s="3">
        <f t="shared" si="87"/>
        <v>329064.91699999996</v>
      </c>
      <c r="CZ71" s="21">
        <f t="shared" si="88"/>
        <v>255369.67800000001</v>
      </c>
      <c r="DA71">
        <f t="shared" si="89"/>
        <v>1.6754604671585169E-2</v>
      </c>
      <c r="DB71">
        <f t="shared" si="90"/>
        <v>1.6901219572356588E-2</v>
      </c>
      <c r="DC71">
        <f t="shared" si="91"/>
        <v>1.7023446299681669E-2</v>
      </c>
      <c r="DD71">
        <f t="shared" si="92"/>
        <v>1.7219389688074089E-2</v>
      </c>
      <c r="DE71">
        <f t="shared" si="93"/>
        <v>1.7522272162633183E-2</v>
      </c>
      <c r="DF71">
        <f t="shared" si="94"/>
        <v>1.7878790605672455E-2</v>
      </c>
      <c r="DG71">
        <f t="shared" si="95"/>
        <v>1.821291798002737E-2</v>
      </c>
      <c r="DH71">
        <f t="shared" si="96"/>
        <v>1.8552445369023021E-2</v>
      </c>
      <c r="DI71">
        <f t="shared" si="97"/>
        <v>1.8750092170300655E-2</v>
      </c>
      <c r="DJ71">
        <f t="shared" si="98"/>
        <v>1.8728805383072925E-2</v>
      </c>
      <c r="DK71">
        <f t="shared" si="99"/>
        <v>1.8557426383252907E-2</v>
      </c>
      <c r="DL71">
        <f t="shared" si="100"/>
        <v>1.8386630851294723E-2</v>
      </c>
      <c r="DM71">
        <f t="shared" si="101"/>
        <v>1.8192022781968655E-2</v>
      </c>
      <c r="DN71">
        <f t="shared" si="102"/>
        <v>1.7983415399850249E-2</v>
      </c>
      <c r="DO71">
        <f t="shared" si="103"/>
        <v>1.7782710287162596E-2</v>
      </c>
      <c r="DP71">
        <f t="shared" si="104"/>
        <v>1.7583281755165936E-2</v>
      </c>
      <c r="DQ71">
        <f t="shared" si="105"/>
        <v>1.736270740804239E-2</v>
      </c>
      <c r="DR71">
        <f t="shared" si="106"/>
        <v>1.7132809322804563E-2</v>
      </c>
      <c r="DS71">
        <f t="shared" si="107"/>
        <v>1.6897456400442341E-2</v>
      </c>
      <c r="DT71">
        <f t="shared" si="108"/>
        <v>1.6658786717818549E-2</v>
      </c>
      <c r="DU71">
        <f t="shared" si="109"/>
        <v>1.6425548376969017E-2</v>
      </c>
      <c r="DV71">
        <f t="shared" si="110"/>
        <v>1.6202448279705312E-2</v>
      </c>
      <c r="DW71">
        <f t="shared" si="111"/>
        <v>1.5986255815383061E-2</v>
      </c>
      <c r="DX71">
        <f t="shared" si="112"/>
        <v>1.5821792280287874E-2</v>
      </c>
      <c r="DY71">
        <f t="shared" si="113"/>
        <v>1.5731170714794102E-2</v>
      </c>
      <c r="DZ71">
        <f t="shared" si="114"/>
        <v>1.569647591441925E-2</v>
      </c>
      <c r="EA71">
        <f t="shared" si="115"/>
        <v>1.5675682529544481E-2</v>
      </c>
      <c r="EB71">
        <f t="shared" si="116"/>
        <v>1.5674805369805884E-2</v>
      </c>
      <c r="EC71">
        <f t="shared" si="117"/>
        <v>1.5700391806109416E-2</v>
      </c>
      <c r="ED71">
        <f t="shared" si="118"/>
        <v>1.57507188461114E-2</v>
      </c>
      <c r="EE71">
        <f t="shared" si="119"/>
        <v>1.5823617085815488E-2</v>
      </c>
      <c r="EF71">
        <f t="shared" si="120"/>
        <v>1.5904257043391032E-2</v>
      </c>
      <c r="EG71">
        <f t="shared" si="121"/>
        <v>1.5978337882385549E-2</v>
      </c>
      <c r="EH71">
        <f t="shared" si="122"/>
        <v>1.6105921549542775E-2</v>
      </c>
      <c r="EI71">
        <f t="shared" si="123"/>
        <v>1.6309794618607772E-2</v>
      </c>
      <c r="EJ71">
        <f t="shared" si="124"/>
        <v>1.6550786425003832E-2</v>
      </c>
      <c r="EK71">
        <f t="shared" si="125"/>
        <v>1.6765972505161712E-2</v>
      </c>
      <c r="EL71">
        <f t="shared" si="126"/>
        <v>1.696675593568317E-2</v>
      </c>
      <c r="EM71">
        <f t="shared" si="127"/>
        <v>1.708413087320414E-2</v>
      </c>
      <c r="EN71">
        <f t="shared" si="128"/>
        <v>1.7076898221252405E-2</v>
      </c>
      <c r="EO71">
        <f t="shared" si="129"/>
        <v>1.6970895033199672E-2</v>
      </c>
      <c r="EP71">
        <f t="shared" si="130"/>
        <v>1.6841795915958354E-2</v>
      </c>
      <c r="EQ71">
        <f t="shared" si="131"/>
        <v>1.6684854808799967E-2</v>
      </c>
      <c r="ER71">
        <f t="shared" si="132"/>
        <v>1.6437495762515703E-2</v>
      </c>
      <c r="ES71">
        <f t="shared" si="133"/>
        <v>1.6079465785284026E-2</v>
      </c>
      <c r="ET71">
        <f t="shared" si="134"/>
        <v>1.5638700848422574E-2</v>
      </c>
      <c r="EU71">
        <f t="shared" si="135"/>
        <v>1.5159787294715545E-2</v>
      </c>
      <c r="EV71">
        <f t="shared" si="136"/>
        <v>1.4629493326141876E-2</v>
      </c>
      <c r="EW71">
        <f t="shared" si="137"/>
        <v>1.4108119758838401E-2</v>
      </c>
      <c r="EX71">
        <f t="shared" si="138"/>
        <v>1.3628838111312493E-2</v>
      </c>
      <c r="EY71">
        <f t="shared" si="139"/>
        <v>1.3163544028903854E-2</v>
      </c>
      <c r="EZ71">
        <f t="shared" si="140"/>
        <v>1.2667005046699396E-2</v>
      </c>
      <c r="FA71">
        <f t="shared" si="141"/>
        <v>1.2167556556969147E-2</v>
      </c>
      <c r="FB71">
        <f t="shared" si="142"/>
        <v>1.1575528555900046E-2</v>
      </c>
      <c r="FC71">
        <f t="shared" si="143"/>
        <v>1.0847995038784516E-2</v>
      </c>
      <c r="FD71">
        <f t="shared" si="144"/>
        <v>1.0040350209471619E-2</v>
      </c>
      <c r="FE71">
        <f t="shared" si="145"/>
        <v>9.2467673472180975E-3</v>
      </c>
      <c r="FF71">
        <f t="shared" si="146"/>
        <v>8.4434339146560698E-3</v>
      </c>
      <c r="FG71">
        <f t="shared" si="147"/>
        <v>7.7278282036287796E-3</v>
      </c>
      <c r="FH71">
        <f t="shared" si="148"/>
        <v>7.1564291199834613E-3</v>
      </c>
      <c r="FI71">
        <f t="shared" si="149"/>
        <v>6.6846699003943605E-3</v>
      </c>
      <c r="FJ71">
        <f t="shared" si="150"/>
        <v>6.2111093706277839E-3</v>
      </c>
      <c r="FK71">
        <f t="shared" si="151"/>
        <v>5.7555854379861019E-3</v>
      </c>
      <c r="FL71">
        <f t="shared" si="152"/>
        <v>5.3152943240191578E-3</v>
      </c>
      <c r="FM71">
        <f t="shared" si="153"/>
        <v>4.8785549238151912E-3</v>
      </c>
      <c r="FN71">
        <f t="shared" si="154"/>
        <v>4.4525333191672029E-3</v>
      </c>
      <c r="FO71">
        <f t="shared" si="155"/>
        <v>4.0538133113830373E-3</v>
      </c>
      <c r="FP71">
        <f t="shared" si="156"/>
        <v>3.6763644272598409E-3</v>
      </c>
      <c r="FQ71">
        <f t="shared" si="157"/>
        <v>3.3254966159294761E-3</v>
      </c>
      <c r="FR71">
        <f t="shared" si="158"/>
        <v>3.0046245349457656E-3</v>
      </c>
      <c r="FS71">
        <f t="shared" si="159"/>
        <v>2.7076902998640268E-3</v>
      </c>
      <c r="FT71">
        <f t="shared" si="160"/>
        <v>2.4127022629522989E-3</v>
      </c>
      <c r="FU71">
        <f t="shared" si="161"/>
        <v>2.2053166390412255E-3</v>
      </c>
      <c r="FV71">
        <f t="shared" si="162"/>
        <v>1.9683621169777252E-3</v>
      </c>
      <c r="FW71">
        <f t="shared" si="163"/>
        <v>1.6490563926700804E-3</v>
      </c>
      <c r="FX71">
        <f t="shared" si="164"/>
        <v>1.2535121730466369E-3</v>
      </c>
      <c r="FY71">
        <f t="shared" si="165"/>
        <v>9.6592517142931895E-4</v>
      </c>
      <c r="FZ71">
        <f t="shared" si="166"/>
        <v>8.3243242371163579E-4</v>
      </c>
      <c r="GA71">
        <f t="shared" si="167"/>
        <v>6.9816041354760986E-4</v>
      </c>
      <c r="GB71">
        <f t="shared" si="168"/>
        <v>5.3081478216846086E-4</v>
      </c>
      <c r="GC71">
        <f t="shared" si="169"/>
        <v>3.3039944546587864E-4</v>
      </c>
      <c r="GD71">
        <f t="shared" si="170"/>
        <v>2.0647322114726555E-4</v>
      </c>
      <c r="GE71">
        <f t="shared" si="171"/>
        <v>3.5223054163854172E-4</v>
      </c>
    </row>
    <row r="72" spans="1:187">
      <c r="A72" s="4">
        <v>2020</v>
      </c>
      <c r="B72" s="17">
        <v>3990.8180000000002</v>
      </c>
      <c r="C72" s="17">
        <v>3943.8530000000001</v>
      </c>
      <c r="D72" s="17">
        <v>3917.33</v>
      </c>
      <c r="E72" s="17">
        <v>3908.7440000000001</v>
      </c>
      <c r="F72" s="17">
        <v>3915.587</v>
      </c>
      <c r="G72" s="17">
        <v>3935.3519999999999</v>
      </c>
      <c r="H72" s="17">
        <v>3965.5340000000001</v>
      </c>
      <c r="I72" s="17">
        <v>4003.6260000000002</v>
      </c>
      <c r="J72" s="17">
        <v>4047.123</v>
      </c>
      <c r="K72" s="17">
        <v>4093.5169999999998</v>
      </c>
      <c r="L72" s="17">
        <v>4145.6149999999998</v>
      </c>
      <c r="M72" s="17">
        <v>4206.2209999999995</v>
      </c>
      <c r="N72" s="17">
        <v>4246.2709999999997</v>
      </c>
      <c r="O72" s="17">
        <v>4252.6360000000004</v>
      </c>
      <c r="P72" s="17">
        <v>4238.7439999999997</v>
      </c>
      <c r="Q72" s="17">
        <v>4230.6710000000003</v>
      </c>
      <c r="R72" s="17">
        <v>4222.6210000000001</v>
      </c>
      <c r="S72" s="17">
        <v>4228.53</v>
      </c>
      <c r="T72" s="17">
        <v>4257.7790000000005</v>
      </c>
      <c r="U72" s="17">
        <v>4303.3069999999998</v>
      </c>
      <c r="V72" s="17">
        <v>4344.0039999999999</v>
      </c>
      <c r="W72" s="17">
        <v>4378.4859999999999</v>
      </c>
      <c r="X72" s="17">
        <v>4430.5039999999999</v>
      </c>
      <c r="Y72" s="17">
        <v>4507.9579999999996</v>
      </c>
      <c r="Z72" s="17">
        <v>4597.7929999999997</v>
      </c>
      <c r="AA72" s="17">
        <v>4681.7920000000004</v>
      </c>
      <c r="AB72" s="17">
        <v>4766.8720000000003</v>
      </c>
      <c r="AC72" s="17">
        <v>4815.5469999999996</v>
      </c>
      <c r="AD72" s="17">
        <v>4808.3389999999999</v>
      </c>
      <c r="AE72" s="17">
        <v>4762.78</v>
      </c>
      <c r="AF72" s="17">
        <v>4717.1099999999997</v>
      </c>
      <c r="AG72" s="17">
        <v>4665.1549999999997</v>
      </c>
      <c r="AH72" s="17">
        <v>4609.7340000000004</v>
      </c>
      <c r="AI72" s="17">
        <v>4556.5730000000003</v>
      </c>
      <c r="AJ72" s="17">
        <v>4503.9070000000002</v>
      </c>
      <c r="AK72" s="17">
        <v>4445.7889999999998</v>
      </c>
      <c r="AL72" s="17">
        <v>4385.26</v>
      </c>
      <c r="AM72" s="17">
        <v>4323.4859999999999</v>
      </c>
      <c r="AN72" s="17">
        <v>4261.0709999999999</v>
      </c>
      <c r="AO72" s="17">
        <v>4200.1850000000004</v>
      </c>
      <c r="AP72" s="17">
        <v>4141.8890000000001</v>
      </c>
      <c r="AQ72" s="17">
        <v>4085.3620000000001</v>
      </c>
      <c r="AR72" s="17">
        <v>4042.0819999999999</v>
      </c>
      <c r="AS72" s="17">
        <v>4017.6880000000001</v>
      </c>
      <c r="AT72" s="17">
        <v>4007.578</v>
      </c>
      <c r="AU72" s="17">
        <v>4000.991</v>
      </c>
      <c r="AV72" s="17">
        <v>3999.4560000000001</v>
      </c>
      <c r="AW72" s="17">
        <v>4004.585</v>
      </c>
      <c r="AX72" s="17">
        <v>4015.9029999999998</v>
      </c>
      <c r="AY72" s="17">
        <v>4032.8629999999998</v>
      </c>
      <c r="AZ72" s="17">
        <v>4051.75</v>
      </c>
      <c r="BA72" s="17">
        <v>4068.931</v>
      </c>
      <c r="BB72" s="17">
        <v>4099.5339999999997</v>
      </c>
      <c r="BC72" s="17">
        <v>4149.29</v>
      </c>
      <c r="BD72" s="17">
        <v>4208.3019999999997</v>
      </c>
      <c r="BE72" s="17">
        <v>4260.7179999999998</v>
      </c>
      <c r="BF72" s="17">
        <v>4309.4399999999996</v>
      </c>
      <c r="BG72" s="17">
        <v>4336.8419999999996</v>
      </c>
      <c r="BH72" s="17">
        <v>4332.4340000000002</v>
      </c>
      <c r="BI72" s="17">
        <v>4302.8360000000002</v>
      </c>
      <c r="BJ72" s="17">
        <v>4267.3389999999999</v>
      </c>
      <c r="BK72" s="17">
        <v>4224.701</v>
      </c>
      <c r="BL72" s="17">
        <v>4159.26</v>
      </c>
      <c r="BM72" s="17">
        <v>4065.9830000000002</v>
      </c>
      <c r="BN72" s="17">
        <v>3951.86</v>
      </c>
      <c r="BO72" s="17">
        <v>3828.0320000000002</v>
      </c>
      <c r="BP72" s="17">
        <v>3691.2150000000001</v>
      </c>
      <c r="BQ72" s="17">
        <v>3556.482</v>
      </c>
      <c r="BR72" s="17">
        <v>3432.1309999999999</v>
      </c>
      <c r="BS72" s="17">
        <v>3311.1669999999999</v>
      </c>
      <c r="BT72" s="17">
        <v>3182.3319999999999</v>
      </c>
      <c r="BU72" s="17">
        <v>3052.723</v>
      </c>
      <c r="BV72" s="17">
        <v>2899.94</v>
      </c>
      <c r="BW72" s="17">
        <v>2713.2739999999999</v>
      </c>
      <c r="BX72" s="17">
        <v>2506.5940000000001</v>
      </c>
      <c r="BY72" s="17">
        <v>2303.4490000000001</v>
      </c>
      <c r="BZ72" s="17">
        <v>2097.8919999999998</v>
      </c>
      <c r="CA72" s="17">
        <v>1914.3889999999999</v>
      </c>
      <c r="CB72" s="17">
        <v>1767.1110000000001</v>
      </c>
      <c r="CC72" s="17">
        <v>1644.893</v>
      </c>
      <c r="CD72" s="17">
        <v>1522.35</v>
      </c>
      <c r="CE72" s="17">
        <v>1404.508</v>
      </c>
      <c r="CF72" s="17">
        <v>1290.463</v>
      </c>
      <c r="CG72" s="17">
        <v>1177.2070000000001</v>
      </c>
      <c r="CH72" s="17">
        <v>1066.674</v>
      </c>
      <c r="CI72" s="17">
        <v>963.4</v>
      </c>
      <c r="CJ72" s="17">
        <v>865.99</v>
      </c>
      <c r="CK72" s="17">
        <v>775.23800000000006</v>
      </c>
      <c r="CL72" s="17">
        <v>691.83500000000004</v>
      </c>
      <c r="CM72" s="17">
        <v>614.64099999999996</v>
      </c>
      <c r="CN72" s="17">
        <v>537.39300000000003</v>
      </c>
      <c r="CO72" s="17">
        <v>486.74400000000003</v>
      </c>
      <c r="CP72" s="17">
        <v>429.166</v>
      </c>
      <c r="CQ72" s="17">
        <v>349.64600000000002</v>
      </c>
      <c r="CR72" s="17">
        <v>248.18700000000001</v>
      </c>
      <c r="CS72" s="17">
        <v>182.358</v>
      </c>
      <c r="CT72" s="17">
        <v>159.995</v>
      </c>
      <c r="CU72" s="17">
        <v>131.47900000000001</v>
      </c>
      <c r="CV72" s="17">
        <v>96.811999999999998</v>
      </c>
      <c r="CW72" s="17">
        <v>55.991999999999997</v>
      </c>
      <c r="CX72" s="17">
        <v>97.103999999999999</v>
      </c>
      <c r="CY72" s="3">
        <f t="shared" si="87"/>
        <v>331002.647</v>
      </c>
      <c r="CZ72" s="21">
        <f t="shared" si="88"/>
        <v>257509.85400000002</v>
      </c>
      <c r="DA72">
        <f t="shared" si="89"/>
        <v>1.6534431338693548E-2</v>
      </c>
      <c r="DB72">
        <f t="shared" si="90"/>
        <v>1.6711232339869989E-2</v>
      </c>
      <c r="DC72">
        <f t="shared" si="91"/>
        <v>1.6869272893921951E-2</v>
      </c>
      <c r="DD72">
        <f t="shared" si="92"/>
        <v>1.7003178449241013E-2</v>
      </c>
      <c r="DE72">
        <f t="shared" si="93"/>
        <v>1.7205182369448277E-2</v>
      </c>
      <c r="DF72">
        <f t="shared" si="94"/>
        <v>1.7505963092192964E-2</v>
      </c>
      <c r="DG72">
        <f t="shared" si="95"/>
        <v>1.7854823528423106E-2</v>
      </c>
      <c r="DH72">
        <f t="shared" si="96"/>
        <v>1.8181020754258204E-2</v>
      </c>
      <c r="DI72">
        <f t="shared" si="97"/>
        <v>1.8511415877700742E-2</v>
      </c>
      <c r="DJ72">
        <f t="shared" si="98"/>
        <v>1.8700437770431882E-2</v>
      </c>
      <c r="DK72">
        <f t="shared" si="99"/>
        <v>1.8672446608586867E-2</v>
      </c>
      <c r="DL72">
        <f t="shared" si="100"/>
        <v>1.849552522366775E-2</v>
      </c>
      <c r="DM72">
        <f t="shared" si="101"/>
        <v>1.8318172787282927E-2</v>
      </c>
      <c r="DN72">
        <f t="shared" si="102"/>
        <v>1.8116413517907548E-2</v>
      </c>
      <c r="DO72">
        <f t="shared" si="103"/>
        <v>1.7901194569431893E-2</v>
      </c>
      <c r="DP72">
        <f t="shared" si="104"/>
        <v>1.7694751984131837E-2</v>
      </c>
      <c r="DQ72">
        <f t="shared" si="105"/>
        <v>1.7490231655368029E-2</v>
      </c>
      <c r="DR72">
        <f t="shared" si="106"/>
        <v>1.7264539321279717E-2</v>
      </c>
      <c r="DS72">
        <f t="shared" si="107"/>
        <v>1.7029484238688591E-2</v>
      </c>
      <c r="DT72">
        <f t="shared" si="108"/>
        <v>1.6789594389657801E-2</v>
      </c>
      <c r="DU72">
        <f t="shared" si="109"/>
        <v>1.6547215315496237E-2</v>
      </c>
      <c r="DV72">
        <f t="shared" si="110"/>
        <v>1.6310773878191086E-2</v>
      </c>
      <c r="DW72">
        <f t="shared" si="111"/>
        <v>1.608439030841903E-2</v>
      </c>
      <c r="DX72">
        <f t="shared" si="112"/>
        <v>1.5864876378672482E-2</v>
      </c>
      <c r="DY72">
        <f t="shared" si="113"/>
        <v>1.5696805140513186E-2</v>
      </c>
      <c r="DZ72">
        <f t="shared" si="114"/>
        <v>1.5602074785068224E-2</v>
      </c>
      <c r="EA72">
        <f t="shared" si="115"/>
        <v>1.5562814151570292E-2</v>
      </c>
      <c r="EB72">
        <f t="shared" si="116"/>
        <v>1.5537234547925299E-2</v>
      </c>
      <c r="EC72">
        <f t="shared" si="117"/>
        <v>1.5531273610989658E-2</v>
      </c>
      <c r="ED72">
        <f t="shared" si="118"/>
        <v>1.5551191295382428E-2</v>
      </c>
      <c r="EE72">
        <f t="shared" si="119"/>
        <v>1.5595143011498114E-2</v>
      </c>
      <c r="EF72">
        <f t="shared" si="120"/>
        <v>1.5661004568780501E-2</v>
      </c>
      <c r="EG72">
        <f t="shared" si="121"/>
        <v>1.5734349334841375E-2</v>
      </c>
      <c r="EH72">
        <f t="shared" si="122"/>
        <v>1.5801069111708633E-2</v>
      </c>
      <c r="EI72">
        <f t="shared" si="123"/>
        <v>1.5919911165807269E-2</v>
      </c>
      <c r="EJ72">
        <f t="shared" si="124"/>
        <v>1.6113130956145857E-2</v>
      </c>
      <c r="EK72">
        <f t="shared" si="125"/>
        <v>1.6342295002039025E-2</v>
      </c>
      <c r="EL72">
        <f t="shared" si="126"/>
        <v>1.6545844494168366E-2</v>
      </c>
      <c r="EM72">
        <f t="shared" si="127"/>
        <v>1.6735048904186787E-2</v>
      </c>
      <c r="EN72">
        <f t="shared" si="128"/>
        <v>1.6841460366017681E-2</v>
      </c>
      <c r="EO72">
        <f t="shared" si="129"/>
        <v>1.6824342574478721E-2</v>
      </c>
      <c r="EP72">
        <f t="shared" si="130"/>
        <v>1.6709403283650653E-2</v>
      </c>
      <c r="EQ72">
        <f t="shared" si="131"/>
        <v>1.6571556131595645E-2</v>
      </c>
      <c r="ER72">
        <f t="shared" si="132"/>
        <v>1.6405978001913665E-2</v>
      </c>
      <c r="ES72">
        <f t="shared" si="133"/>
        <v>1.6151847921128486E-2</v>
      </c>
      <c r="ET72">
        <f t="shared" si="134"/>
        <v>1.5789621006114973E-2</v>
      </c>
      <c r="EU72">
        <f t="shared" si="135"/>
        <v>1.5346441849172885E-2</v>
      </c>
      <c r="EV72">
        <f t="shared" si="136"/>
        <v>1.4865574814080707E-2</v>
      </c>
      <c r="EW72">
        <f t="shared" si="137"/>
        <v>1.4334266990808048E-2</v>
      </c>
      <c r="EX72">
        <f t="shared" si="138"/>
        <v>1.3811052061720324E-2</v>
      </c>
      <c r="EY72">
        <f t="shared" si="139"/>
        <v>1.3328154036388835E-2</v>
      </c>
      <c r="EZ72">
        <f t="shared" si="140"/>
        <v>1.2858408905781134E-2</v>
      </c>
      <c r="FA72">
        <f t="shared" si="141"/>
        <v>1.2358097954573807E-2</v>
      </c>
      <c r="FB72">
        <f t="shared" si="142"/>
        <v>1.1854781293146164E-2</v>
      </c>
      <c r="FC72">
        <f t="shared" si="143"/>
        <v>1.1261471959049769E-2</v>
      </c>
      <c r="FD72">
        <f t="shared" si="144"/>
        <v>1.0536583194210501E-2</v>
      </c>
      <c r="FE72">
        <f t="shared" si="145"/>
        <v>9.7339731317621723E-3</v>
      </c>
      <c r="FF72">
        <f t="shared" si="146"/>
        <v>8.9450906993252376E-3</v>
      </c>
      <c r="FG72">
        <f t="shared" si="147"/>
        <v>8.1468416350389435E-3</v>
      </c>
      <c r="FH72">
        <f t="shared" si="148"/>
        <v>7.4342358952989808E-3</v>
      </c>
      <c r="FI72">
        <f t="shared" si="149"/>
        <v>6.8623043838935962E-3</v>
      </c>
      <c r="FJ72">
        <f t="shared" si="150"/>
        <v>6.387689536727398E-3</v>
      </c>
      <c r="FK72">
        <f t="shared" si="151"/>
        <v>5.9118126019363894E-3</v>
      </c>
      <c r="FL72">
        <f t="shared" si="152"/>
        <v>5.4541912792199394E-3</v>
      </c>
      <c r="FM72">
        <f t="shared" si="153"/>
        <v>5.0113150233078068E-3</v>
      </c>
      <c r="FN72">
        <f t="shared" si="154"/>
        <v>4.5715027278140589E-3</v>
      </c>
      <c r="FO72">
        <f t="shared" si="155"/>
        <v>4.142264784942948E-3</v>
      </c>
      <c r="FP72">
        <f t="shared" si="156"/>
        <v>3.7412160545902831E-3</v>
      </c>
      <c r="FQ72">
        <f t="shared" si="157"/>
        <v>3.362939268335727E-3</v>
      </c>
      <c r="FR72">
        <f t="shared" si="158"/>
        <v>3.0105178033303535E-3</v>
      </c>
      <c r="FS72">
        <f t="shared" si="159"/>
        <v>2.6866350520318339E-3</v>
      </c>
      <c r="FT72">
        <f t="shared" si="160"/>
        <v>2.3868639993869902E-3</v>
      </c>
      <c r="FU72">
        <f t="shared" si="161"/>
        <v>2.0868832460291015E-3</v>
      </c>
      <c r="FV72">
        <f t="shared" si="162"/>
        <v>1.8901956272321912E-3</v>
      </c>
      <c r="FW72">
        <f t="shared" si="163"/>
        <v>1.6666003002743341E-3</v>
      </c>
      <c r="FX72">
        <f t="shared" si="164"/>
        <v>1.3577965835823898E-3</v>
      </c>
      <c r="FY72">
        <f t="shared" si="165"/>
        <v>9.6379612719597126E-4</v>
      </c>
      <c r="FZ72">
        <f t="shared" si="166"/>
        <v>7.0815930795409482E-4</v>
      </c>
      <c r="GA72">
        <f t="shared" si="167"/>
        <v>6.2131602932756112E-4</v>
      </c>
      <c r="GB72">
        <f t="shared" si="168"/>
        <v>5.10578519453473E-4</v>
      </c>
      <c r="GC72">
        <f t="shared" si="169"/>
        <v>3.7595454502490608E-4</v>
      </c>
      <c r="GD72">
        <f t="shared" si="170"/>
        <v>2.1743633934878466E-4</v>
      </c>
      <c r="GE72">
        <f t="shared" si="171"/>
        <v>3.7708848221396606E-4</v>
      </c>
    </row>
    <row r="73" spans="1:187">
      <c r="A73" s="15">
        <v>2021</v>
      </c>
      <c r="B73" s="18">
        <v>4041.3960000000002</v>
      </c>
      <c r="C73" s="18">
        <v>3988.5070000000001</v>
      </c>
      <c r="D73" s="18">
        <v>3947.66</v>
      </c>
      <c r="E73" s="18">
        <v>3924.587</v>
      </c>
      <c r="F73" s="18">
        <v>3917.337</v>
      </c>
      <c r="G73" s="18">
        <v>3923.9549999999999</v>
      </c>
      <c r="H73" s="18">
        <v>3941.7919999999999</v>
      </c>
      <c r="I73" s="18">
        <v>3968.1930000000002</v>
      </c>
      <c r="J73" s="18">
        <v>4004.7150000000001</v>
      </c>
      <c r="K73" s="18">
        <v>4050.8130000000001</v>
      </c>
      <c r="L73" s="18">
        <v>4102.4279999999999</v>
      </c>
      <c r="M73" s="18">
        <v>4158.7250000000004</v>
      </c>
      <c r="N73" s="18">
        <v>4223.08</v>
      </c>
      <c r="O73" s="18">
        <v>4266.9070000000002</v>
      </c>
      <c r="P73" s="18">
        <v>4276.9009999999998</v>
      </c>
      <c r="Q73" s="18">
        <v>4266.3879999999999</v>
      </c>
      <c r="R73" s="18">
        <v>4261.6149999999998</v>
      </c>
      <c r="S73" s="18">
        <v>4256.8689999999997</v>
      </c>
      <c r="T73" s="18">
        <v>4264.7960000000003</v>
      </c>
      <c r="U73" s="18">
        <v>4294.192</v>
      </c>
      <c r="V73" s="18">
        <v>4338.5479999999998</v>
      </c>
      <c r="W73" s="18">
        <v>4377.9560000000001</v>
      </c>
      <c r="X73" s="18">
        <v>4410.866</v>
      </c>
      <c r="Y73" s="18">
        <v>4461.0649999999996</v>
      </c>
      <c r="Z73" s="18">
        <v>4536.6109999999999</v>
      </c>
      <c r="AA73" s="18">
        <v>4624.451</v>
      </c>
      <c r="AB73" s="18">
        <v>4706.2039999999997</v>
      </c>
      <c r="AC73" s="18">
        <v>4788.8239999999996</v>
      </c>
      <c r="AD73" s="18">
        <v>4835.2139999999999</v>
      </c>
      <c r="AE73" s="18">
        <v>4826.0789999999997</v>
      </c>
      <c r="AF73" s="18">
        <v>4778.8379999999997</v>
      </c>
      <c r="AG73" s="18">
        <v>4731.4219999999996</v>
      </c>
      <c r="AH73" s="18">
        <v>4677.7079999999996</v>
      </c>
      <c r="AI73" s="18">
        <v>4620.6509999999998</v>
      </c>
      <c r="AJ73" s="18">
        <v>4566.0069999999996</v>
      </c>
      <c r="AK73" s="18">
        <v>4511.973</v>
      </c>
      <c r="AL73" s="18">
        <v>4452.5140000000001</v>
      </c>
      <c r="AM73" s="18">
        <v>4390.6679999999997</v>
      </c>
      <c r="AN73" s="18">
        <v>4327.6350000000002</v>
      </c>
      <c r="AO73" s="18">
        <v>4264.0169999999998</v>
      </c>
      <c r="AP73" s="18">
        <v>4201.96</v>
      </c>
      <c r="AQ73" s="18">
        <v>4142.4799999999996</v>
      </c>
      <c r="AR73" s="18">
        <v>4084.7570000000001</v>
      </c>
      <c r="AS73" s="18">
        <v>4040.2310000000002</v>
      </c>
      <c r="AT73" s="18">
        <v>4014.5189999999998</v>
      </c>
      <c r="AU73" s="18">
        <v>4003.0169999999998</v>
      </c>
      <c r="AV73" s="18">
        <v>3994.9769999999999</v>
      </c>
      <c r="AW73" s="18">
        <v>3991.9189999999999</v>
      </c>
      <c r="AX73" s="18">
        <v>3995.4059999999999</v>
      </c>
      <c r="AY73" s="18">
        <v>4004.9360000000001</v>
      </c>
      <c r="AZ73" s="18">
        <v>4019.971</v>
      </c>
      <c r="BA73" s="18">
        <v>4036.8580000000002</v>
      </c>
      <c r="BB73" s="18">
        <v>4051.9830000000002</v>
      </c>
      <c r="BC73" s="18">
        <v>4080.3020000000001</v>
      </c>
      <c r="BD73" s="18">
        <v>4127.4769999999999</v>
      </c>
      <c r="BE73" s="18">
        <v>4183.701</v>
      </c>
      <c r="BF73" s="18">
        <v>4233.2950000000001</v>
      </c>
      <c r="BG73" s="18">
        <v>4279.1379999999999</v>
      </c>
      <c r="BH73" s="18">
        <v>4303.6819999999998</v>
      </c>
      <c r="BI73" s="18">
        <v>4296.4989999999998</v>
      </c>
      <c r="BJ73" s="18">
        <v>4264.1859999999997</v>
      </c>
      <c r="BK73" s="18">
        <v>4225.93</v>
      </c>
      <c r="BL73" s="18">
        <v>4180.4889999999996</v>
      </c>
      <c r="BM73" s="18">
        <v>4112.3689999999997</v>
      </c>
      <c r="BN73" s="18">
        <v>4016.6080000000002</v>
      </c>
      <c r="BO73" s="18">
        <v>3900.1170000000002</v>
      </c>
      <c r="BP73" s="18">
        <v>3773.973</v>
      </c>
      <c r="BQ73" s="18">
        <v>3635.0050000000001</v>
      </c>
      <c r="BR73" s="18">
        <v>3497.8020000000001</v>
      </c>
      <c r="BS73" s="18">
        <v>3370.4450000000002</v>
      </c>
      <c r="BT73" s="18">
        <v>3246.2159999999999</v>
      </c>
      <c r="BU73" s="18">
        <v>3114.288</v>
      </c>
      <c r="BV73" s="18">
        <v>2981.5949999999998</v>
      </c>
      <c r="BW73" s="18">
        <v>2826.4360000000001</v>
      </c>
      <c r="BX73" s="18">
        <v>2638.4659999999999</v>
      </c>
      <c r="BY73" s="18">
        <v>2431.2069999999999</v>
      </c>
      <c r="BZ73" s="18">
        <v>2227.5729999999999</v>
      </c>
      <c r="CA73" s="18">
        <v>2021.846</v>
      </c>
      <c r="CB73" s="18">
        <v>1837.836</v>
      </c>
      <c r="CC73" s="18">
        <v>1689.36</v>
      </c>
      <c r="CD73" s="18">
        <v>1565.627</v>
      </c>
      <c r="CE73" s="18">
        <v>1441.991</v>
      </c>
      <c r="CF73" s="18">
        <v>1323.3340000000001</v>
      </c>
      <c r="CG73" s="18">
        <v>1209.0899999999999</v>
      </c>
      <c r="CH73" s="18">
        <v>1096.4960000000001</v>
      </c>
      <c r="CI73" s="18">
        <v>987.32799999999997</v>
      </c>
      <c r="CJ73" s="18">
        <v>884.24400000000003</v>
      </c>
      <c r="CK73" s="18">
        <v>790.65899999999999</v>
      </c>
      <c r="CL73" s="18">
        <v>705.43100000000004</v>
      </c>
      <c r="CM73" s="18">
        <v>623.56399999999996</v>
      </c>
      <c r="CN73" s="18">
        <v>544.14800000000002</v>
      </c>
      <c r="CO73" s="18">
        <v>471.42899999999997</v>
      </c>
      <c r="CP73" s="18">
        <v>426.30599999999998</v>
      </c>
      <c r="CQ73" s="18">
        <v>374.13600000000002</v>
      </c>
      <c r="CR73" s="18">
        <v>302.90899999999999</v>
      </c>
      <c r="CS73" s="18">
        <v>212.62</v>
      </c>
      <c r="CT73" s="18">
        <v>166.411</v>
      </c>
      <c r="CU73" s="18">
        <v>137.249</v>
      </c>
      <c r="CV73" s="18">
        <v>101.52200000000001</v>
      </c>
      <c r="CW73" s="18">
        <v>59.23</v>
      </c>
      <c r="CX73" s="18">
        <v>104.38800000000001</v>
      </c>
      <c r="CY73" s="3">
        <f t="shared" si="87"/>
        <v>332915.07399999996</v>
      </c>
      <c r="CZ73" s="21">
        <f t="shared" si="88"/>
        <v>259393.20600000009</v>
      </c>
      <c r="DA73">
        <f t="shared" si="89"/>
        <v>1.6441432934060727E-2</v>
      </c>
      <c r="DB73">
        <f t="shared" si="90"/>
        <v>1.6554758955406097E-2</v>
      </c>
      <c r="DC73">
        <f t="shared" si="91"/>
        <v>1.6725758037008872E-2</v>
      </c>
      <c r="DD73">
        <f t="shared" si="92"/>
        <v>1.6877681831034535E-2</v>
      </c>
      <c r="DE73">
        <f t="shared" si="93"/>
        <v>1.7004554853298659E-2</v>
      </c>
      <c r="DF73">
        <f t="shared" si="94"/>
        <v>1.7198079582701167E-2</v>
      </c>
      <c r="DG73">
        <f t="shared" si="95"/>
        <v>1.7489320826698899E-2</v>
      </c>
      <c r="DH73">
        <f t="shared" si="96"/>
        <v>1.7827957298156831E-2</v>
      </c>
      <c r="DI73">
        <f t="shared" si="97"/>
        <v>1.8143127464949865E-2</v>
      </c>
      <c r="DJ73">
        <f t="shared" si="98"/>
        <v>1.8461640047735088E-2</v>
      </c>
      <c r="DK73">
        <f t="shared" si="99"/>
        <v>1.8640480506648266E-2</v>
      </c>
      <c r="DL73">
        <f t="shared" si="100"/>
        <v>1.8605263701471031E-2</v>
      </c>
      <c r="DM73">
        <f t="shared" si="101"/>
        <v>1.8423142508983054E-2</v>
      </c>
      <c r="DN73">
        <f t="shared" si="102"/>
        <v>1.8240346665054898E-2</v>
      </c>
      <c r="DO73">
        <f t="shared" si="103"/>
        <v>1.8033271079582545E-2</v>
      </c>
      <c r="DP73">
        <f t="shared" si="104"/>
        <v>1.7813307724027276E-2</v>
      </c>
      <c r="DQ73">
        <f t="shared" si="105"/>
        <v>1.760264684804427E-2</v>
      </c>
      <c r="DR73">
        <f t="shared" si="106"/>
        <v>1.7394337614224167E-2</v>
      </c>
      <c r="DS73">
        <f t="shared" si="107"/>
        <v>1.7165114185758584E-2</v>
      </c>
      <c r="DT73">
        <f t="shared" si="108"/>
        <v>1.6926688511648982E-2</v>
      </c>
      <c r="DU73">
        <f t="shared" si="109"/>
        <v>1.6683686773199445E-2</v>
      </c>
      <c r="DV73">
        <f t="shared" si="110"/>
        <v>1.6438429771364168E-2</v>
      </c>
      <c r="DW73">
        <f t="shared" si="111"/>
        <v>1.6199190660375271E-2</v>
      </c>
      <c r="DX73">
        <f t="shared" si="112"/>
        <v>1.5969886273736862E-2</v>
      </c>
      <c r="DY73">
        <f t="shared" si="113"/>
        <v>1.5747355387557831E-2</v>
      </c>
      <c r="DZ73">
        <f t="shared" si="114"/>
        <v>1.5575700930270312E-2</v>
      </c>
      <c r="EA73">
        <f t="shared" si="115"/>
        <v>1.5476577285528436E-2</v>
      </c>
      <c r="EB73">
        <f t="shared" si="116"/>
        <v>1.5432235337728924E-2</v>
      </c>
      <c r="EC73">
        <f t="shared" si="117"/>
        <v>1.5401239922991654E-2</v>
      </c>
      <c r="ED73">
        <f t="shared" si="118"/>
        <v>1.5389450870968449E-2</v>
      </c>
      <c r="EE73">
        <f t="shared" si="119"/>
        <v>1.5402893782807859E-2</v>
      </c>
      <c r="EF73">
        <f t="shared" si="120"/>
        <v>1.543963337266435E-2</v>
      </c>
      <c r="EG73">
        <f t="shared" si="121"/>
        <v>1.5497595569253262E-2</v>
      </c>
      <c r="EH73">
        <f t="shared" si="122"/>
        <v>1.5562697505654789E-2</v>
      </c>
      <c r="EI73">
        <f t="shared" si="123"/>
        <v>1.5621006665841505E-2</v>
      </c>
      <c r="EJ73">
        <f t="shared" si="124"/>
        <v>1.5730180689466473E-2</v>
      </c>
      <c r="EK73">
        <f t="shared" si="125"/>
        <v>1.5912047441982727E-2</v>
      </c>
      <c r="EL73">
        <f t="shared" si="126"/>
        <v>1.6128799456682757E-2</v>
      </c>
      <c r="EM73">
        <f t="shared" si="127"/>
        <v>1.63199918196778E-2</v>
      </c>
      <c r="EN73">
        <f t="shared" si="128"/>
        <v>1.6496723510946536E-2</v>
      </c>
      <c r="EO73">
        <f t="shared" si="129"/>
        <v>1.6591344339219116E-2</v>
      </c>
      <c r="EP73">
        <f t="shared" si="130"/>
        <v>1.6563652788963171E-2</v>
      </c>
      <c r="EQ73">
        <f t="shared" si="131"/>
        <v>1.6439081291897823E-2</v>
      </c>
      <c r="ER73">
        <f t="shared" si="132"/>
        <v>1.629159863192407E-2</v>
      </c>
      <c r="ES73">
        <f t="shared" si="133"/>
        <v>1.6116416711392193E-2</v>
      </c>
      <c r="ET73">
        <f t="shared" si="134"/>
        <v>1.5853803819364482E-2</v>
      </c>
      <c r="EU73">
        <f t="shared" si="135"/>
        <v>1.5484630696148607E-2</v>
      </c>
      <c r="EV73">
        <f t="shared" si="136"/>
        <v>1.5035540290904916E-2</v>
      </c>
      <c r="EW73">
        <f t="shared" si="137"/>
        <v>1.4549236112221068E-2</v>
      </c>
      <c r="EX73">
        <f t="shared" si="138"/>
        <v>1.401349347600106E-2</v>
      </c>
      <c r="EY73">
        <f t="shared" si="139"/>
        <v>1.348455518144912E-2</v>
      </c>
      <c r="EZ73">
        <f t="shared" si="140"/>
        <v>1.2993574704497076E-2</v>
      </c>
      <c r="FA73">
        <f t="shared" si="141"/>
        <v>1.2514653140144306E-2</v>
      </c>
      <c r="FB73">
        <f t="shared" si="142"/>
        <v>1.2006050767574841E-2</v>
      </c>
      <c r="FC73">
        <f t="shared" si="143"/>
        <v>1.1494499204424032E-2</v>
      </c>
      <c r="FD73">
        <f t="shared" si="144"/>
        <v>1.0896337816958857E-2</v>
      </c>
      <c r="FE73">
        <f t="shared" si="145"/>
        <v>1.0171685067187144E-2</v>
      </c>
      <c r="FF73">
        <f t="shared" si="146"/>
        <v>9.3726703081035943E-3</v>
      </c>
      <c r="FG73">
        <f t="shared" si="147"/>
        <v>8.5876304717094204E-3</v>
      </c>
      <c r="FH73">
        <f t="shared" si="148"/>
        <v>7.7945218040907337E-3</v>
      </c>
      <c r="FI73">
        <f t="shared" si="149"/>
        <v>7.0851354526224536E-3</v>
      </c>
      <c r="FJ73">
        <f t="shared" si="150"/>
        <v>6.5127380398698623E-3</v>
      </c>
      <c r="FK73">
        <f t="shared" si="151"/>
        <v>6.0357286304561089E-3</v>
      </c>
      <c r="FL73">
        <f t="shared" si="152"/>
        <v>5.5590931706977686E-3</v>
      </c>
      <c r="FM73">
        <f t="shared" si="153"/>
        <v>5.1016525082002327E-3</v>
      </c>
      <c r="FN73">
        <f t="shared" si="154"/>
        <v>4.6612246274484129E-3</v>
      </c>
      <c r="FO73">
        <f t="shared" si="155"/>
        <v>4.2271577459896915E-3</v>
      </c>
      <c r="FP73">
        <f t="shared" si="156"/>
        <v>3.8062986121540888E-3</v>
      </c>
      <c r="FQ73">
        <f t="shared" si="157"/>
        <v>3.4088942175301219E-3</v>
      </c>
      <c r="FR73">
        <f t="shared" si="158"/>
        <v>3.048109903078956E-3</v>
      </c>
      <c r="FS73">
        <f t="shared" si="159"/>
        <v>2.7195430862595521E-3</v>
      </c>
      <c r="FT73">
        <f t="shared" si="160"/>
        <v>2.4039334322426306E-3</v>
      </c>
      <c r="FU73">
        <f t="shared" si="161"/>
        <v>2.097772753539273E-3</v>
      </c>
      <c r="FV73">
        <f t="shared" si="162"/>
        <v>1.8174300216637124E-3</v>
      </c>
      <c r="FW73">
        <f t="shared" si="163"/>
        <v>1.6434740391774172E-3</v>
      </c>
      <c r="FX73">
        <f t="shared" si="164"/>
        <v>1.4423508069829705E-3</v>
      </c>
      <c r="FY73">
        <f t="shared" si="165"/>
        <v>1.1677599605288038E-3</v>
      </c>
      <c r="FZ73">
        <f t="shared" si="166"/>
        <v>8.1968222405948415E-4</v>
      </c>
      <c r="GA73">
        <f t="shared" si="167"/>
        <v>6.4153954749300547E-4</v>
      </c>
      <c r="GB73">
        <f t="shared" si="168"/>
        <v>5.2911563150192891E-4</v>
      </c>
      <c r="GC73">
        <f t="shared" si="169"/>
        <v>3.9138264862650246E-4</v>
      </c>
      <c r="GD73">
        <f t="shared" si="170"/>
        <v>2.2834059886672582E-4</v>
      </c>
      <c r="GE73">
        <f t="shared" si="171"/>
        <v>4.0243151164105653E-4</v>
      </c>
    </row>
    <row r="74" spans="1:187">
      <c r="A74" s="15">
        <v>2022</v>
      </c>
      <c r="B74" s="18">
        <v>4083.0430000000001</v>
      </c>
      <c r="C74" s="18">
        <v>4009.9319999999998</v>
      </c>
      <c r="D74" s="18">
        <v>3985.7049999999999</v>
      </c>
      <c r="E74" s="18">
        <v>3950.9839999999999</v>
      </c>
      <c r="F74" s="18">
        <v>3931.364</v>
      </c>
      <c r="G74" s="18">
        <v>3925.45</v>
      </c>
      <c r="H74" s="18">
        <v>3931.8449999999998</v>
      </c>
      <c r="I74" s="18">
        <v>3947.75</v>
      </c>
      <c r="J74" s="18">
        <v>3970.364</v>
      </c>
      <c r="K74" s="18">
        <v>4005.3110000000001</v>
      </c>
      <c r="L74" s="18">
        <v>4054.0050000000001</v>
      </c>
      <c r="M74" s="18">
        <v>4110.8370000000004</v>
      </c>
      <c r="N74" s="18">
        <v>4171.3289999999997</v>
      </c>
      <c r="O74" s="18">
        <v>4239.4260000000004</v>
      </c>
      <c r="P74" s="18">
        <v>4287.027</v>
      </c>
      <c r="Q74" s="18">
        <v>4300.6509999999998</v>
      </c>
      <c r="R74" s="18">
        <v>4293.5200000000004</v>
      </c>
      <c r="S74" s="18">
        <v>4292.05</v>
      </c>
      <c r="T74" s="18">
        <v>4290.6080000000002</v>
      </c>
      <c r="U74" s="18">
        <v>4300.5550000000003</v>
      </c>
      <c r="V74" s="18">
        <v>4330.0940000000001</v>
      </c>
      <c r="W74" s="18">
        <v>4373.2719999999999</v>
      </c>
      <c r="X74" s="18">
        <v>4411.3850000000002</v>
      </c>
      <c r="Y74" s="18">
        <v>4442.7179999999998</v>
      </c>
      <c r="Z74" s="18">
        <v>4491.0889999999999</v>
      </c>
      <c r="AA74" s="18">
        <v>4564.72</v>
      </c>
      <c r="AB74" s="18">
        <v>4650.5540000000001</v>
      </c>
      <c r="AC74" s="18">
        <v>4730.0479999999998</v>
      </c>
      <c r="AD74" s="18">
        <v>4810.1959999999999</v>
      </c>
      <c r="AE74" s="18">
        <v>4854.2950000000001</v>
      </c>
      <c r="AF74" s="18">
        <v>4843.2340000000004</v>
      </c>
      <c r="AG74" s="18">
        <v>4794.3149999999996</v>
      </c>
      <c r="AH74" s="18">
        <v>4745.1589999999997</v>
      </c>
      <c r="AI74" s="18">
        <v>4689.6930000000002</v>
      </c>
      <c r="AJ74" s="18">
        <v>4631.0050000000001</v>
      </c>
      <c r="AK74" s="18">
        <v>4574.884</v>
      </c>
      <c r="AL74" s="18">
        <v>4519.4880000000003</v>
      </c>
      <c r="AM74" s="18">
        <v>4458.6940000000004</v>
      </c>
      <c r="AN74" s="18">
        <v>4395.5379999999996</v>
      </c>
      <c r="AO74" s="18">
        <v>4331.2520000000004</v>
      </c>
      <c r="AP74" s="18">
        <v>4266.4409999999998</v>
      </c>
      <c r="AQ74" s="18">
        <v>4203.2179999999998</v>
      </c>
      <c r="AR74" s="18">
        <v>4142.5640000000003</v>
      </c>
      <c r="AS74" s="18">
        <v>4083.6480000000001</v>
      </c>
      <c r="AT74" s="18">
        <v>4037.8820000000001</v>
      </c>
      <c r="AU74" s="18">
        <v>4010.8560000000002</v>
      </c>
      <c r="AV74" s="18">
        <v>3997.962</v>
      </c>
      <c r="AW74" s="18">
        <v>3988.4690000000001</v>
      </c>
      <c r="AX74" s="18">
        <v>3983.8879999999999</v>
      </c>
      <c r="AY74" s="18">
        <v>3985.7330000000002</v>
      </c>
      <c r="AZ74" s="18">
        <v>3993.473</v>
      </c>
      <c r="BA74" s="18">
        <v>4006.58</v>
      </c>
      <c r="BB74" s="18">
        <v>4021.462</v>
      </c>
      <c r="BC74" s="18">
        <v>4034.53</v>
      </c>
      <c r="BD74" s="18">
        <v>4060.56</v>
      </c>
      <c r="BE74" s="18">
        <v>4105.1459999999997</v>
      </c>
      <c r="BF74" s="18">
        <v>4158.576</v>
      </c>
      <c r="BG74" s="18">
        <v>4205.34</v>
      </c>
      <c r="BH74" s="18">
        <v>4248.2969999999996</v>
      </c>
      <c r="BI74" s="18">
        <v>4269.9790000000003</v>
      </c>
      <c r="BJ74" s="18">
        <v>4260.0209999999997</v>
      </c>
      <c r="BK74" s="18">
        <v>4224.9939999999997</v>
      </c>
      <c r="BL74" s="18">
        <v>4183.9830000000002</v>
      </c>
      <c r="BM74" s="18">
        <v>4135.7420000000002</v>
      </c>
      <c r="BN74" s="18">
        <v>4064.9520000000002</v>
      </c>
      <c r="BO74" s="18">
        <v>3966.7159999999999</v>
      </c>
      <c r="BP74" s="18">
        <v>3847.8710000000001</v>
      </c>
      <c r="BQ74" s="18">
        <v>3719.4290000000001</v>
      </c>
      <c r="BR74" s="18">
        <v>3578.3249999999998</v>
      </c>
      <c r="BS74" s="18">
        <v>3438.6660000000002</v>
      </c>
      <c r="BT74" s="18">
        <v>3308.317</v>
      </c>
      <c r="BU74" s="18">
        <v>3180.8389999999999</v>
      </c>
      <c r="BV74" s="18">
        <v>3045.8319999999999</v>
      </c>
      <c r="BW74" s="18">
        <v>2910.07</v>
      </c>
      <c r="BX74" s="18">
        <v>2752.5520000000001</v>
      </c>
      <c r="BY74" s="18">
        <v>2563.3020000000001</v>
      </c>
      <c r="BZ74" s="18">
        <v>2355.4879999999998</v>
      </c>
      <c r="CA74" s="18">
        <v>2151.3910000000001</v>
      </c>
      <c r="CB74" s="18">
        <v>1945.519</v>
      </c>
      <c r="CC74" s="18">
        <v>1761.0239999999999</v>
      </c>
      <c r="CD74" s="18">
        <v>1611.366</v>
      </c>
      <c r="CE74" s="18">
        <v>1486.133</v>
      </c>
      <c r="CF74" s="18">
        <v>1361.4179999999999</v>
      </c>
      <c r="CG74" s="18">
        <v>1241.962</v>
      </c>
      <c r="CH74" s="18">
        <v>1127.5329999999999</v>
      </c>
      <c r="CI74" s="18">
        <v>1015.614</v>
      </c>
      <c r="CJ74" s="18">
        <v>907.82500000000005</v>
      </c>
      <c r="CK74" s="18">
        <v>804.94500000000005</v>
      </c>
      <c r="CL74" s="18">
        <v>715.19799999999998</v>
      </c>
      <c r="CM74" s="18">
        <v>635.505</v>
      </c>
      <c r="CN74" s="18">
        <v>555.18499999999995</v>
      </c>
      <c r="CO74" s="18">
        <v>473.55799999999999</v>
      </c>
      <c r="CP74" s="18">
        <v>405.37599999999998</v>
      </c>
      <c r="CQ74" s="18">
        <v>365.78800000000001</v>
      </c>
      <c r="CR74" s="18">
        <v>319.03699999999998</v>
      </c>
      <c r="CS74" s="18">
        <v>256.11200000000002</v>
      </c>
      <c r="CT74" s="18">
        <v>177.012</v>
      </c>
      <c r="CU74" s="18">
        <v>142.602</v>
      </c>
      <c r="CV74" s="18">
        <v>105.988</v>
      </c>
      <c r="CW74" s="18">
        <v>62.38</v>
      </c>
      <c r="CX74" s="18">
        <v>111.705</v>
      </c>
      <c r="CY74" s="3">
        <f t="shared" si="87"/>
        <v>334805.26800000004</v>
      </c>
      <c r="CZ74" s="21">
        <f t="shared" si="88"/>
        <v>261314.6750000001</v>
      </c>
      <c r="DA74">
        <f t="shared" si="89"/>
        <v>1.6419315141792165E-2</v>
      </c>
      <c r="DB74">
        <f t="shared" si="90"/>
        <v>1.6457380359522475E-2</v>
      </c>
      <c r="DC74">
        <f t="shared" si="91"/>
        <v>1.657042031795573E-2</v>
      </c>
      <c r="DD74">
        <f t="shared" si="92"/>
        <v>1.6735654053872017E-2</v>
      </c>
      <c r="DE74">
        <f t="shared" si="93"/>
        <v>1.6881505028372396E-2</v>
      </c>
      <c r="DF74">
        <f t="shared" si="94"/>
        <v>1.7001410272882676E-2</v>
      </c>
      <c r="DG74">
        <f t="shared" si="95"/>
        <v>1.7186516601105536E-2</v>
      </c>
      <c r="DH74">
        <f t="shared" si="96"/>
        <v>1.7468287994158761E-2</v>
      </c>
      <c r="DI74">
        <f t="shared" si="97"/>
        <v>1.7796757874390324E-2</v>
      </c>
      <c r="DJ74">
        <f t="shared" si="98"/>
        <v>1.8100965818318462E-2</v>
      </c>
      <c r="DK74">
        <f t="shared" si="99"/>
        <v>1.8407676491953611E-2</v>
      </c>
      <c r="DL74">
        <f t="shared" si="100"/>
        <v>1.857643471420041E-2</v>
      </c>
      <c r="DM74">
        <f t="shared" si="101"/>
        <v>1.8534106436999754E-2</v>
      </c>
      <c r="DN74">
        <f t="shared" si="102"/>
        <v>1.8346903020276216E-2</v>
      </c>
      <c r="DO74">
        <f t="shared" si="103"/>
        <v>1.8158792651044177E-2</v>
      </c>
      <c r="DP74">
        <f t="shared" si="104"/>
        <v>1.7946535149623719E-2</v>
      </c>
      <c r="DQ74">
        <f t="shared" si="105"/>
        <v>1.772194768625221E-2</v>
      </c>
      <c r="DR74">
        <f t="shared" si="106"/>
        <v>1.7507183628320905E-2</v>
      </c>
      <c r="DS74">
        <f t="shared" si="107"/>
        <v>1.7295194003168778E-2</v>
      </c>
      <c r="DT74">
        <f t="shared" si="108"/>
        <v>1.706254729092424E-2</v>
      </c>
      <c r="DU74">
        <f t="shared" si="109"/>
        <v>1.6820861668025332E-2</v>
      </c>
      <c r="DV74">
        <f t="shared" si="110"/>
        <v>1.6574851756794746E-2</v>
      </c>
      <c r="DW74">
        <f t="shared" si="111"/>
        <v>1.6326832773551649E-2</v>
      </c>
      <c r="DX74">
        <f t="shared" si="112"/>
        <v>1.6084890754795911E-2</v>
      </c>
      <c r="DY74">
        <f t="shared" si="113"/>
        <v>1.5852779795088045E-2</v>
      </c>
      <c r="DZ74">
        <f t="shared" si="114"/>
        <v>1.5627319820442531E-2</v>
      </c>
      <c r="EA74">
        <f t="shared" si="115"/>
        <v>1.5452182316205543E-2</v>
      </c>
      <c r="EB74">
        <f t="shared" si="116"/>
        <v>1.5348759115805488E-2</v>
      </c>
      <c r="EC74">
        <f t="shared" si="117"/>
        <v>1.5299416307178303E-2</v>
      </c>
      <c r="ED74">
        <f t="shared" si="118"/>
        <v>1.5263088458388334E-2</v>
      </c>
      <c r="EE74">
        <f t="shared" si="119"/>
        <v>1.5245557870027767E-2</v>
      </c>
      <c r="EF74">
        <f t="shared" si="120"/>
        <v>1.5252618323100296E-2</v>
      </c>
      <c r="EG74">
        <f t="shared" si="121"/>
        <v>1.5282237784770406E-2</v>
      </c>
      <c r="EH74">
        <f t="shared" si="122"/>
        <v>1.5332395702614092E-2</v>
      </c>
      <c r="EI74">
        <f t="shared" si="123"/>
        <v>1.5389346197261972E-2</v>
      </c>
      <c r="EJ74">
        <f t="shared" si="124"/>
        <v>1.5439354869756162E-2</v>
      </c>
      <c r="EK74">
        <f t="shared" si="125"/>
        <v>1.5538966573538199E-2</v>
      </c>
      <c r="EL74">
        <f t="shared" si="126"/>
        <v>1.5709588449251837E-2</v>
      </c>
      <c r="EM74">
        <f t="shared" si="127"/>
        <v>1.5914054578067605E-2</v>
      </c>
      <c r="EN74">
        <f t="shared" si="128"/>
        <v>1.6093011232530277E-2</v>
      </c>
      <c r="EO74">
        <f t="shared" si="129"/>
        <v>1.6257399244799388E-2</v>
      </c>
      <c r="EP74">
        <f t="shared" si="130"/>
        <v>1.6340372005514036E-2</v>
      </c>
      <c r="EQ74">
        <f t="shared" si="131"/>
        <v>1.6302264692941559E-2</v>
      </c>
      <c r="ER74">
        <f t="shared" si="132"/>
        <v>1.6168223235070889E-2</v>
      </c>
      <c r="ES74">
        <f t="shared" si="133"/>
        <v>1.601128218306147E-2</v>
      </c>
      <c r="ET74">
        <f t="shared" si="134"/>
        <v>1.5826673339336943E-2</v>
      </c>
      <c r="EU74">
        <f t="shared" si="135"/>
        <v>1.5555773895974264E-2</v>
      </c>
      <c r="EV74">
        <f t="shared" si="136"/>
        <v>1.5179843994601521E-2</v>
      </c>
      <c r="EW74">
        <f t="shared" si="137"/>
        <v>1.4725047493027318E-2</v>
      </c>
      <c r="EX74">
        <f t="shared" si="138"/>
        <v>1.4233525155064477E-2</v>
      </c>
      <c r="EY74">
        <f t="shared" si="139"/>
        <v>1.3693547826963788E-2</v>
      </c>
      <c r="EZ74">
        <f t="shared" si="140"/>
        <v>1.3159100230402287E-2</v>
      </c>
      <c r="FA74">
        <f t="shared" si="141"/>
        <v>1.2660280177529251E-2</v>
      </c>
      <c r="FB74">
        <f t="shared" si="142"/>
        <v>1.2172446878461758E-2</v>
      </c>
      <c r="FC74">
        <f t="shared" si="143"/>
        <v>1.1655801573332989E-2</v>
      </c>
      <c r="FD74">
        <f t="shared" si="144"/>
        <v>1.1136267031310045E-2</v>
      </c>
      <c r="FE74">
        <f t="shared" si="145"/>
        <v>1.0533476545088787E-2</v>
      </c>
      <c r="FF74">
        <f t="shared" si="146"/>
        <v>9.8092539196277407E-3</v>
      </c>
      <c r="FG74">
        <f t="shared" si="147"/>
        <v>9.0139905078044265E-3</v>
      </c>
      <c r="FH74">
        <f t="shared" si="148"/>
        <v>8.2329513258296693E-3</v>
      </c>
      <c r="FI74">
        <f t="shared" si="149"/>
        <v>7.4451195670507189E-3</v>
      </c>
      <c r="FJ74">
        <f t="shared" si="150"/>
        <v>6.7390933938172408E-3</v>
      </c>
      <c r="FK74">
        <f t="shared" si="151"/>
        <v>6.1663815857260955E-3</v>
      </c>
      <c r="FL74">
        <f t="shared" si="152"/>
        <v>5.6871394612644675E-3</v>
      </c>
      <c r="FM74">
        <f t="shared" si="153"/>
        <v>5.2098796211885127E-3</v>
      </c>
      <c r="FN74">
        <f t="shared" si="154"/>
        <v>4.7527449424721348E-3</v>
      </c>
      <c r="FO74">
        <f t="shared" si="155"/>
        <v>4.3148476066259944E-3</v>
      </c>
      <c r="FP74">
        <f t="shared" si="156"/>
        <v>3.8865555484015571E-3</v>
      </c>
      <c r="FQ74">
        <f t="shared" si="157"/>
        <v>3.4740681900088453E-3</v>
      </c>
      <c r="FR74">
        <f t="shared" si="158"/>
        <v>3.0803666116340374E-3</v>
      </c>
      <c r="FS74">
        <f t="shared" si="159"/>
        <v>2.7369224480025844E-3</v>
      </c>
      <c r="FT74">
        <f t="shared" si="160"/>
        <v>2.4319529701116089E-3</v>
      </c>
      <c r="FU74">
        <f t="shared" si="161"/>
        <v>2.1245840862171238E-3</v>
      </c>
      <c r="FV74">
        <f t="shared" si="162"/>
        <v>1.8122135697124541E-3</v>
      </c>
      <c r="FW74">
        <f t="shared" si="163"/>
        <v>1.5512944307471434E-3</v>
      </c>
      <c r="FX74">
        <f t="shared" si="164"/>
        <v>1.3997989205925762E-3</v>
      </c>
      <c r="FY74">
        <f t="shared" si="165"/>
        <v>1.2208920145797394E-3</v>
      </c>
      <c r="FZ74">
        <f t="shared" si="166"/>
        <v>9.8009038336633767E-4</v>
      </c>
      <c r="GA74">
        <f t="shared" si="167"/>
        <v>6.7739020014853711E-4</v>
      </c>
      <c r="GB74">
        <f t="shared" si="168"/>
        <v>5.4570988024304394E-4</v>
      </c>
      <c r="GC74">
        <f t="shared" si="169"/>
        <v>4.0559528468885248E-4</v>
      </c>
      <c r="GD74">
        <f t="shared" si="170"/>
        <v>2.3871602312422745E-4</v>
      </c>
      <c r="GE74">
        <f t="shared" si="171"/>
        <v>4.2747312220410105E-4</v>
      </c>
    </row>
    <row r="75" spans="1:187">
      <c r="A75" s="15">
        <v>2023</v>
      </c>
      <c r="B75" s="18">
        <v>4114.9489999999996</v>
      </c>
      <c r="C75" s="18">
        <v>4045.4650000000001</v>
      </c>
      <c r="D75" s="18">
        <v>3993.3960000000002</v>
      </c>
      <c r="E75" s="18">
        <v>3982.38</v>
      </c>
      <c r="F75" s="18">
        <v>3953.7910000000002</v>
      </c>
      <c r="G75" s="18">
        <v>3937.6280000000002</v>
      </c>
      <c r="H75" s="18">
        <v>3933.0520000000001</v>
      </c>
      <c r="I75" s="18">
        <v>3939.221</v>
      </c>
      <c r="J75" s="18">
        <v>3953.1909999999998</v>
      </c>
      <c r="K75" s="18">
        <v>3972.0149999999999</v>
      </c>
      <c r="L75" s="18">
        <v>4005.3829999999998</v>
      </c>
      <c r="M75" s="18">
        <v>4056.6680000000001</v>
      </c>
      <c r="N75" s="18">
        <v>4118.71</v>
      </c>
      <c r="O75" s="18">
        <v>4183.3890000000001</v>
      </c>
      <c r="P75" s="18">
        <v>4255.2219999999998</v>
      </c>
      <c r="Q75" s="18">
        <v>4306.59</v>
      </c>
      <c r="R75" s="18">
        <v>4323.8429999999998</v>
      </c>
      <c r="S75" s="18">
        <v>4320.0959999999995</v>
      </c>
      <c r="T75" s="18">
        <v>4321.9279999999999</v>
      </c>
      <c r="U75" s="18">
        <v>4323.7939999999999</v>
      </c>
      <c r="V75" s="18">
        <v>4335.7579999999998</v>
      </c>
      <c r="W75" s="18">
        <v>4365.4369999999999</v>
      </c>
      <c r="X75" s="18">
        <v>4407.4319999999998</v>
      </c>
      <c r="Y75" s="18">
        <v>4444.2439999999997</v>
      </c>
      <c r="Z75" s="18">
        <v>4473.9949999999999</v>
      </c>
      <c r="AA75" s="18">
        <v>4520.5320000000002</v>
      </c>
      <c r="AB75" s="18">
        <v>4592.2370000000001</v>
      </c>
      <c r="AC75" s="18">
        <v>4676.0519999999997</v>
      </c>
      <c r="AD75" s="18">
        <v>4753.2790000000005</v>
      </c>
      <c r="AE75" s="18">
        <v>4830.9440000000004</v>
      </c>
      <c r="AF75" s="18">
        <v>4872.7460000000001</v>
      </c>
      <c r="AG75" s="18">
        <v>4859.76</v>
      </c>
      <c r="AH75" s="18">
        <v>4809.1679999999997</v>
      </c>
      <c r="AI75" s="18">
        <v>4758.277</v>
      </c>
      <c r="AJ75" s="18">
        <v>4701.0649999999996</v>
      </c>
      <c r="AK75" s="18">
        <v>4640.7539999999999</v>
      </c>
      <c r="AL75" s="18">
        <v>4583.1639999999998</v>
      </c>
      <c r="AM75" s="18">
        <v>4526.4120000000003</v>
      </c>
      <c r="AN75" s="18">
        <v>4464.2910000000002</v>
      </c>
      <c r="AO75" s="18">
        <v>4399.835</v>
      </c>
      <c r="AP75" s="18">
        <v>4334.3040000000001</v>
      </c>
      <c r="AQ75" s="18">
        <v>4268.3059999999996</v>
      </c>
      <c r="AR75" s="18">
        <v>4203.9260000000004</v>
      </c>
      <c r="AS75" s="18">
        <v>4142.1059999999998</v>
      </c>
      <c r="AT75" s="18">
        <v>4082.0059999999999</v>
      </c>
      <c r="AU75" s="18">
        <v>4035.0039999999999</v>
      </c>
      <c r="AV75" s="18">
        <v>4006.6669999999999</v>
      </c>
      <c r="AW75" s="18">
        <v>3992.3820000000001</v>
      </c>
      <c r="AX75" s="18">
        <v>3981.4369999999999</v>
      </c>
      <c r="AY75" s="18">
        <v>3975.3339999999998</v>
      </c>
      <c r="AZ75" s="18">
        <v>3975.5340000000001</v>
      </c>
      <c r="BA75" s="18">
        <v>3981.4830000000002</v>
      </c>
      <c r="BB75" s="18">
        <v>3992.66</v>
      </c>
      <c r="BC75" s="18">
        <v>4005.5369999999998</v>
      </c>
      <c r="BD75" s="18">
        <v>4016.5439999999999</v>
      </c>
      <c r="BE75" s="18">
        <v>4040.2820000000002</v>
      </c>
      <c r="BF75" s="18">
        <v>4082.2739999999999</v>
      </c>
      <c r="BG75" s="18">
        <v>4132.8999999999996</v>
      </c>
      <c r="BH75" s="18">
        <v>4176.8270000000002</v>
      </c>
      <c r="BI75" s="18">
        <v>4216.8919999999998</v>
      </c>
      <c r="BJ75" s="18">
        <v>4235.7079999999996</v>
      </c>
      <c r="BK75" s="18">
        <v>4222.9750000000004</v>
      </c>
      <c r="BL75" s="18">
        <v>4185.241</v>
      </c>
      <c r="BM75" s="18">
        <v>4141.4790000000003</v>
      </c>
      <c r="BN75" s="18">
        <v>4090.444</v>
      </c>
      <c r="BO75" s="18">
        <v>4016.991</v>
      </c>
      <c r="BP75" s="18">
        <v>3916.2930000000001</v>
      </c>
      <c r="BQ75" s="18">
        <v>3795.1089999999999</v>
      </c>
      <c r="BR75" s="18">
        <v>3664.384</v>
      </c>
      <c r="BS75" s="18">
        <v>3521.1640000000002</v>
      </c>
      <c r="BT75" s="18">
        <v>3379.067</v>
      </c>
      <c r="BU75" s="18">
        <v>3245.7429999999999</v>
      </c>
      <c r="BV75" s="18">
        <v>3115.03</v>
      </c>
      <c r="BW75" s="18">
        <v>2976.962</v>
      </c>
      <c r="BX75" s="18">
        <v>2838.1480000000001</v>
      </c>
      <c r="BY75" s="18">
        <v>2678.2919999999999</v>
      </c>
      <c r="BZ75" s="18">
        <v>2487.7840000000001</v>
      </c>
      <c r="CA75" s="18">
        <v>2279.4430000000002</v>
      </c>
      <c r="CB75" s="18">
        <v>2074.9090000000001</v>
      </c>
      <c r="CC75" s="18">
        <v>1868.9179999999999</v>
      </c>
      <c r="CD75" s="18">
        <v>1683.963</v>
      </c>
      <c r="CE75" s="18">
        <v>1533.144</v>
      </c>
      <c r="CF75" s="18">
        <v>1406.4269999999999</v>
      </c>
      <c r="CG75" s="18">
        <v>1280.6500000000001</v>
      </c>
      <c r="CH75" s="18">
        <v>1160.4079999999999</v>
      </c>
      <c r="CI75" s="18">
        <v>1045.809</v>
      </c>
      <c r="CJ75" s="18">
        <v>934.58199999999999</v>
      </c>
      <c r="CK75" s="18">
        <v>828.18700000000001</v>
      </c>
      <c r="CL75" s="18">
        <v>725.52099999999996</v>
      </c>
      <c r="CM75" s="18">
        <v>639.625</v>
      </c>
      <c r="CN75" s="18">
        <v>565.47900000000004</v>
      </c>
      <c r="CO75" s="18">
        <v>486.71899999999999</v>
      </c>
      <c r="CP75" s="18">
        <v>402.88799999999998</v>
      </c>
      <c r="CQ75" s="18">
        <v>339.25299999999999</v>
      </c>
      <c r="CR75" s="18">
        <v>305.20800000000003</v>
      </c>
      <c r="CS75" s="18">
        <v>263.88200000000001</v>
      </c>
      <c r="CT75" s="18">
        <v>209.27099999999999</v>
      </c>
      <c r="CU75" s="18">
        <v>141.37200000000001</v>
      </c>
      <c r="CV75" s="18">
        <v>109.986</v>
      </c>
      <c r="CW75" s="18">
        <v>65.325000000000003</v>
      </c>
      <c r="CX75" s="18">
        <v>118.95</v>
      </c>
      <c r="CY75" s="3">
        <f t="shared" si="87"/>
        <v>336679.23099999997</v>
      </c>
      <c r="CZ75" s="21">
        <f t="shared" si="88"/>
        <v>263284.24200000003</v>
      </c>
      <c r="DA75">
        <f t="shared" si="89"/>
        <v>1.6415445023101684E-2</v>
      </c>
      <c r="DB75">
        <f t="shared" si="90"/>
        <v>1.6422532420303376E-2</v>
      </c>
      <c r="DC75">
        <f t="shared" si="91"/>
        <v>1.6467973803004889E-2</v>
      </c>
      <c r="DD75">
        <f t="shared" si="92"/>
        <v>1.6580699881005408E-2</v>
      </c>
      <c r="DE75">
        <f t="shared" si="93"/>
        <v>1.6740204299807656E-2</v>
      </c>
      <c r="DF75">
        <f t="shared" si="94"/>
        <v>1.6880022770219567E-2</v>
      </c>
      <c r="DG75">
        <f t="shared" si="95"/>
        <v>1.6993022316922405E-2</v>
      </c>
      <c r="DH75">
        <f t="shared" si="96"/>
        <v>1.7169778053029088E-2</v>
      </c>
      <c r="DI75">
        <f t="shared" si="97"/>
        <v>1.744212629330091E-2</v>
      </c>
      <c r="DJ75">
        <f t="shared" si="98"/>
        <v>1.7760470450031717E-2</v>
      </c>
      <c r="DK75">
        <f t="shared" si="99"/>
        <v>1.805379222050061E-2</v>
      </c>
      <c r="DL75">
        <f t="shared" si="100"/>
        <v>1.8348777592241922E-2</v>
      </c>
      <c r="DM75">
        <f t="shared" si="101"/>
        <v>1.8507548962994905E-2</v>
      </c>
      <c r="DN75">
        <f t="shared" si="102"/>
        <v>1.8458225843991073E-2</v>
      </c>
      <c r="DO75">
        <f t="shared" si="103"/>
        <v>1.8266068502497006E-2</v>
      </c>
      <c r="DP75">
        <f t="shared" si="104"/>
        <v>1.8072775506253046E-2</v>
      </c>
      <c r="DQ75">
        <f t="shared" si="105"/>
        <v>1.785547423685159E-2</v>
      </c>
      <c r="DR75">
        <f t="shared" si="106"/>
        <v>1.7626402418721283E-2</v>
      </c>
      <c r="DS75">
        <f t="shared" si="107"/>
        <v>1.7407665438632668E-2</v>
      </c>
      <c r="DT75">
        <f t="shared" si="108"/>
        <v>1.7192111330384899E-2</v>
      </c>
      <c r="DU75">
        <f t="shared" si="109"/>
        <v>1.6956164812932481E-2</v>
      </c>
      <c r="DV75">
        <f t="shared" si="110"/>
        <v>1.6711349553536894E-2</v>
      </c>
      <c r="DW75">
        <f t="shared" si="111"/>
        <v>1.6462451254488673E-2</v>
      </c>
      <c r="DX75">
        <f t="shared" si="112"/>
        <v>1.6211779207051819E-2</v>
      </c>
      <c r="DY75">
        <f t="shared" si="113"/>
        <v>1.5967252609064238E-2</v>
      </c>
      <c r="DZ75">
        <f t="shared" si="114"/>
        <v>1.5732449342714554E-2</v>
      </c>
      <c r="EA75">
        <f t="shared" si="115"/>
        <v>1.5504178939809089E-2</v>
      </c>
      <c r="EB75">
        <f t="shared" si="116"/>
        <v>1.5325657051666615E-2</v>
      </c>
      <c r="EC75">
        <f t="shared" si="117"/>
        <v>1.5218028126423151E-2</v>
      </c>
      <c r="ED75">
        <f t="shared" si="118"/>
        <v>1.5163771176248366E-2</v>
      </c>
      <c r="EE75">
        <f t="shared" si="119"/>
        <v>1.5122200135319909E-2</v>
      </c>
      <c r="EF75">
        <f t="shared" si="120"/>
        <v>1.5099019864622204E-2</v>
      </c>
      <c r="EG75">
        <f t="shared" si="121"/>
        <v>1.5099779499906416E-2</v>
      </c>
      <c r="EH75">
        <f t="shared" si="122"/>
        <v>1.5122374851435277E-2</v>
      </c>
      <c r="EI75">
        <f t="shared" si="123"/>
        <v>1.5164827069293419E-2</v>
      </c>
      <c r="EJ75">
        <f t="shared" si="124"/>
        <v>1.5213736187067357E-2</v>
      </c>
      <c r="EK75">
        <f t="shared" si="125"/>
        <v>1.5255542714933921E-2</v>
      </c>
      <c r="EL75">
        <f t="shared" si="126"/>
        <v>1.5345703826816949E-2</v>
      </c>
      <c r="EM75">
        <f t="shared" si="127"/>
        <v>1.5505196851089932E-2</v>
      </c>
      <c r="EN75">
        <f t="shared" si="128"/>
        <v>1.569748333058231E-2</v>
      </c>
      <c r="EO75">
        <f t="shared" si="129"/>
        <v>1.5864325826230041E-2</v>
      </c>
      <c r="EP75">
        <f t="shared" si="130"/>
        <v>1.6016499764539647E-2</v>
      </c>
      <c r="EQ75">
        <f t="shared" si="131"/>
        <v>1.6087966252078235E-2</v>
      </c>
      <c r="ER75">
        <f t="shared" si="132"/>
        <v>1.6039604071708933E-2</v>
      </c>
      <c r="ES75">
        <f t="shared" si="133"/>
        <v>1.5896283682636805E-2</v>
      </c>
      <c r="ET75">
        <f t="shared" si="134"/>
        <v>1.5730067886098553E-2</v>
      </c>
      <c r="EU75">
        <f t="shared" si="135"/>
        <v>1.5536227952449959E-2</v>
      </c>
      <c r="EV75">
        <f t="shared" si="136"/>
        <v>1.5257240499794133E-2</v>
      </c>
      <c r="EW75">
        <f t="shared" si="137"/>
        <v>1.4874771730546637E-2</v>
      </c>
      <c r="EX75">
        <f t="shared" si="138"/>
        <v>1.4414493519137388E-2</v>
      </c>
      <c r="EY75">
        <f t="shared" si="139"/>
        <v>1.3917976906494843E-2</v>
      </c>
      <c r="EZ75">
        <f t="shared" si="140"/>
        <v>1.3374002079471205E-2</v>
      </c>
      <c r="FA75">
        <f t="shared" si="141"/>
        <v>1.283429260456841E-2</v>
      </c>
      <c r="FB75">
        <f t="shared" si="142"/>
        <v>1.232790453140754E-2</v>
      </c>
      <c r="FC75">
        <f t="shared" si="143"/>
        <v>1.183143349688205E-2</v>
      </c>
      <c r="FD75">
        <f t="shared" si="144"/>
        <v>1.1307026874779691E-2</v>
      </c>
      <c r="FE75">
        <f t="shared" si="145"/>
        <v>1.0779786813067224E-2</v>
      </c>
      <c r="FF75">
        <f t="shared" si="146"/>
        <v>1.0172625523102897E-2</v>
      </c>
      <c r="FG75">
        <f t="shared" si="147"/>
        <v>9.4490425294803618E-3</v>
      </c>
      <c r="FH75">
        <f t="shared" si="148"/>
        <v>8.657726655741136E-3</v>
      </c>
      <c r="FI75">
        <f t="shared" si="149"/>
        <v>7.8808704396368685E-3</v>
      </c>
      <c r="FJ75">
        <f t="shared" si="150"/>
        <v>7.0984802804871239E-3</v>
      </c>
      <c r="FK75">
        <f t="shared" si="151"/>
        <v>6.395988560530713E-3</v>
      </c>
      <c r="FL75">
        <f t="shared" si="152"/>
        <v>5.8231513908834692E-3</v>
      </c>
      <c r="FM75">
        <f t="shared" si="153"/>
        <v>5.3418578693365162E-3</v>
      </c>
      <c r="FN75">
        <f t="shared" si="154"/>
        <v>4.8641346336253579E-3</v>
      </c>
      <c r="FO75">
        <f t="shared" si="155"/>
        <v>4.4074343044047419E-3</v>
      </c>
      <c r="FP75">
        <f t="shared" si="156"/>
        <v>3.9721670847281468E-3</v>
      </c>
      <c r="FQ75">
        <f t="shared" si="157"/>
        <v>3.5497073159433518E-3</v>
      </c>
      <c r="FR75">
        <f t="shared" si="158"/>
        <v>3.1456003356250995E-3</v>
      </c>
      <c r="FS75">
        <f t="shared" si="159"/>
        <v>2.7556567551809646E-3</v>
      </c>
      <c r="FT75">
        <f t="shared" si="160"/>
        <v>2.4294085933179396E-3</v>
      </c>
      <c r="FU75">
        <f t="shared" si="161"/>
        <v>2.147789004402322E-3</v>
      </c>
      <c r="FV75">
        <f t="shared" si="162"/>
        <v>1.8486446294799517E-3</v>
      </c>
      <c r="FW75">
        <f t="shared" si="163"/>
        <v>1.5302397019264068E-3</v>
      </c>
      <c r="FX75">
        <f t="shared" si="164"/>
        <v>1.2885427453725087E-3</v>
      </c>
      <c r="FY75">
        <f t="shared" si="165"/>
        <v>1.1592338291176575E-3</v>
      </c>
      <c r="FZ75">
        <f t="shared" si="166"/>
        <v>1.0022703903410975E-3</v>
      </c>
      <c r="GA75">
        <f t="shared" si="167"/>
        <v>7.9484817781080863E-4</v>
      </c>
      <c r="GB75">
        <f t="shared" si="168"/>
        <v>5.3695579699752785E-4</v>
      </c>
      <c r="GC75">
        <f t="shared" si="169"/>
        <v>4.1774623184626444E-4</v>
      </c>
      <c r="GD75">
        <f t="shared" si="170"/>
        <v>2.4811587470548272E-4</v>
      </c>
      <c r="GE75">
        <f t="shared" si="171"/>
        <v>4.5179308528461035E-4</v>
      </c>
    </row>
    <row r="76" spans="1:187">
      <c r="A76" s="15">
        <v>2024</v>
      </c>
      <c r="B76" s="18">
        <v>4137.5600000000004</v>
      </c>
      <c r="C76" s="18">
        <v>4077.7280000000001</v>
      </c>
      <c r="D76" s="18">
        <v>4029.4090000000001</v>
      </c>
      <c r="E76" s="18">
        <v>3992.0590000000002</v>
      </c>
      <c r="F76" s="18">
        <v>3978.308</v>
      </c>
      <c r="G76" s="18">
        <v>3955.8560000000002</v>
      </c>
      <c r="H76" s="18">
        <v>3943.154</v>
      </c>
      <c r="I76" s="18">
        <v>3939.915</v>
      </c>
      <c r="J76" s="18">
        <v>3945.86</v>
      </c>
      <c r="K76" s="18">
        <v>3957.8919999999998</v>
      </c>
      <c r="L76" s="18">
        <v>3972.922</v>
      </c>
      <c r="M76" s="18">
        <v>4004.7040000000002</v>
      </c>
      <c r="N76" s="18">
        <v>4058.569</v>
      </c>
      <c r="O76" s="18">
        <v>4125.8100000000004</v>
      </c>
      <c r="P76" s="18">
        <v>4194.665</v>
      </c>
      <c r="Q76" s="18">
        <v>4270.2169999999996</v>
      </c>
      <c r="R76" s="18">
        <v>4325.3440000000001</v>
      </c>
      <c r="S76" s="18">
        <v>4346.2219999999998</v>
      </c>
      <c r="T76" s="18">
        <v>4345.8580000000002</v>
      </c>
      <c r="U76" s="18">
        <v>4350.9939999999997</v>
      </c>
      <c r="V76" s="18">
        <v>4356.1639999999998</v>
      </c>
      <c r="W76" s="18">
        <v>4370.1440000000002</v>
      </c>
      <c r="X76" s="18">
        <v>4399.9579999999996</v>
      </c>
      <c r="Y76" s="18">
        <v>4440.76</v>
      </c>
      <c r="Z76" s="18">
        <v>4476.2650000000003</v>
      </c>
      <c r="AA76" s="18">
        <v>4504.43</v>
      </c>
      <c r="AB76" s="18">
        <v>4549.1239999999998</v>
      </c>
      <c r="AC76" s="18">
        <v>4618.8900000000003</v>
      </c>
      <c r="AD76" s="18">
        <v>4700.6710000000003</v>
      </c>
      <c r="AE76" s="18">
        <v>4775.6149999999998</v>
      </c>
      <c r="AF76" s="18">
        <v>4850.7820000000002</v>
      </c>
      <c r="AG76" s="18">
        <v>4890.28</v>
      </c>
      <c r="AH76" s="18">
        <v>4875.3710000000001</v>
      </c>
      <c r="AI76" s="18">
        <v>4823.1170000000002</v>
      </c>
      <c r="AJ76" s="18">
        <v>4770.5029999999997</v>
      </c>
      <c r="AK76" s="18">
        <v>4711.5550000000003</v>
      </c>
      <c r="AL76" s="18">
        <v>4649.6319999999996</v>
      </c>
      <c r="AM76" s="18">
        <v>4590.5829999999996</v>
      </c>
      <c r="AN76" s="18">
        <v>4532.4870000000001</v>
      </c>
      <c r="AO76" s="18">
        <v>4469.049</v>
      </c>
      <c r="AP76" s="18">
        <v>4403.3040000000001</v>
      </c>
      <c r="AQ76" s="18">
        <v>4336.5410000000002</v>
      </c>
      <c r="AR76" s="18">
        <v>4269.3689999999997</v>
      </c>
      <c r="AS76" s="18">
        <v>4203.8450000000003</v>
      </c>
      <c r="AT76" s="18">
        <v>4140.8670000000002</v>
      </c>
      <c r="AU76" s="18">
        <v>4079.5940000000001</v>
      </c>
      <c r="AV76" s="18">
        <v>4031.3670000000002</v>
      </c>
      <c r="AW76" s="18">
        <v>4001.7240000000002</v>
      </c>
      <c r="AX76" s="18">
        <v>3986.0509999999999</v>
      </c>
      <c r="AY76" s="18">
        <v>3973.6570000000002</v>
      </c>
      <c r="AZ76" s="18">
        <v>3966.0329999999999</v>
      </c>
      <c r="BA76" s="18">
        <v>3964.5889999999999</v>
      </c>
      <c r="BB76" s="18">
        <v>3968.7460000000001</v>
      </c>
      <c r="BC76" s="18">
        <v>3977.991</v>
      </c>
      <c r="BD76" s="18">
        <v>3988.86</v>
      </c>
      <c r="BE76" s="18">
        <v>3997.8049999999998</v>
      </c>
      <c r="BF76" s="18">
        <v>4019.2469999999998</v>
      </c>
      <c r="BG76" s="18">
        <v>4058.636</v>
      </c>
      <c r="BH76" s="18">
        <v>4106.4489999999996</v>
      </c>
      <c r="BI76" s="18">
        <v>4147.5320000000002</v>
      </c>
      <c r="BJ76" s="18">
        <v>4184.6959999999999</v>
      </c>
      <c r="BK76" s="18">
        <v>4200.6440000000002</v>
      </c>
      <c r="BL76" s="18">
        <v>4185.1390000000001</v>
      </c>
      <c r="BM76" s="18">
        <v>4144.7030000000004</v>
      </c>
      <c r="BN76" s="18">
        <v>4098.1980000000003</v>
      </c>
      <c r="BO76" s="18">
        <v>4044.38</v>
      </c>
      <c r="BP76" s="18">
        <v>3968.277</v>
      </c>
      <c r="BQ76" s="18">
        <v>3865.136</v>
      </c>
      <c r="BR76" s="18">
        <v>3741.6350000000002</v>
      </c>
      <c r="BS76" s="18">
        <v>3608.652</v>
      </c>
      <c r="BT76" s="18">
        <v>3463.34</v>
      </c>
      <c r="BU76" s="18">
        <v>3318.8330000000001</v>
      </c>
      <c r="BV76" s="18">
        <v>3182.56</v>
      </c>
      <c r="BW76" s="18">
        <v>3048.636</v>
      </c>
      <c r="BX76" s="18">
        <v>2907.5340000000001</v>
      </c>
      <c r="BY76" s="18">
        <v>2765.694</v>
      </c>
      <c r="BZ76" s="18">
        <v>2603.529</v>
      </c>
      <c r="CA76" s="18">
        <v>2411.8020000000001</v>
      </c>
      <c r="CB76" s="18">
        <v>2202.971</v>
      </c>
      <c r="CC76" s="18">
        <v>1998.039</v>
      </c>
      <c r="CD76" s="18">
        <v>1791.9690000000001</v>
      </c>
      <c r="CE76" s="18">
        <v>1606.5889999999999</v>
      </c>
      <c r="CF76" s="18">
        <v>1454.636</v>
      </c>
      <c r="CG76" s="18">
        <v>1326.46</v>
      </c>
      <c r="CH76" s="18">
        <v>1199.646</v>
      </c>
      <c r="CI76" s="18">
        <v>1078.6410000000001</v>
      </c>
      <c r="CJ76" s="18">
        <v>963.89499999999998</v>
      </c>
      <c r="CK76" s="18">
        <v>853.37900000000002</v>
      </c>
      <c r="CL76" s="18">
        <v>748.39599999999996</v>
      </c>
      <c r="CM76" s="18">
        <v>645.96600000000001</v>
      </c>
      <c r="CN76" s="18">
        <v>563.93700000000001</v>
      </c>
      <c r="CO76" s="18">
        <v>495.351</v>
      </c>
      <c r="CP76" s="18">
        <v>418.16399999999999</v>
      </c>
      <c r="CQ76" s="18">
        <v>332.14699999999999</v>
      </c>
      <c r="CR76" s="18">
        <v>273.07299999999998</v>
      </c>
      <c r="CS76" s="18">
        <v>244.57400000000001</v>
      </c>
      <c r="CT76" s="18">
        <v>208.68100000000001</v>
      </c>
      <c r="CU76" s="18">
        <v>162.393</v>
      </c>
      <c r="CV76" s="18">
        <v>105.708</v>
      </c>
      <c r="CW76" s="18">
        <v>67.911000000000001</v>
      </c>
      <c r="CX76" s="18">
        <v>126.015</v>
      </c>
      <c r="CY76" s="3">
        <f t="shared" si="87"/>
        <v>338542.56200000003</v>
      </c>
      <c r="CZ76" s="21">
        <f t="shared" si="88"/>
        <v>265286.36800000002</v>
      </c>
      <c r="DA76">
        <f t="shared" si="89"/>
        <v>1.6381761463144611E-2</v>
      </c>
      <c r="DB76">
        <f t="shared" si="90"/>
        <v>1.6401121673918804E-2</v>
      </c>
      <c r="DC76">
        <f t="shared" si="91"/>
        <v>1.6420610048082075E-2</v>
      </c>
      <c r="DD76">
        <f t="shared" si="92"/>
        <v>1.6473307818063235E-2</v>
      </c>
      <c r="DE76">
        <f t="shared" si="93"/>
        <v>1.6585692032241927E-2</v>
      </c>
      <c r="DF76">
        <f t="shared" si="94"/>
        <v>1.6739495638162606E-2</v>
      </c>
      <c r="DG76">
        <f t="shared" si="95"/>
        <v>1.6873332141966676E-2</v>
      </c>
      <c r="DH76">
        <f t="shared" si="96"/>
        <v>1.6979500431774919E-2</v>
      </c>
      <c r="DI76">
        <f t="shared" si="97"/>
        <v>1.7147974976233982E-2</v>
      </c>
      <c r="DJ76">
        <f t="shared" si="98"/>
        <v>1.741095871160632E-2</v>
      </c>
      <c r="DK76">
        <f t="shared" si="99"/>
        <v>1.771923312697319E-2</v>
      </c>
      <c r="DL76">
        <f t="shared" si="100"/>
        <v>1.8001735392600346E-2</v>
      </c>
      <c r="DM76">
        <f t="shared" si="101"/>
        <v>1.8285078259279421E-2</v>
      </c>
      <c r="DN76">
        <f t="shared" si="102"/>
        <v>1.8433966422277678E-2</v>
      </c>
      <c r="DO76">
        <f t="shared" si="103"/>
        <v>1.8377766776165445E-2</v>
      </c>
      <c r="DP76">
        <f t="shared" si="104"/>
        <v>1.8180794725192965E-2</v>
      </c>
      <c r="DQ76">
        <f t="shared" si="105"/>
        <v>1.7982465650100799E-2</v>
      </c>
      <c r="DR76">
        <f t="shared" si="106"/>
        <v>1.7760260489525042E-2</v>
      </c>
      <c r="DS76">
        <f t="shared" si="107"/>
        <v>1.7526841032404646E-2</v>
      </c>
      <c r="DT76">
        <f t="shared" si="108"/>
        <v>1.7304255151173089E-2</v>
      </c>
      <c r="DU76">
        <f t="shared" si="109"/>
        <v>1.7085261614347255E-2</v>
      </c>
      <c r="DV76">
        <f t="shared" si="110"/>
        <v>1.684613134738985E-2</v>
      </c>
      <c r="DW76">
        <f t="shared" si="111"/>
        <v>1.6598304817532123E-2</v>
      </c>
      <c r="DX76">
        <f t="shared" si="112"/>
        <v>1.6346640925024841E-2</v>
      </c>
      <c r="DY76">
        <f t="shared" si="113"/>
        <v>1.6093435302337131E-2</v>
      </c>
      <c r="DZ76">
        <f t="shared" si="114"/>
        <v>1.5846441834508437E-2</v>
      </c>
      <c r="EA76">
        <f t="shared" si="115"/>
        <v>1.5609045542815076E-2</v>
      </c>
      <c r="EB76">
        <f t="shared" si="116"/>
        <v>1.5378076268133008E-2</v>
      </c>
      <c r="EC76">
        <f t="shared" si="117"/>
        <v>1.5196284039743798E-2</v>
      </c>
      <c r="ED76">
        <f t="shared" si="118"/>
        <v>1.5084544412021955E-2</v>
      </c>
      <c r="EE76">
        <f t="shared" si="119"/>
        <v>1.502546485916683E-2</v>
      </c>
      <c r="EF76">
        <f t="shared" si="120"/>
        <v>1.4978745534335182E-2</v>
      </c>
      <c r="EG76">
        <f t="shared" si="121"/>
        <v>1.4950006779089378E-2</v>
      </c>
      <c r="EH76">
        <f t="shared" si="122"/>
        <v>1.4944563604564859E-2</v>
      </c>
      <c r="EI76">
        <f t="shared" si="123"/>
        <v>1.4960233463635795E-2</v>
      </c>
      <c r="EJ76">
        <f t="shared" si="124"/>
        <v>1.4995082596931629E-2</v>
      </c>
      <c r="EK76">
        <f t="shared" si="125"/>
        <v>1.5036053416811827E-2</v>
      </c>
      <c r="EL76">
        <f t="shared" si="126"/>
        <v>1.506977169667459E-2</v>
      </c>
      <c r="EM76">
        <f t="shared" si="127"/>
        <v>1.5150597561047689E-2</v>
      </c>
      <c r="EN76">
        <f t="shared" si="128"/>
        <v>1.5299074847298599E-2</v>
      </c>
      <c r="EO76">
        <f t="shared" si="129"/>
        <v>1.5479306497950167E-2</v>
      </c>
      <c r="EP76">
        <f t="shared" si="130"/>
        <v>1.5634169336586491E-2</v>
      </c>
      <c r="EQ76">
        <f t="shared" si="131"/>
        <v>1.5774259459875449E-2</v>
      </c>
      <c r="ER76">
        <f t="shared" si="132"/>
        <v>1.5834375628377556E-2</v>
      </c>
      <c r="ES76">
        <f t="shared" si="133"/>
        <v>1.5775929353444951E-2</v>
      </c>
      <c r="ET76">
        <f t="shared" si="134"/>
        <v>1.5623505388712624E-2</v>
      </c>
      <c r="EU76">
        <f t="shared" si="135"/>
        <v>1.5448204259029246E-2</v>
      </c>
      <c r="EV76">
        <f t="shared" si="136"/>
        <v>1.5245336692159018E-2</v>
      </c>
      <c r="EW76">
        <f t="shared" si="137"/>
        <v>1.4958465562768758E-2</v>
      </c>
      <c r="EX76">
        <f t="shared" si="138"/>
        <v>1.4569674382967163E-2</v>
      </c>
      <c r="EY76">
        <f t="shared" si="139"/>
        <v>1.4104135950174417E-2</v>
      </c>
      <c r="EZ76">
        <f t="shared" si="140"/>
        <v>1.3602855009873707E-2</v>
      </c>
      <c r="FA76">
        <f t="shared" si="141"/>
        <v>1.3055099762985183E-2</v>
      </c>
      <c r="FB76">
        <f t="shared" si="142"/>
        <v>1.2510378972808734E-2</v>
      </c>
      <c r="FC76">
        <f t="shared" si="143"/>
        <v>1.1996696339858668E-2</v>
      </c>
      <c r="FD76">
        <f t="shared" si="144"/>
        <v>1.1491868289289556E-2</v>
      </c>
      <c r="FE76">
        <f t="shared" si="145"/>
        <v>1.0959982685578476E-2</v>
      </c>
      <c r="FF76">
        <f t="shared" si="146"/>
        <v>1.0425315182422037E-2</v>
      </c>
      <c r="FG76">
        <f t="shared" si="147"/>
        <v>9.8140323591749713E-3</v>
      </c>
      <c r="FH76">
        <f t="shared" si="148"/>
        <v>9.0913152386329927E-3</v>
      </c>
      <c r="FI76">
        <f t="shared" si="149"/>
        <v>8.3041243943601344E-3</v>
      </c>
      <c r="FJ76">
        <f t="shared" si="150"/>
        <v>7.5316308752057699E-3</v>
      </c>
      <c r="FK76">
        <f t="shared" si="151"/>
        <v>6.7548476520286182E-3</v>
      </c>
      <c r="FL76">
        <f t="shared" si="152"/>
        <v>6.0560556206189975E-3</v>
      </c>
      <c r="FM76">
        <f t="shared" si="153"/>
        <v>5.4832670482337026E-3</v>
      </c>
      <c r="FN76">
        <f t="shared" si="154"/>
        <v>5.0001061494422509E-3</v>
      </c>
      <c r="FO76">
        <f t="shared" si="155"/>
        <v>4.522079325236945E-3</v>
      </c>
      <c r="FP76">
        <f t="shared" si="156"/>
        <v>4.0659495930073569E-3</v>
      </c>
      <c r="FQ76">
        <f t="shared" si="157"/>
        <v>3.6334132329030942E-3</v>
      </c>
      <c r="FR76">
        <f t="shared" si="158"/>
        <v>3.2168219062051464E-3</v>
      </c>
      <c r="FS76">
        <f t="shared" si="159"/>
        <v>2.8210872863244896E-3</v>
      </c>
      <c r="FT76">
        <f t="shared" si="160"/>
        <v>2.4349762291592759E-3</v>
      </c>
      <c r="FU76">
        <f t="shared" si="161"/>
        <v>2.1257669749544009E-3</v>
      </c>
      <c r="FV76">
        <f t="shared" si="162"/>
        <v>1.8672312630854818E-3</v>
      </c>
      <c r="FW76">
        <f t="shared" si="163"/>
        <v>1.576273983290389E-3</v>
      </c>
      <c r="FX76">
        <f t="shared" si="164"/>
        <v>1.2520319174485436E-3</v>
      </c>
      <c r="FY76">
        <f t="shared" si="165"/>
        <v>1.0293517984308941E-3</v>
      </c>
      <c r="FZ76">
        <f t="shared" si="166"/>
        <v>9.219244918004984E-4</v>
      </c>
      <c r="GA76">
        <f t="shared" si="167"/>
        <v>7.8662541755632166E-4</v>
      </c>
      <c r="GB76">
        <f t="shared" si="168"/>
        <v>6.1214227185620029E-4</v>
      </c>
      <c r="GC76">
        <f t="shared" si="169"/>
        <v>3.9846751567724727E-4</v>
      </c>
      <c r="GD76">
        <f t="shared" si="170"/>
        <v>2.5599129164450695E-4</v>
      </c>
      <c r="GE76">
        <f t="shared" si="171"/>
        <v>4.7501498456189046E-4</v>
      </c>
    </row>
    <row r="77" spans="1:187">
      <c r="A77" s="15">
        <v>2025</v>
      </c>
      <c r="B77" s="18">
        <v>4151.5510000000004</v>
      </c>
      <c r="C77" s="18">
        <v>4103.9539999999997</v>
      </c>
      <c r="D77" s="18">
        <v>4062.07</v>
      </c>
      <c r="E77" s="18">
        <v>4026.1709999999998</v>
      </c>
      <c r="F77" s="18">
        <v>3996.529</v>
      </c>
      <c r="G77" s="18">
        <v>3973.415</v>
      </c>
      <c r="H77" s="18">
        <v>3957.1019999999999</v>
      </c>
      <c r="I77" s="18">
        <v>3947.86</v>
      </c>
      <c r="J77" s="18">
        <v>3945.96</v>
      </c>
      <c r="K77" s="18">
        <v>3951.6759999999999</v>
      </c>
      <c r="L77" s="18">
        <v>3961.77</v>
      </c>
      <c r="M77" s="18">
        <v>3973.0059999999999</v>
      </c>
      <c r="N77" s="18">
        <v>4003.1959999999999</v>
      </c>
      <c r="O77" s="18">
        <v>4059.6289999999999</v>
      </c>
      <c r="P77" s="18">
        <v>4132.0519999999997</v>
      </c>
      <c r="Q77" s="18">
        <v>4205.0659999999998</v>
      </c>
      <c r="R77" s="18">
        <v>4284.32</v>
      </c>
      <c r="S77" s="18">
        <v>4343.1930000000002</v>
      </c>
      <c r="T77" s="18">
        <v>4367.6880000000001</v>
      </c>
      <c r="U77" s="18">
        <v>4370.7070000000003</v>
      </c>
      <c r="V77" s="18">
        <v>4379.143</v>
      </c>
      <c r="W77" s="18">
        <v>4387.6139999999996</v>
      </c>
      <c r="X77" s="18">
        <v>4403.607</v>
      </c>
      <c r="Y77" s="18">
        <v>4433.5479999999998</v>
      </c>
      <c r="Z77" s="18">
        <v>4473.1499999999996</v>
      </c>
      <c r="AA77" s="18">
        <v>4507.3419999999996</v>
      </c>
      <c r="AB77" s="18">
        <v>4533.9139999999998</v>
      </c>
      <c r="AC77" s="18">
        <v>4576.7579999999998</v>
      </c>
      <c r="AD77" s="18">
        <v>4644.5709999999999</v>
      </c>
      <c r="AE77" s="18">
        <v>4724.3019999999997</v>
      </c>
      <c r="AF77" s="18">
        <v>4796.9489999999996</v>
      </c>
      <c r="AG77" s="18">
        <v>4869.6049999999996</v>
      </c>
      <c r="AH77" s="18">
        <v>4906.7920000000004</v>
      </c>
      <c r="AI77" s="18">
        <v>4889.9639999999999</v>
      </c>
      <c r="AJ77" s="18">
        <v>4836.0590000000002</v>
      </c>
      <c r="AK77" s="18">
        <v>4781.7309999999998</v>
      </c>
      <c r="AL77" s="18">
        <v>4721.0630000000001</v>
      </c>
      <c r="AM77" s="18">
        <v>4657.54</v>
      </c>
      <c r="AN77" s="18">
        <v>4597.0450000000001</v>
      </c>
      <c r="AO77" s="18">
        <v>4537.6170000000002</v>
      </c>
      <c r="AP77" s="18">
        <v>4472.8770000000004</v>
      </c>
      <c r="AQ77" s="18">
        <v>4405.8559999999998</v>
      </c>
      <c r="AR77" s="18">
        <v>4337.875</v>
      </c>
      <c r="AS77" s="18">
        <v>4269.5420000000004</v>
      </c>
      <c r="AT77" s="18">
        <v>4202.8879999999999</v>
      </c>
      <c r="AU77" s="18">
        <v>4138.768</v>
      </c>
      <c r="AV77" s="18">
        <v>4076.3359999999998</v>
      </c>
      <c r="AW77" s="18">
        <v>4026.893</v>
      </c>
      <c r="AX77" s="18">
        <v>3995.95</v>
      </c>
      <c r="AY77" s="18">
        <v>3978.8919999999998</v>
      </c>
      <c r="AZ77" s="18">
        <v>3965.0520000000001</v>
      </c>
      <c r="BA77" s="18">
        <v>3955.9090000000001</v>
      </c>
      <c r="BB77" s="18">
        <v>3952.8220000000001</v>
      </c>
      <c r="BC77" s="18">
        <v>3955.1880000000001</v>
      </c>
      <c r="BD77" s="18">
        <v>3962.502</v>
      </c>
      <c r="BE77" s="18">
        <v>3971.3620000000001</v>
      </c>
      <c r="BF77" s="18">
        <v>3978.2440000000001</v>
      </c>
      <c r="BG77" s="18">
        <v>3997.386</v>
      </c>
      <c r="BH77" s="18">
        <v>4034.1660000000002</v>
      </c>
      <c r="BI77" s="18">
        <v>4079.1579999999999</v>
      </c>
      <c r="BJ77" s="18">
        <v>4117.3869999999997</v>
      </c>
      <c r="BK77" s="18">
        <v>4151.6450000000004</v>
      </c>
      <c r="BL77" s="18">
        <v>4164.7209999999995</v>
      </c>
      <c r="BM77" s="18">
        <v>4146.4489999999996</v>
      </c>
      <c r="BN77" s="18">
        <v>4103.3190000000004</v>
      </c>
      <c r="BO77" s="18">
        <v>4054.0819999999999</v>
      </c>
      <c r="BP77" s="18">
        <v>3997.49</v>
      </c>
      <c r="BQ77" s="18">
        <v>3918.7559999999999</v>
      </c>
      <c r="BR77" s="18">
        <v>3813.194</v>
      </c>
      <c r="BS77" s="18">
        <v>3687.4029999999998</v>
      </c>
      <c r="BT77" s="18">
        <v>3552.1889999999999</v>
      </c>
      <c r="BU77" s="18">
        <v>3404.819</v>
      </c>
      <c r="BV77" s="18">
        <v>3257.931</v>
      </c>
      <c r="BW77" s="18">
        <v>3118.7370000000001</v>
      </c>
      <c r="BX77" s="18">
        <v>2981.634</v>
      </c>
      <c r="BY77" s="18">
        <v>2837.5259999999998</v>
      </c>
      <c r="BZ77" s="18">
        <v>2692.692</v>
      </c>
      <c r="CA77" s="18">
        <v>2528.2530000000002</v>
      </c>
      <c r="CB77" s="18">
        <v>2335.3449999999998</v>
      </c>
      <c r="CC77" s="18">
        <v>2126.0709999999999</v>
      </c>
      <c r="CD77" s="18">
        <v>1920.7819999999999</v>
      </c>
      <c r="CE77" s="18">
        <v>1714.6759999999999</v>
      </c>
      <c r="CF77" s="18">
        <v>1528.91</v>
      </c>
      <c r="CG77" s="18">
        <v>1375.857</v>
      </c>
      <c r="CH77" s="18">
        <v>1246.249</v>
      </c>
      <c r="CI77" s="18">
        <v>1118.424</v>
      </c>
      <c r="CJ77" s="18">
        <v>996.68399999999997</v>
      </c>
      <c r="CK77" s="18">
        <v>881.81399999999996</v>
      </c>
      <c r="CL77" s="18">
        <v>772.03300000000002</v>
      </c>
      <c r="CM77" s="18">
        <v>668.48500000000001</v>
      </c>
      <c r="CN77" s="18">
        <v>566.31200000000001</v>
      </c>
      <c r="CO77" s="18">
        <v>488.16500000000002</v>
      </c>
      <c r="CP77" s="18">
        <v>425.15199999999999</v>
      </c>
      <c r="CQ77" s="18">
        <v>349.55399999999997</v>
      </c>
      <c r="CR77" s="18">
        <v>261.36900000000003</v>
      </c>
      <c r="CS77" s="18">
        <v>206.86600000000001</v>
      </c>
      <c r="CT77" s="18">
        <v>183.917</v>
      </c>
      <c r="CU77" s="18">
        <v>153.46299999999999</v>
      </c>
      <c r="CV77" s="18">
        <v>115.503</v>
      </c>
      <c r="CW77" s="18">
        <v>70.039000000000001</v>
      </c>
      <c r="CX77" s="18">
        <v>132.81200000000001</v>
      </c>
      <c r="CY77" s="3">
        <f t="shared" si="87"/>
        <v>340399.60400000005</v>
      </c>
      <c r="CZ77" s="21">
        <f t="shared" si="88"/>
        <v>267321.08399999986</v>
      </c>
      <c r="DA77">
        <f t="shared" si="89"/>
        <v>1.6338733685518057E-2</v>
      </c>
      <c r="DB77">
        <f t="shared" si="90"/>
        <v>1.6350027220449259E-2</v>
      </c>
      <c r="DC77">
        <f t="shared" si="91"/>
        <v>1.638158477615631E-2</v>
      </c>
      <c r="DD77">
        <f t="shared" si="92"/>
        <v>1.641327326055584E-2</v>
      </c>
      <c r="DE77">
        <f t="shared" si="93"/>
        <v>1.6473100191378851E-2</v>
      </c>
      <c r="DF77">
        <f t="shared" si="94"/>
        <v>1.6585104076564355E-2</v>
      </c>
      <c r="DG77">
        <f t="shared" si="95"/>
        <v>1.673324802169365E-2</v>
      </c>
      <c r="DH77">
        <f t="shared" si="96"/>
        <v>1.6861154131785586E-2</v>
      </c>
      <c r="DI77">
        <f t="shared" si="97"/>
        <v>1.6960555195115107E-2</v>
      </c>
      <c r="DJ77">
        <f t="shared" si="98"/>
        <v>1.7120826877987681E-2</v>
      </c>
      <c r="DK77">
        <f t="shared" si="99"/>
        <v>1.7374503090074267E-2</v>
      </c>
      <c r="DL77">
        <f t="shared" si="100"/>
        <v>1.7672762392359601E-2</v>
      </c>
      <c r="DM77">
        <f t="shared" si="101"/>
        <v>1.7944521727287333E-2</v>
      </c>
      <c r="DN77">
        <f t="shared" si="102"/>
        <v>1.821631472959313E-2</v>
      </c>
      <c r="DO77">
        <f t="shared" si="103"/>
        <v>1.8355424594941425E-2</v>
      </c>
      <c r="DP77">
        <f t="shared" si="104"/>
        <v>1.8292474079597863E-2</v>
      </c>
      <c r="DQ77">
        <f t="shared" si="105"/>
        <v>1.8090825189082366E-2</v>
      </c>
      <c r="DR77">
        <f t="shared" si="106"/>
        <v>1.7887593931797771E-2</v>
      </c>
      <c r="DS77">
        <f t="shared" si="107"/>
        <v>1.7660645877075686E-2</v>
      </c>
      <c r="DT77">
        <f t="shared" si="108"/>
        <v>1.742301778186715E-2</v>
      </c>
      <c r="DU77">
        <f t="shared" si="109"/>
        <v>1.7196716888967886E-2</v>
      </c>
      <c r="DV77">
        <f t="shared" si="110"/>
        <v>1.6974407450779314E-2</v>
      </c>
      <c r="DW77">
        <f t="shared" si="111"/>
        <v>1.6732226777892323E-2</v>
      </c>
      <c r="DX77">
        <f t="shared" si="112"/>
        <v>1.648151329507553E-2</v>
      </c>
      <c r="DY77">
        <f t="shared" si="113"/>
        <v>1.6227208625265048E-2</v>
      </c>
      <c r="DZ77">
        <f t="shared" si="114"/>
        <v>1.5971587186890214E-2</v>
      </c>
      <c r="EA77">
        <f t="shared" si="115"/>
        <v>1.5722246584934551E-2</v>
      </c>
      <c r="EB77">
        <f t="shared" si="116"/>
        <v>1.5482385220314318E-2</v>
      </c>
      <c r="EC77">
        <f t="shared" si="117"/>
        <v>1.5248838359491323E-2</v>
      </c>
      <c r="ED77">
        <f t="shared" si="118"/>
        <v>1.5063881006856916E-2</v>
      </c>
      <c r="EE77">
        <f t="shared" si="119"/>
        <v>1.4948128820246749E-2</v>
      </c>
      <c r="EF77">
        <f t="shared" si="120"/>
        <v>1.4884317916352613E-2</v>
      </c>
      <c r="EG77">
        <f t="shared" si="121"/>
        <v>1.4832544970526912E-2</v>
      </c>
      <c r="EH77">
        <f t="shared" si="122"/>
        <v>1.4798342655231797E-2</v>
      </c>
      <c r="EI77">
        <f t="shared" si="123"/>
        <v>1.4786794744555212E-2</v>
      </c>
      <c r="EJ77">
        <f t="shared" si="124"/>
        <v>1.4795645524166744E-2</v>
      </c>
      <c r="EK77">
        <f t="shared" si="125"/>
        <v>1.4823005880074921E-2</v>
      </c>
      <c r="EL77">
        <f t="shared" si="126"/>
        <v>1.4856149543370856E-2</v>
      </c>
      <c r="EM77">
        <f t="shared" si="127"/>
        <v>1.4881893865131874E-2</v>
      </c>
      <c r="EN77">
        <f t="shared" si="128"/>
        <v>1.4953500637458143E-2</v>
      </c>
      <c r="EO77">
        <f t="shared" si="129"/>
        <v>1.5091087989153906E-2</v>
      </c>
      <c r="EP77">
        <f t="shared" si="130"/>
        <v>1.5259394952924858E-2</v>
      </c>
      <c r="EQ77">
        <f t="shared" si="131"/>
        <v>1.5402402752489219E-2</v>
      </c>
      <c r="ER77">
        <f t="shared" si="132"/>
        <v>1.5530555756686977E-2</v>
      </c>
      <c r="ES77">
        <f t="shared" si="133"/>
        <v>1.5579470716196864E-2</v>
      </c>
      <c r="ET77">
        <f t="shared" si="134"/>
        <v>1.5511118457083624E-2</v>
      </c>
      <c r="EU77">
        <f t="shared" si="135"/>
        <v>1.5349776899752518E-2</v>
      </c>
      <c r="EV77">
        <f t="shared" si="136"/>
        <v>1.5165590155993839E-2</v>
      </c>
      <c r="EW77">
        <f t="shared" si="137"/>
        <v>1.4953889682715793E-2</v>
      </c>
      <c r="EX77">
        <f t="shared" si="138"/>
        <v>1.4659359977756196E-2</v>
      </c>
      <c r="EY77">
        <f t="shared" si="139"/>
        <v>1.4264471559602093E-2</v>
      </c>
      <c r="EZ77">
        <f t="shared" si="140"/>
        <v>1.3793910098015321E-2</v>
      </c>
      <c r="FA77">
        <f t="shared" si="141"/>
        <v>1.3288098891593608E-2</v>
      </c>
      <c r="FB77">
        <f t="shared" si="142"/>
        <v>1.2736814279864292E-2</v>
      </c>
      <c r="FC77">
        <f t="shared" si="143"/>
        <v>1.2187332743271391E-2</v>
      </c>
      <c r="FD77">
        <f t="shared" si="144"/>
        <v>1.1666633074105003E-2</v>
      </c>
      <c r="FE77">
        <f t="shared" si="145"/>
        <v>1.1153755459109247E-2</v>
      </c>
      <c r="FF77">
        <f t="shared" si="146"/>
        <v>1.0614673401518906E-2</v>
      </c>
      <c r="FG77">
        <f t="shared" si="147"/>
        <v>1.007287550876459E-2</v>
      </c>
      <c r="FH77">
        <f t="shared" si="148"/>
        <v>9.4577388441235023E-3</v>
      </c>
      <c r="FI77">
        <f t="shared" si="149"/>
        <v>8.7361047810205691E-3</v>
      </c>
      <c r="FJ77">
        <f t="shared" si="150"/>
        <v>7.953248461314788E-3</v>
      </c>
      <c r="FK77">
        <f t="shared" si="151"/>
        <v>7.1852993084526055E-3</v>
      </c>
      <c r="FL77">
        <f t="shared" si="152"/>
        <v>6.4142939058260025E-3</v>
      </c>
      <c r="FM77">
        <f t="shared" si="153"/>
        <v>5.7193767776282135E-3</v>
      </c>
      <c r="FN77">
        <f t="shared" si="154"/>
        <v>5.1468330870602062E-3</v>
      </c>
      <c r="FO77">
        <f t="shared" si="155"/>
        <v>4.661992916353731E-3</v>
      </c>
      <c r="FP77">
        <f t="shared" si="156"/>
        <v>4.1838226273240783E-3</v>
      </c>
      <c r="FQ77">
        <f t="shared" si="157"/>
        <v>3.7284152266867229E-3</v>
      </c>
      <c r="FR77">
        <f t="shared" si="158"/>
        <v>3.2987072579729643E-3</v>
      </c>
      <c r="FS77">
        <f t="shared" si="159"/>
        <v>2.8880363211455495E-3</v>
      </c>
      <c r="FT77">
        <f t="shared" si="160"/>
        <v>2.5006819140386263E-3</v>
      </c>
      <c r="FU77">
        <f t="shared" si="161"/>
        <v>2.1184711341362072E-3</v>
      </c>
      <c r="FV77">
        <f t="shared" si="162"/>
        <v>1.8261372903904589E-3</v>
      </c>
      <c r="FW77">
        <f t="shared" si="163"/>
        <v>1.5904170132723246E-3</v>
      </c>
      <c r="FX77">
        <f t="shared" si="164"/>
        <v>1.3076185191587813E-3</v>
      </c>
      <c r="FY77">
        <f t="shared" si="165"/>
        <v>9.777343264102587E-4</v>
      </c>
      <c r="FZ77">
        <f t="shared" si="166"/>
        <v>7.7384842566327508E-4</v>
      </c>
      <c r="GA77">
        <f t="shared" si="167"/>
        <v>6.8800035241515069E-4</v>
      </c>
      <c r="GB77">
        <f t="shared" si="168"/>
        <v>5.7407742667989507E-4</v>
      </c>
      <c r="GC77">
        <f t="shared" si="169"/>
        <v>4.3207590763772325E-4</v>
      </c>
      <c r="GD77">
        <f t="shared" si="170"/>
        <v>2.6200327692820532E-4</v>
      </c>
      <c r="GE77">
        <f t="shared" si="171"/>
        <v>4.9682575729791698E-4</v>
      </c>
    </row>
    <row r="78" spans="1:187">
      <c r="A78" s="15">
        <v>2026</v>
      </c>
      <c r="B78" s="18">
        <v>4158.3779999999997</v>
      </c>
      <c r="C78" s="18">
        <v>4151.6779999999999</v>
      </c>
      <c r="D78" s="18">
        <v>4108.3419999999996</v>
      </c>
      <c r="E78" s="18">
        <v>4068.7139999999999</v>
      </c>
      <c r="F78" s="18">
        <v>4033.5210000000002</v>
      </c>
      <c r="G78" s="18">
        <v>4003.4839999999999</v>
      </c>
      <c r="H78" s="18">
        <v>3978.7190000000001</v>
      </c>
      <c r="I78" s="18">
        <v>3959.34</v>
      </c>
      <c r="J78" s="18">
        <v>3949.1170000000002</v>
      </c>
      <c r="K78" s="18">
        <v>3949.9929999999999</v>
      </c>
      <c r="L78" s="18">
        <v>3960.864</v>
      </c>
      <c r="M78" s="18">
        <v>3975.306</v>
      </c>
      <c r="N78" s="18">
        <v>3990.55</v>
      </c>
      <c r="O78" s="18">
        <v>4024.7849999999999</v>
      </c>
      <c r="P78" s="18">
        <v>4085.105</v>
      </c>
      <c r="Q78" s="18">
        <v>4161.152</v>
      </c>
      <c r="R78" s="18">
        <v>4237.7079999999996</v>
      </c>
      <c r="S78" s="18">
        <v>4320.5110000000004</v>
      </c>
      <c r="T78" s="18">
        <v>4381.5619999999999</v>
      </c>
      <c r="U78" s="18">
        <v>4406.2340000000004</v>
      </c>
      <c r="V78" s="18">
        <v>4408.0209999999997</v>
      </c>
      <c r="W78" s="18">
        <v>4415.0969999999998</v>
      </c>
      <c r="X78" s="18">
        <v>4421.8990000000003</v>
      </c>
      <c r="Y78" s="18">
        <v>4435.9790000000003</v>
      </c>
      <c r="Z78" s="18">
        <v>4463.9530000000004</v>
      </c>
      <c r="AA78" s="18">
        <v>4501.51</v>
      </c>
      <c r="AB78" s="18">
        <v>4533.3819999999996</v>
      </c>
      <c r="AC78" s="18">
        <v>4557.4160000000002</v>
      </c>
      <c r="AD78" s="18">
        <v>4597.848</v>
      </c>
      <c r="AE78" s="18">
        <v>4663.5339999999997</v>
      </c>
      <c r="AF78" s="18">
        <v>4741.34</v>
      </c>
      <c r="AG78" s="18">
        <v>4812.0060000000003</v>
      </c>
      <c r="AH78" s="18">
        <v>4882.6629999999996</v>
      </c>
      <c r="AI78" s="18">
        <v>4918.0190000000002</v>
      </c>
      <c r="AJ78" s="18">
        <v>4899.5919999999996</v>
      </c>
      <c r="AK78" s="18">
        <v>4844.2560000000003</v>
      </c>
      <c r="AL78" s="18">
        <v>4788.5280000000002</v>
      </c>
      <c r="AM78" s="18">
        <v>4726.5</v>
      </c>
      <c r="AN78" s="18">
        <v>4661.6760000000004</v>
      </c>
      <c r="AO78" s="18">
        <v>4599.9229999999998</v>
      </c>
      <c r="AP78" s="18">
        <v>4539.2690000000002</v>
      </c>
      <c r="AQ78" s="18">
        <v>4473.3220000000001</v>
      </c>
      <c r="AR78" s="18">
        <v>4405.0969999999998</v>
      </c>
      <c r="AS78" s="18">
        <v>4335.9030000000002</v>
      </c>
      <c r="AT78" s="18">
        <v>4266.335</v>
      </c>
      <c r="AU78" s="18">
        <v>4198.41</v>
      </c>
      <c r="AV78" s="18">
        <v>4132.9840000000004</v>
      </c>
      <c r="AW78" s="18">
        <v>4069.2020000000002</v>
      </c>
      <c r="AX78" s="18">
        <v>4018.3130000000001</v>
      </c>
      <c r="AY78" s="18">
        <v>3985.799</v>
      </c>
      <c r="AZ78" s="18">
        <v>3967.0569999999998</v>
      </c>
      <c r="BA78" s="18">
        <v>3951.453</v>
      </c>
      <c r="BB78" s="18">
        <v>3940.451</v>
      </c>
      <c r="BC78" s="18">
        <v>3935.4110000000001</v>
      </c>
      <c r="BD78" s="18">
        <v>3935.7289999999998</v>
      </c>
      <c r="BE78" s="18">
        <v>3940.89</v>
      </c>
      <c r="BF78" s="18">
        <v>3947.4940000000001</v>
      </c>
      <c r="BG78" s="18">
        <v>3952.0340000000001</v>
      </c>
      <c r="BH78" s="18">
        <v>3968.6289999999999</v>
      </c>
      <c r="BI78" s="18">
        <v>4002.6039999999998</v>
      </c>
      <c r="BJ78" s="18">
        <v>4044.5929999999998</v>
      </c>
      <c r="BK78" s="18">
        <v>4079.7510000000002</v>
      </c>
      <c r="BL78" s="18">
        <v>4110.8549999999996</v>
      </c>
      <c r="BM78" s="18">
        <v>4120.7110000000002</v>
      </c>
      <c r="BN78" s="18">
        <v>4099.1769999999997</v>
      </c>
      <c r="BO78" s="18">
        <v>4052.7469999999998</v>
      </c>
      <c r="BP78" s="18">
        <v>4000.154</v>
      </c>
      <c r="BQ78" s="18">
        <v>3940.1579999999999</v>
      </c>
      <c r="BR78" s="18">
        <v>3858.018</v>
      </c>
      <c r="BS78" s="18">
        <v>3749.0720000000001</v>
      </c>
      <c r="BT78" s="18">
        <v>3619.9140000000002</v>
      </c>
      <c r="BU78" s="18">
        <v>3481.4560000000001</v>
      </c>
      <c r="BV78" s="18">
        <v>3331.1109999999999</v>
      </c>
      <c r="BW78" s="18">
        <v>3180.8589999999999</v>
      </c>
      <c r="BX78" s="18">
        <v>3037.6460000000002</v>
      </c>
      <c r="BY78" s="18">
        <v>2896.279</v>
      </c>
      <c r="BZ78" s="18">
        <v>2748.28</v>
      </c>
      <c r="CA78" s="18">
        <v>2599.739</v>
      </c>
      <c r="CB78" s="18">
        <v>2432.7429999999999</v>
      </c>
      <c r="CC78" s="18">
        <v>2238.9490000000001</v>
      </c>
      <c r="CD78" s="18">
        <v>2030.0260000000001</v>
      </c>
      <c r="CE78" s="18">
        <v>1825.3910000000001</v>
      </c>
      <c r="CF78" s="18">
        <v>1620.4549999999999</v>
      </c>
      <c r="CG78" s="18">
        <v>1436.134</v>
      </c>
      <c r="CH78" s="18">
        <v>1284.588</v>
      </c>
      <c r="CI78" s="18">
        <v>1156.7329999999999</v>
      </c>
      <c r="CJ78" s="18">
        <v>1029.296</v>
      </c>
      <c r="CK78" s="18">
        <v>912.53899999999999</v>
      </c>
      <c r="CL78" s="18">
        <v>804.84799999999996</v>
      </c>
      <c r="CM78" s="18">
        <v>698.005</v>
      </c>
      <c r="CN78" s="18">
        <v>592.92499999999995</v>
      </c>
      <c r="CO78" s="18">
        <v>497.11399999999998</v>
      </c>
      <c r="CP78" s="18">
        <v>428.892</v>
      </c>
      <c r="CQ78" s="18">
        <v>371.79500000000002</v>
      </c>
      <c r="CR78" s="18">
        <v>303.64400000000001</v>
      </c>
      <c r="CS78" s="18">
        <v>224.43899999999999</v>
      </c>
      <c r="CT78" s="18">
        <v>185.57300000000001</v>
      </c>
      <c r="CU78" s="18">
        <v>154.77199999999999</v>
      </c>
      <c r="CV78" s="18">
        <v>116.819</v>
      </c>
      <c r="CW78" s="18">
        <v>71.712000000000003</v>
      </c>
      <c r="CX78" s="18">
        <v>139.47200000000001</v>
      </c>
      <c r="CY78" s="3">
        <f t="shared" si="87"/>
        <v>342251.97499999992</v>
      </c>
      <c r="CZ78" s="21">
        <f t="shared" si="88"/>
        <v>269134.70799999987</v>
      </c>
      <c r="DA78">
        <f t="shared" si="89"/>
        <v>1.6280181893150704E-2</v>
      </c>
      <c r="DB78">
        <f t="shared" si="90"/>
        <v>1.6371853458603348E-2</v>
      </c>
      <c r="DC78">
        <f t="shared" si="91"/>
        <v>1.6378493256246986E-2</v>
      </c>
      <c r="DD78">
        <f t="shared" si="92"/>
        <v>1.6404784922797851E-2</v>
      </c>
      <c r="DE78">
        <f t="shared" si="93"/>
        <v>1.6430058511814099E-2</v>
      </c>
      <c r="DF78">
        <f t="shared" si="94"/>
        <v>1.6482374320892133E-2</v>
      </c>
      <c r="DG78">
        <f t="shared" si="95"/>
        <v>1.6586314835320321E-2</v>
      </c>
      <c r="DH78">
        <f t="shared" si="96"/>
        <v>1.6725862054179957E-2</v>
      </c>
      <c r="DI78">
        <f t="shared" si="97"/>
        <v>1.6844286022002046E-2</v>
      </c>
      <c r="DJ78">
        <f t="shared" si="98"/>
        <v>1.693358702735584E-2</v>
      </c>
      <c r="DK78">
        <f t="shared" si="99"/>
        <v>1.7083816629106054E-2</v>
      </c>
      <c r="DL78">
        <f t="shared" si="100"/>
        <v>1.7327880282167106E-2</v>
      </c>
      <c r="DM78">
        <f t="shared" si="101"/>
        <v>1.7616977145883402E-2</v>
      </c>
      <c r="DN78">
        <f t="shared" si="102"/>
        <v>1.7879544543916655E-2</v>
      </c>
      <c r="DO78">
        <f t="shared" si="103"/>
        <v>1.8142078501446949E-2</v>
      </c>
      <c r="DP78">
        <f t="shared" si="104"/>
        <v>1.8273447659526702E-2</v>
      </c>
      <c r="DQ78">
        <f t="shared" si="105"/>
        <v>1.8204980087518113E-2</v>
      </c>
      <c r="DR78">
        <f t="shared" si="106"/>
        <v>1.7999373012863144E-2</v>
      </c>
      <c r="DS78">
        <f t="shared" si="107"/>
        <v>1.7792309418523614E-2</v>
      </c>
      <c r="DT78">
        <f t="shared" si="108"/>
        <v>1.7561837472110816E-2</v>
      </c>
      <c r="DU78">
        <f t="shared" si="109"/>
        <v>1.7320976676111217E-2</v>
      </c>
      <c r="DV78">
        <f t="shared" si="110"/>
        <v>1.7091526522844472E-2</v>
      </c>
      <c r="DW78">
        <f t="shared" si="111"/>
        <v>1.6866159826550511E-2</v>
      </c>
      <c r="DX78">
        <f t="shared" si="112"/>
        <v>1.6621126398903563E-2</v>
      </c>
      <c r="DY78">
        <f t="shared" si="113"/>
        <v>1.6367628808395839E-2</v>
      </c>
      <c r="DZ78">
        <f t="shared" si="114"/>
        <v>1.6110530790402561E-2</v>
      </c>
      <c r="EA78">
        <f t="shared" si="115"/>
        <v>1.5852043133730644E-2</v>
      </c>
      <c r="EB78">
        <f t="shared" si="116"/>
        <v>1.5599660226654981E-2</v>
      </c>
      <c r="EC78">
        <f t="shared" si="117"/>
        <v>1.535656263256838E-2</v>
      </c>
      <c r="ED78">
        <f t="shared" si="118"/>
        <v>1.5119573503689469E-2</v>
      </c>
      <c r="EE78">
        <f t="shared" si="119"/>
        <v>1.4930489753109072E-2</v>
      </c>
      <c r="EF78">
        <f t="shared" si="120"/>
        <v>1.480968036274237E-2</v>
      </c>
      <c r="EG78">
        <f t="shared" si="121"/>
        <v>1.4740042373130119E-2</v>
      </c>
      <c r="EH78">
        <f t="shared" si="122"/>
        <v>1.468206397221722E-2</v>
      </c>
      <c r="EI78">
        <f t="shared" si="123"/>
        <v>1.4641184815152128E-2</v>
      </c>
      <c r="EJ78">
        <f t="shared" si="124"/>
        <v>1.4622458133493514E-2</v>
      </c>
      <c r="EK78">
        <f t="shared" si="125"/>
        <v>1.4623639697931498E-2</v>
      </c>
      <c r="EL78">
        <f t="shared" si="126"/>
        <v>1.4642815968574375E-2</v>
      </c>
      <c r="EM78">
        <f t="shared" si="127"/>
        <v>1.4667353866525465E-2</v>
      </c>
      <c r="EN78">
        <f t="shared" si="128"/>
        <v>1.4684222742463978E-2</v>
      </c>
      <c r="EO78">
        <f t="shared" si="129"/>
        <v>1.4745883314314116E-2</v>
      </c>
      <c r="EP78">
        <f t="shared" si="130"/>
        <v>1.487212121299495E-2</v>
      </c>
      <c r="EQ78">
        <f t="shared" si="131"/>
        <v>1.5028136021757557E-2</v>
      </c>
      <c r="ER78">
        <f t="shared" si="132"/>
        <v>1.5158769488772152E-2</v>
      </c>
      <c r="ES78">
        <f t="shared" si="133"/>
        <v>1.5274339867008166E-2</v>
      </c>
      <c r="ET78">
        <f t="shared" si="134"/>
        <v>1.5310960933362792E-2</v>
      </c>
      <c r="EU78">
        <f t="shared" si="135"/>
        <v>1.5230948956609498E-2</v>
      </c>
      <c r="EV78">
        <f t="shared" si="136"/>
        <v>1.5058433117440958E-2</v>
      </c>
      <c r="EW78">
        <f t="shared" si="137"/>
        <v>1.4863017964966458E-2</v>
      </c>
      <c r="EX78">
        <f t="shared" si="138"/>
        <v>1.4640096141000149E-2</v>
      </c>
      <c r="EY78">
        <f t="shared" si="139"/>
        <v>1.4334895817302025E-2</v>
      </c>
      <c r="EZ78">
        <f t="shared" si="140"/>
        <v>1.393009481333787E-2</v>
      </c>
      <c r="FA78">
        <f t="shared" si="141"/>
        <v>1.3450193870944368E-2</v>
      </c>
      <c r="FB78">
        <f t="shared" si="142"/>
        <v>1.2935737742156993E-2</v>
      </c>
      <c r="FC78">
        <f t="shared" si="143"/>
        <v>1.2377114140179949E-2</v>
      </c>
      <c r="FD78">
        <f t="shared" si="144"/>
        <v>1.1818836090066844E-2</v>
      </c>
      <c r="FE78">
        <f t="shared" si="145"/>
        <v>1.1286712228881314E-2</v>
      </c>
      <c r="FF78">
        <f t="shared" si="146"/>
        <v>1.0761447386414396E-2</v>
      </c>
      <c r="FG78">
        <f t="shared" si="147"/>
        <v>1.0211540608876064E-2</v>
      </c>
      <c r="FH78">
        <f t="shared" si="148"/>
        <v>9.6596199699371405E-3</v>
      </c>
      <c r="FI78">
        <f t="shared" si="149"/>
        <v>9.0391277218693066E-3</v>
      </c>
      <c r="FJ78">
        <f t="shared" si="150"/>
        <v>8.3190645184269621E-3</v>
      </c>
      <c r="FK78">
        <f t="shared" si="151"/>
        <v>7.5427878295058143E-3</v>
      </c>
      <c r="FL78">
        <f t="shared" si="152"/>
        <v>6.7824436824402484E-3</v>
      </c>
      <c r="FM78">
        <f t="shared" si="153"/>
        <v>6.0209811363311815E-3</v>
      </c>
      <c r="FN78">
        <f t="shared" si="154"/>
        <v>5.3361159200618624E-3</v>
      </c>
      <c r="FO78">
        <f t="shared" si="155"/>
        <v>4.7730298687451364E-3</v>
      </c>
      <c r="FP78">
        <f t="shared" si="156"/>
        <v>4.2979703680582158E-3</v>
      </c>
      <c r="FQ78">
        <f t="shared" si="157"/>
        <v>3.8244639929533005E-3</v>
      </c>
      <c r="FR78">
        <f t="shared" si="158"/>
        <v>3.3906403480297325E-3</v>
      </c>
      <c r="FS78">
        <f t="shared" si="159"/>
        <v>2.9905024364230287E-3</v>
      </c>
      <c r="FT78">
        <f t="shared" si="160"/>
        <v>2.5935153633176154E-3</v>
      </c>
      <c r="FU78">
        <f t="shared" si="161"/>
        <v>2.2030789131812765E-3</v>
      </c>
      <c r="FV78">
        <f t="shared" si="162"/>
        <v>1.8470824654841628E-3</v>
      </c>
      <c r="FW78">
        <f t="shared" si="163"/>
        <v>1.5935960218107588E-3</v>
      </c>
      <c r="FX78">
        <f t="shared" si="164"/>
        <v>1.381445755409593E-3</v>
      </c>
      <c r="FY78">
        <f t="shared" si="165"/>
        <v>1.1282231201484431E-3</v>
      </c>
      <c r="FZ78">
        <f t="shared" si="166"/>
        <v>8.3392811602730967E-4</v>
      </c>
      <c r="GA78">
        <f t="shared" si="167"/>
        <v>6.8951716179245113E-4</v>
      </c>
      <c r="GB78">
        <f t="shared" si="168"/>
        <v>5.7507261382281499E-4</v>
      </c>
      <c r="GC78">
        <f t="shared" si="169"/>
        <v>4.3405401283286012E-4</v>
      </c>
      <c r="GD78">
        <f t="shared" si="170"/>
        <v>2.6645392759970608E-4</v>
      </c>
      <c r="GE78">
        <f t="shared" si="171"/>
        <v>5.1822375878773713E-4</v>
      </c>
    </row>
    <row r="79" spans="1:187">
      <c r="A79" s="15">
        <v>2027</v>
      </c>
      <c r="B79" s="18">
        <v>4155.424</v>
      </c>
      <c r="C79" s="18">
        <v>4140.8649999999998</v>
      </c>
      <c r="D79" s="18">
        <v>4151.8159999999998</v>
      </c>
      <c r="E79" s="18">
        <v>4112.741</v>
      </c>
      <c r="F79" s="18">
        <v>4075.3710000000001</v>
      </c>
      <c r="G79" s="18">
        <v>4040.8820000000001</v>
      </c>
      <c r="H79" s="18">
        <v>4010.45</v>
      </c>
      <c r="I79" s="18">
        <v>3984.0329999999999</v>
      </c>
      <c r="J79" s="18">
        <v>3961.5880000000002</v>
      </c>
      <c r="K79" s="18">
        <v>3950.386</v>
      </c>
      <c r="L79" s="18">
        <v>3954.038</v>
      </c>
      <c r="M79" s="18">
        <v>3970.0650000000001</v>
      </c>
      <c r="N79" s="18">
        <v>3988.8560000000002</v>
      </c>
      <c r="O79" s="18">
        <v>4008.1120000000001</v>
      </c>
      <c r="P79" s="18">
        <v>4046.39</v>
      </c>
      <c r="Q79" s="18">
        <v>4110.6009999999997</v>
      </c>
      <c r="R79" s="18">
        <v>4190.2730000000001</v>
      </c>
      <c r="S79" s="18">
        <v>4270.3729999999996</v>
      </c>
      <c r="T79" s="18">
        <v>4356.7269999999999</v>
      </c>
      <c r="U79" s="18">
        <v>4419.9539999999997</v>
      </c>
      <c r="V79" s="18">
        <v>4444.8050000000003</v>
      </c>
      <c r="W79" s="18">
        <v>4445.3590000000004</v>
      </c>
      <c r="X79" s="18">
        <v>4451.0749999999998</v>
      </c>
      <c r="Y79" s="18">
        <v>4456.2070000000003</v>
      </c>
      <c r="Z79" s="18">
        <v>4468.375</v>
      </c>
      <c r="AA79" s="18">
        <v>4494.38</v>
      </c>
      <c r="AB79" s="18">
        <v>4529.8909999999996</v>
      </c>
      <c r="AC79" s="18">
        <v>4559.442</v>
      </c>
      <c r="AD79" s="18">
        <v>4580.9359999999997</v>
      </c>
      <c r="AE79" s="18">
        <v>4618.9549999999999</v>
      </c>
      <c r="AF79" s="18">
        <v>4682.5140000000001</v>
      </c>
      <c r="AG79" s="18">
        <v>4758.3950000000004</v>
      </c>
      <c r="AH79" s="18">
        <v>4827.08</v>
      </c>
      <c r="AI79" s="18">
        <v>4895.7370000000001</v>
      </c>
      <c r="AJ79" s="18">
        <v>4929.2610000000004</v>
      </c>
      <c r="AK79" s="18">
        <v>4909.2340000000004</v>
      </c>
      <c r="AL79" s="18">
        <v>4852.4669999999996</v>
      </c>
      <c r="AM79" s="18">
        <v>4795.3370000000004</v>
      </c>
      <c r="AN79" s="18">
        <v>4731.95</v>
      </c>
      <c r="AO79" s="18">
        <v>4665.8230000000003</v>
      </c>
      <c r="AP79" s="18">
        <v>4602.8119999999999</v>
      </c>
      <c r="AQ79" s="18">
        <v>4540.933</v>
      </c>
      <c r="AR79" s="18">
        <v>4473.7759999999998</v>
      </c>
      <c r="AS79" s="18">
        <v>4404.3450000000003</v>
      </c>
      <c r="AT79" s="18">
        <v>4333.9390000000003</v>
      </c>
      <c r="AU79" s="18">
        <v>4263.1350000000002</v>
      </c>
      <c r="AV79" s="18">
        <v>4193.9390000000003</v>
      </c>
      <c r="AW79" s="18">
        <v>4127.2039999999997</v>
      </c>
      <c r="AX79" s="18">
        <v>4062.0709999999999</v>
      </c>
      <c r="AY79" s="18">
        <v>4009.7339999999999</v>
      </c>
      <c r="AZ79" s="18">
        <v>3975.65</v>
      </c>
      <c r="BA79" s="18">
        <v>3955.223</v>
      </c>
      <c r="BB79" s="18">
        <v>3937.8539999999998</v>
      </c>
      <c r="BC79" s="18">
        <v>3924.9929999999999</v>
      </c>
      <c r="BD79" s="18">
        <v>3917.9989999999998</v>
      </c>
      <c r="BE79" s="18">
        <v>3916.27</v>
      </c>
      <c r="BF79" s="18">
        <v>3919.2779999999998</v>
      </c>
      <c r="BG79" s="18">
        <v>3923.6239999999998</v>
      </c>
      <c r="BH79" s="18">
        <v>3925.8220000000001</v>
      </c>
      <c r="BI79" s="18">
        <v>3939.8690000000001</v>
      </c>
      <c r="BJ79" s="18">
        <v>3971.0369999999998</v>
      </c>
      <c r="BK79" s="18">
        <v>4010.0239999999999</v>
      </c>
      <c r="BL79" s="18">
        <v>4042.1080000000002</v>
      </c>
      <c r="BM79" s="18">
        <v>4070.0549999999998</v>
      </c>
      <c r="BN79" s="18">
        <v>4076.69</v>
      </c>
      <c r="BO79" s="18">
        <v>4051.8939999999998</v>
      </c>
      <c r="BP79" s="18">
        <v>4002.1619999999998</v>
      </c>
      <c r="BQ79" s="18">
        <v>3946.21</v>
      </c>
      <c r="BR79" s="18">
        <v>3882.806</v>
      </c>
      <c r="BS79" s="18">
        <v>3797.259</v>
      </c>
      <c r="BT79" s="18">
        <v>3684.9290000000001</v>
      </c>
      <c r="BU79" s="18">
        <v>3552.4009999999998</v>
      </c>
      <c r="BV79" s="18">
        <v>3410.6970000000001</v>
      </c>
      <c r="BW79" s="18">
        <v>3257.3760000000002</v>
      </c>
      <c r="BX79" s="18">
        <v>3103.7570000000001</v>
      </c>
      <c r="BY79" s="18">
        <v>2956.5250000000001</v>
      </c>
      <c r="BZ79" s="18">
        <v>2810.8910000000001</v>
      </c>
      <c r="CA79" s="18">
        <v>2658.9969999999998</v>
      </c>
      <c r="CB79" s="18">
        <v>2506.748</v>
      </c>
      <c r="CC79" s="18">
        <v>2337.1930000000002</v>
      </c>
      <c r="CD79" s="18">
        <v>2142.5140000000001</v>
      </c>
      <c r="CE79" s="18">
        <v>1933.941</v>
      </c>
      <c r="CF79" s="18">
        <v>1729.9590000000001</v>
      </c>
      <c r="CG79" s="18">
        <v>1526.1949999999999</v>
      </c>
      <c r="CH79" s="18">
        <v>1343.317</v>
      </c>
      <c r="CI79" s="18">
        <v>1193.2809999999999</v>
      </c>
      <c r="CJ79" s="18">
        <v>1067.1780000000001</v>
      </c>
      <c r="CK79" s="18">
        <v>940.13</v>
      </c>
      <c r="CL79" s="18">
        <v>828.35699999999997</v>
      </c>
      <c r="CM79" s="18">
        <v>727.84799999999996</v>
      </c>
      <c r="CN79" s="18">
        <v>623.94500000000005</v>
      </c>
      <c r="CO79" s="18">
        <v>517.33399999999995</v>
      </c>
      <c r="CP79" s="18">
        <v>427.88499999999999</v>
      </c>
      <c r="CQ79" s="18">
        <v>369.59199999999998</v>
      </c>
      <c r="CR79" s="18">
        <v>318.41399999999999</v>
      </c>
      <c r="CS79" s="18">
        <v>257.71300000000002</v>
      </c>
      <c r="CT79" s="18">
        <v>187.49</v>
      </c>
      <c r="CU79" s="18">
        <v>155.06399999999999</v>
      </c>
      <c r="CV79" s="18">
        <v>117.29300000000001</v>
      </c>
      <c r="CW79" s="18">
        <v>72.965999999999994</v>
      </c>
      <c r="CX79" s="18">
        <v>145.886</v>
      </c>
      <c r="CY79" s="3">
        <f t="shared" si="87"/>
        <v>344100.69900000002</v>
      </c>
      <c r="CZ79" s="21">
        <f t="shared" si="88"/>
        <v>270978.43500000011</v>
      </c>
      <c r="DA79">
        <f t="shared" si="89"/>
        <v>1.607776279319053E-2</v>
      </c>
      <c r="DB79">
        <f t="shared" si="90"/>
        <v>1.6311091323558635E-2</v>
      </c>
      <c r="DC79">
        <f t="shared" si="91"/>
        <v>1.640279972832524E-2</v>
      </c>
      <c r="DD79">
        <f t="shared" si="92"/>
        <v>1.6404844171455928E-2</v>
      </c>
      <c r="DE79">
        <f t="shared" si="93"/>
        <v>1.6425938100941492E-2</v>
      </c>
      <c r="DF79">
        <f t="shared" si="94"/>
        <v>1.6444876877379555E-2</v>
      </c>
      <c r="DG79">
        <f t="shared" si="95"/>
        <v>1.6489780819643446E-2</v>
      </c>
      <c r="DH79">
        <f t="shared" si="96"/>
        <v>1.6585747865877219E-2</v>
      </c>
      <c r="DI79">
        <f t="shared" si="97"/>
        <v>1.6716795194422013E-2</v>
      </c>
      <c r="DJ79">
        <f t="shared" si="98"/>
        <v>1.6825848152824403E-2</v>
      </c>
      <c r="DK79">
        <f t="shared" si="99"/>
        <v>1.6905168117898377E-2</v>
      </c>
      <c r="DL79">
        <f t="shared" si="100"/>
        <v>1.7045470795489678E-2</v>
      </c>
      <c r="DM79">
        <f t="shared" si="101"/>
        <v>1.7280024515603974E-2</v>
      </c>
      <c r="DN79">
        <f t="shared" si="102"/>
        <v>1.7560050488888528E-2</v>
      </c>
      <c r="DO79">
        <f t="shared" si="103"/>
        <v>1.7813520843457518E-2</v>
      </c>
      <c r="DP79">
        <f t="shared" si="104"/>
        <v>1.8066887868770806E-2</v>
      </c>
      <c r="DQ79">
        <f t="shared" si="105"/>
        <v>1.8190602510491281E-2</v>
      </c>
      <c r="DR79">
        <f t="shared" si="106"/>
        <v>1.811669626035001E-2</v>
      </c>
      <c r="DS79">
        <f t="shared" si="107"/>
        <v>1.790720726540471E-2</v>
      </c>
      <c r="DT79">
        <f t="shared" si="108"/>
        <v>1.7696378680465839E-2</v>
      </c>
      <c r="DU79">
        <f t="shared" si="109"/>
        <v>1.7462459697207999E-2</v>
      </c>
      <c r="DV79">
        <f t="shared" si="110"/>
        <v>1.7218429208213554E-2</v>
      </c>
      <c r="DW79">
        <f t="shared" si="111"/>
        <v>1.6985897789246581E-2</v>
      </c>
      <c r="DX79">
        <f t="shared" si="112"/>
        <v>1.675754382447444E-2</v>
      </c>
      <c r="DY79">
        <f t="shared" si="113"/>
        <v>1.6509712295002362E-2</v>
      </c>
      <c r="DZ79">
        <f t="shared" si="114"/>
        <v>1.6253488953835011E-2</v>
      </c>
      <c r="EA79">
        <f t="shared" si="115"/>
        <v>1.5993667540370873E-2</v>
      </c>
      <c r="EB79">
        <f t="shared" si="116"/>
        <v>1.5732377375343533E-2</v>
      </c>
      <c r="EC79">
        <f t="shared" si="117"/>
        <v>1.5477021261857972E-2</v>
      </c>
      <c r="ED79">
        <f t="shared" si="118"/>
        <v>1.5230747051882553E-2</v>
      </c>
      <c r="EE79">
        <f t="shared" si="119"/>
        <v>1.4990384751465548E-2</v>
      </c>
      <c r="EF79">
        <f t="shared" si="120"/>
        <v>1.4797243920904622E-2</v>
      </c>
      <c r="EG79">
        <f t="shared" si="121"/>
        <v>1.4671462694070096E-2</v>
      </c>
      <c r="EH79">
        <f t="shared" si="122"/>
        <v>1.4596080311704503E-2</v>
      </c>
      <c r="EI79">
        <f t="shared" si="123"/>
        <v>1.4531982960193856E-2</v>
      </c>
      <c r="EJ79">
        <f t="shared" si="124"/>
        <v>1.4484521618851325E-2</v>
      </c>
      <c r="EK79">
        <f t="shared" si="125"/>
        <v>1.4458711446909044E-2</v>
      </c>
      <c r="EL79">
        <f t="shared" si="126"/>
        <v>1.4452330865369409E-2</v>
      </c>
      <c r="EM79">
        <f t="shared" si="127"/>
        <v>1.4463431379696315E-2</v>
      </c>
      <c r="EN79">
        <f t="shared" si="128"/>
        <v>1.447946955631358E-2</v>
      </c>
      <c r="EO79">
        <f t="shared" si="129"/>
        <v>1.4487580902886233E-2</v>
      </c>
      <c r="EP79">
        <f t="shared" si="130"/>
        <v>1.4539418976273881E-2</v>
      </c>
      <c r="EQ79">
        <f t="shared" si="131"/>
        <v>1.4654439199193094E-2</v>
      </c>
      <c r="ER79">
        <f t="shared" si="132"/>
        <v>1.4798314116767255E-2</v>
      </c>
      <c r="ES79">
        <f t="shared" si="133"/>
        <v>1.4916714682480171E-2</v>
      </c>
      <c r="ET79">
        <f t="shared" si="134"/>
        <v>1.5019848350663027E-2</v>
      </c>
      <c r="EU79">
        <f t="shared" si="135"/>
        <v>1.5044333693933978E-2</v>
      </c>
      <c r="EV79">
        <f t="shared" si="136"/>
        <v>1.495282825734822E-2</v>
      </c>
      <c r="EW79">
        <f t="shared" si="137"/>
        <v>1.4769300737898195E-2</v>
      </c>
      <c r="EX79">
        <f t="shared" si="138"/>
        <v>1.4562819362359954E-2</v>
      </c>
      <c r="EY79">
        <f t="shared" si="139"/>
        <v>1.4328837643482584E-2</v>
      </c>
      <c r="EZ79">
        <f t="shared" si="140"/>
        <v>1.4013140934997276E-2</v>
      </c>
      <c r="FA79">
        <f t="shared" si="141"/>
        <v>1.3598606103101889E-2</v>
      </c>
      <c r="FB79">
        <f t="shared" si="142"/>
        <v>1.3109533974539333E-2</v>
      </c>
      <c r="FC79">
        <f t="shared" si="143"/>
        <v>1.258659937275082E-2</v>
      </c>
      <c r="FD79">
        <f t="shared" si="144"/>
        <v>1.2020794200837416E-2</v>
      </c>
      <c r="FE79">
        <f t="shared" si="145"/>
        <v>1.1453889310416892E-2</v>
      </c>
      <c r="FF79">
        <f t="shared" si="146"/>
        <v>1.0910554561288239E-2</v>
      </c>
      <c r="FG79">
        <f t="shared" si="147"/>
        <v>1.0373116960395756E-2</v>
      </c>
      <c r="FH79">
        <f t="shared" si="148"/>
        <v>9.8125778901926222E-3</v>
      </c>
      <c r="FI79">
        <f t="shared" si="149"/>
        <v>9.2507287526404046E-3</v>
      </c>
      <c r="FJ79">
        <f t="shared" si="150"/>
        <v>8.6250147544028703E-3</v>
      </c>
      <c r="FK79">
        <f t="shared" si="151"/>
        <v>7.9065848911556349E-3</v>
      </c>
      <c r="FL79">
        <f t="shared" si="152"/>
        <v>7.136881575096554E-3</v>
      </c>
      <c r="FM79">
        <f t="shared" si="153"/>
        <v>6.3841205666421361E-3</v>
      </c>
      <c r="FN79">
        <f t="shared" si="154"/>
        <v>5.6321640502499737E-3</v>
      </c>
      <c r="FO79">
        <f t="shared" si="155"/>
        <v>4.9572837779508156E-3</v>
      </c>
      <c r="FP79">
        <f t="shared" si="156"/>
        <v>4.4036013419296608E-3</v>
      </c>
      <c r="FQ79">
        <f t="shared" si="157"/>
        <v>3.9382395872202876E-3</v>
      </c>
      <c r="FR79">
        <f t="shared" si="158"/>
        <v>3.4693904701309521E-3</v>
      </c>
      <c r="FS79">
        <f t="shared" si="159"/>
        <v>3.0569111523579343E-3</v>
      </c>
      <c r="FT79">
        <f t="shared" si="160"/>
        <v>2.6859997180218404E-3</v>
      </c>
      <c r="FU79">
        <f t="shared" si="161"/>
        <v>2.30256330176237E-3</v>
      </c>
      <c r="FV79">
        <f t="shared" si="162"/>
        <v>1.9091334703442351E-3</v>
      </c>
      <c r="FW79">
        <f t="shared" si="163"/>
        <v>1.5790370920106605E-3</v>
      </c>
      <c r="FX79">
        <f t="shared" si="164"/>
        <v>1.3639166526295712E-3</v>
      </c>
      <c r="FY79">
        <f t="shared" si="165"/>
        <v>1.1750529151886195E-3</v>
      </c>
      <c r="FZ79">
        <f t="shared" si="166"/>
        <v>9.5104615981710843E-4</v>
      </c>
      <c r="GA79">
        <f t="shared" si="167"/>
        <v>6.919000768455982E-4</v>
      </c>
      <c r="GB79">
        <f t="shared" si="168"/>
        <v>5.7223741808088866E-4</v>
      </c>
      <c r="GC79">
        <f t="shared" si="169"/>
        <v>4.3284994246866899E-4</v>
      </c>
      <c r="GD79">
        <f t="shared" si="170"/>
        <v>2.6926865969980219E-4</v>
      </c>
      <c r="GE79">
        <f t="shared" si="171"/>
        <v>5.3836756419380733E-4</v>
      </c>
    </row>
    <row r="80" spans="1:187">
      <c r="A80" s="15">
        <v>2028</v>
      </c>
      <c r="B80" s="18">
        <v>4145.9920000000002</v>
      </c>
      <c r="C80" s="18">
        <v>4150.393</v>
      </c>
      <c r="D80" s="18">
        <v>4144.2830000000004</v>
      </c>
      <c r="E80" s="18">
        <v>4151.5050000000001</v>
      </c>
      <c r="F80" s="18">
        <v>4116.6980000000003</v>
      </c>
      <c r="G80" s="18">
        <v>4081.5889999999999</v>
      </c>
      <c r="H80" s="18">
        <v>4047.808</v>
      </c>
      <c r="I80" s="18">
        <v>4016.9850000000001</v>
      </c>
      <c r="J80" s="18">
        <v>3988.9180000000001</v>
      </c>
      <c r="K80" s="18">
        <v>3963.4090000000001</v>
      </c>
      <c r="L80" s="18">
        <v>3951.2269999999999</v>
      </c>
      <c r="M80" s="18">
        <v>3957.6550000000002</v>
      </c>
      <c r="N80" s="18">
        <v>3978.8389999999999</v>
      </c>
      <c r="O80" s="18">
        <v>4001.9789999999998</v>
      </c>
      <c r="P80" s="18">
        <v>4025.2449999999999</v>
      </c>
      <c r="Q80" s="18">
        <v>4067.5639999999999</v>
      </c>
      <c r="R80" s="18">
        <v>4135.6580000000004</v>
      </c>
      <c r="S80" s="18">
        <v>4218.9480000000003</v>
      </c>
      <c r="T80" s="18">
        <v>4302.585</v>
      </c>
      <c r="U80" s="18">
        <v>4392.4790000000003</v>
      </c>
      <c r="V80" s="18">
        <v>4457.88</v>
      </c>
      <c r="W80" s="18">
        <v>4482.9040000000005</v>
      </c>
      <c r="X80" s="18">
        <v>4482.2250000000004</v>
      </c>
      <c r="Y80" s="18">
        <v>4486.58</v>
      </c>
      <c r="Z80" s="18">
        <v>4490.0410000000002</v>
      </c>
      <c r="AA80" s="18">
        <v>4500.2929999999997</v>
      </c>
      <c r="AB80" s="18">
        <v>4524.3270000000002</v>
      </c>
      <c r="AC80" s="18">
        <v>4557.7870000000003</v>
      </c>
      <c r="AD80" s="18">
        <v>4585.0129999999999</v>
      </c>
      <c r="AE80" s="18">
        <v>4603.9639999999999</v>
      </c>
      <c r="AF80" s="18">
        <v>4639.5659999999998</v>
      </c>
      <c r="AG80" s="18">
        <v>4700.991</v>
      </c>
      <c r="AH80" s="18">
        <v>4774.9359999999997</v>
      </c>
      <c r="AI80" s="18">
        <v>4841.6329999999998</v>
      </c>
      <c r="AJ80" s="18">
        <v>4908.2839999999997</v>
      </c>
      <c r="AK80" s="18">
        <v>4939.9719999999998</v>
      </c>
      <c r="AL80" s="18">
        <v>4918.3469999999998</v>
      </c>
      <c r="AM80" s="18">
        <v>4860.1540000000005</v>
      </c>
      <c r="AN80" s="18">
        <v>4801.6279999999997</v>
      </c>
      <c r="AO80" s="18">
        <v>4736.8879999999999</v>
      </c>
      <c r="AP80" s="18">
        <v>4669.4660000000003</v>
      </c>
      <c r="AQ80" s="18">
        <v>4605.2030000000004</v>
      </c>
      <c r="AR80" s="18">
        <v>4542.1030000000001</v>
      </c>
      <c r="AS80" s="18">
        <v>4473.7420000000002</v>
      </c>
      <c r="AT80" s="18">
        <v>4403.1139999999996</v>
      </c>
      <c r="AU80" s="18">
        <v>4331.5</v>
      </c>
      <c r="AV80" s="18">
        <v>4259.4669999999996</v>
      </c>
      <c r="AW80" s="18">
        <v>4189.0079999999998</v>
      </c>
      <c r="AX80" s="18">
        <v>4120.9709999999995</v>
      </c>
      <c r="AY80" s="18">
        <v>4054.4940000000001</v>
      </c>
      <c r="AZ80" s="18">
        <v>4000.7159999999999</v>
      </c>
      <c r="BA80" s="18">
        <v>3965.0619999999999</v>
      </c>
      <c r="BB80" s="18">
        <v>3942.953</v>
      </c>
      <c r="BC80" s="18">
        <v>3923.8209999999999</v>
      </c>
      <c r="BD80" s="18">
        <v>3909.1</v>
      </c>
      <c r="BE80" s="18">
        <v>3900.1529999999998</v>
      </c>
      <c r="BF80" s="18">
        <v>3896.3760000000002</v>
      </c>
      <c r="BG80" s="18">
        <v>3897.23</v>
      </c>
      <c r="BH80" s="18">
        <v>3899.3180000000002</v>
      </c>
      <c r="BI80" s="18">
        <v>3899.174</v>
      </c>
      <c r="BJ80" s="18">
        <v>3910.6709999999998</v>
      </c>
      <c r="BK80" s="18">
        <v>3939.0279999999998</v>
      </c>
      <c r="BL80" s="18">
        <v>3975.0050000000001</v>
      </c>
      <c r="BM80" s="18">
        <v>4004.0120000000002</v>
      </c>
      <c r="BN80" s="18">
        <v>4028.799</v>
      </c>
      <c r="BO80" s="18">
        <v>4032.21</v>
      </c>
      <c r="BP80" s="18">
        <v>4004.1509999999998</v>
      </c>
      <c r="BQ80" s="18">
        <v>3951.1219999999998</v>
      </c>
      <c r="BR80" s="18">
        <v>3891.8139999999999</v>
      </c>
      <c r="BS80" s="18">
        <v>3825.009</v>
      </c>
      <c r="BT80" s="18">
        <v>3736.0619999999999</v>
      </c>
      <c r="BU80" s="18">
        <v>3620.3580000000002</v>
      </c>
      <c r="BV80" s="18">
        <v>3484.4740000000002</v>
      </c>
      <c r="BW80" s="18">
        <v>3339.5390000000002</v>
      </c>
      <c r="BX80" s="18">
        <v>3183.2559999999999</v>
      </c>
      <c r="BY80" s="18">
        <v>3026.2860000000001</v>
      </c>
      <c r="BZ80" s="18">
        <v>2875.0479999999998</v>
      </c>
      <c r="CA80" s="18">
        <v>2725.1610000000001</v>
      </c>
      <c r="CB80" s="18">
        <v>2569.3879999999999</v>
      </c>
      <c r="CC80" s="18">
        <v>2413.4479999999999</v>
      </c>
      <c r="CD80" s="18">
        <v>2241.3519999999999</v>
      </c>
      <c r="CE80" s="18">
        <v>2045.808</v>
      </c>
      <c r="CF80" s="18">
        <v>1837.6079999999999</v>
      </c>
      <c r="CG80" s="18">
        <v>1634.3009999999999</v>
      </c>
      <c r="CH80" s="18">
        <v>1431.732</v>
      </c>
      <c r="CI80" s="18">
        <v>1250.319</v>
      </c>
      <c r="CJ80" s="18">
        <v>1101.809</v>
      </c>
      <c r="CK80" s="18">
        <v>977.47500000000002</v>
      </c>
      <c r="CL80" s="18">
        <v>850.83</v>
      </c>
      <c r="CM80" s="18">
        <v>744.05499999999995</v>
      </c>
      <c r="CN80" s="18">
        <v>650.74199999999996</v>
      </c>
      <c r="CO80" s="18">
        <v>549.79100000000005</v>
      </c>
      <c r="CP80" s="18">
        <v>441.66</v>
      </c>
      <c r="CQ80" s="18">
        <v>358.58600000000001</v>
      </c>
      <c r="CR80" s="18">
        <v>310.23099999999999</v>
      </c>
      <c r="CS80" s="18">
        <v>264.97800000000001</v>
      </c>
      <c r="CT80" s="18">
        <v>211.738</v>
      </c>
      <c r="CU80" s="18">
        <v>150.50899999999999</v>
      </c>
      <c r="CV80" s="18">
        <v>117.471</v>
      </c>
      <c r="CW80" s="18">
        <v>74</v>
      </c>
      <c r="CX80" s="18">
        <v>151.86799999999999</v>
      </c>
      <c r="CY80" s="3">
        <f t="shared" si="87"/>
        <v>345947.84700000024</v>
      </c>
      <c r="CZ80" s="21">
        <f t="shared" si="88"/>
        <v>272803.15200000012</v>
      </c>
      <c r="DA80">
        <f t="shared" si="89"/>
        <v>1.5771756918703046E-2</v>
      </c>
      <c r="DB80">
        <f t="shared" si="90"/>
        <v>1.6101276571760425E-2</v>
      </c>
      <c r="DC80">
        <f t="shared" si="91"/>
        <v>1.634101353784944E-2</v>
      </c>
      <c r="DD80">
        <f t="shared" si="92"/>
        <v>1.6432742683266353E-2</v>
      </c>
      <c r="DE80">
        <f t="shared" si="93"/>
        <v>1.6430253709092037E-2</v>
      </c>
      <c r="DF80">
        <f t="shared" si="94"/>
        <v>1.6446217600887537E-2</v>
      </c>
      <c r="DG80">
        <f t="shared" si="95"/>
        <v>1.6458904404447638E-2</v>
      </c>
      <c r="DH80">
        <f t="shared" si="96"/>
        <v>1.649648461539769E-2</v>
      </c>
      <c r="DI80">
        <f t="shared" si="97"/>
        <v>1.6584584770486809E-2</v>
      </c>
      <c r="DJ80">
        <f t="shared" si="98"/>
        <v>1.670723731227269E-2</v>
      </c>
      <c r="DK80">
        <f t="shared" si="99"/>
        <v>1.6807038211933849E-2</v>
      </c>
      <c r="DL80">
        <f t="shared" si="100"/>
        <v>1.6876505884360155E-2</v>
      </c>
      <c r="DM80">
        <f t="shared" si="101"/>
        <v>1.7007010241582538E-2</v>
      </c>
      <c r="DN80">
        <f t="shared" si="102"/>
        <v>1.723217259601164E-2</v>
      </c>
      <c r="DO80">
        <f t="shared" si="103"/>
        <v>1.7503228848323563E-2</v>
      </c>
      <c r="DP80">
        <f t="shared" si="104"/>
        <v>1.7747716492659871E-2</v>
      </c>
      <c r="DQ80">
        <f t="shared" si="105"/>
        <v>1.7992035517243574E-2</v>
      </c>
      <c r="DR80">
        <f t="shared" si="106"/>
        <v>1.8108192532907384E-2</v>
      </c>
      <c r="DS80">
        <f t="shared" si="107"/>
        <v>1.8028922920949233E-2</v>
      </c>
      <c r="DT80">
        <f t="shared" si="108"/>
        <v>1.7815607936964007E-2</v>
      </c>
      <c r="DU80">
        <f t="shared" si="109"/>
        <v>1.760107229259579E-2</v>
      </c>
      <c r="DV80">
        <f t="shared" si="110"/>
        <v>1.7363758319038768E-2</v>
      </c>
      <c r="DW80">
        <f t="shared" si="111"/>
        <v>1.7116613080775542E-2</v>
      </c>
      <c r="DX80">
        <f t="shared" si="112"/>
        <v>1.6881047620740094E-2</v>
      </c>
      <c r="DY80">
        <f t="shared" si="113"/>
        <v>1.6649745307928107E-2</v>
      </c>
      <c r="DZ80">
        <f t="shared" si="114"/>
        <v>1.6399158027323665E-2</v>
      </c>
      <c r="EA80">
        <f t="shared" si="115"/>
        <v>1.6140260725433252E-2</v>
      </c>
      <c r="EB80">
        <f t="shared" si="116"/>
        <v>1.5877749095802231E-2</v>
      </c>
      <c r="EC80">
        <f t="shared" si="117"/>
        <v>1.5613701560163784E-2</v>
      </c>
      <c r="ED80">
        <f t="shared" si="118"/>
        <v>1.5355423752581854E-2</v>
      </c>
      <c r="EE80">
        <f t="shared" si="119"/>
        <v>1.5106024141539236E-2</v>
      </c>
      <c r="EF80">
        <f t="shared" si="120"/>
        <v>1.4862342939497996E-2</v>
      </c>
      <c r="EG80">
        <f t="shared" si="121"/>
        <v>1.4665211786116013E-2</v>
      </c>
      <c r="EH80">
        <f t="shared" si="122"/>
        <v>1.4534516815260251E-2</v>
      </c>
      <c r="EI80">
        <f t="shared" si="123"/>
        <v>1.4453473030252958E-2</v>
      </c>
      <c r="EJ80">
        <f t="shared" si="124"/>
        <v>1.4383341875756619E-2</v>
      </c>
      <c r="EK80">
        <f t="shared" si="125"/>
        <v>1.4329379889276347E-2</v>
      </c>
      <c r="EL80">
        <f t="shared" si="126"/>
        <v>1.4296583347394748E-2</v>
      </c>
      <c r="EM80">
        <f t="shared" si="127"/>
        <v>1.4282738199447191E-2</v>
      </c>
      <c r="EN80">
        <f t="shared" si="128"/>
        <v>1.4285868661810764E-2</v>
      </c>
      <c r="EO80">
        <f t="shared" si="129"/>
        <v>1.4293522532320295E-2</v>
      </c>
      <c r="EP80">
        <f t="shared" si="130"/>
        <v>1.4292994679181707E-2</v>
      </c>
      <c r="EQ80">
        <f t="shared" si="131"/>
        <v>1.4335138620392473E-2</v>
      </c>
      <c r="ER80">
        <f t="shared" si="132"/>
        <v>1.4439085366579629E-2</v>
      </c>
      <c r="ES80">
        <f t="shared" si="133"/>
        <v>1.4570964341350419E-2</v>
      </c>
      <c r="ET80">
        <f t="shared" si="134"/>
        <v>1.4677293757954814E-2</v>
      </c>
      <c r="EU80">
        <f t="shared" si="135"/>
        <v>1.4768154145081133E-2</v>
      </c>
      <c r="EV80">
        <f t="shared" si="136"/>
        <v>1.4780657666301445E-2</v>
      </c>
      <c r="EW80">
        <f t="shared" si="137"/>
        <v>1.4677803282859423E-2</v>
      </c>
      <c r="EX80">
        <f t="shared" si="138"/>
        <v>1.4483417698927459E-2</v>
      </c>
      <c r="EY80">
        <f t="shared" si="139"/>
        <v>1.4266015518764967E-2</v>
      </c>
      <c r="EZ80">
        <f t="shared" si="140"/>
        <v>1.4021131984574718E-2</v>
      </c>
      <c r="FA80">
        <f t="shared" si="141"/>
        <v>1.3695083699032913E-2</v>
      </c>
      <c r="FB80">
        <f t="shared" si="142"/>
        <v>1.327095370217716E-2</v>
      </c>
      <c r="FC80">
        <f t="shared" si="143"/>
        <v>1.2772850952983118E-2</v>
      </c>
      <c r="FD80">
        <f t="shared" si="144"/>
        <v>1.2241570434640721E-2</v>
      </c>
      <c r="FE80">
        <f t="shared" si="145"/>
        <v>1.1668692156460122E-2</v>
      </c>
      <c r="FF80">
        <f t="shared" si="146"/>
        <v>1.1093295578930844E-2</v>
      </c>
      <c r="FG80">
        <f t="shared" si="147"/>
        <v>1.0538910488834815E-2</v>
      </c>
      <c r="FH80">
        <f t="shared" si="148"/>
        <v>9.9894776875598529E-3</v>
      </c>
      <c r="FI80">
        <f t="shared" si="149"/>
        <v>9.4184688892450883E-3</v>
      </c>
      <c r="FJ80">
        <f t="shared" si="150"/>
        <v>8.8468479279154334E-3</v>
      </c>
      <c r="FK80">
        <f t="shared" si="151"/>
        <v>8.2160047769535994E-3</v>
      </c>
      <c r="FL80">
        <f t="shared" si="152"/>
        <v>7.4992095399249604E-3</v>
      </c>
      <c r="FM80">
        <f t="shared" si="153"/>
        <v>6.736021877049277E-3</v>
      </c>
      <c r="FN80">
        <f t="shared" si="154"/>
        <v>5.9907702239452099E-3</v>
      </c>
      <c r="FO80">
        <f t="shared" si="155"/>
        <v>5.2482238181764092E-3</v>
      </c>
      <c r="FP80">
        <f t="shared" si="156"/>
        <v>4.5832278360185491E-3</v>
      </c>
      <c r="FQ80">
        <f t="shared" si="157"/>
        <v>4.0388426303813365E-3</v>
      </c>
      <c r="FR80">
        <f t="shared" si="158"/>
        <v>3.5830781016782374E-3</v>
      </c>
      <c r="FS80">
        <f t="shared" si="159"/>
        <v>3.118842263230154E-3</v>
      </c>
      <c r="FT80">
        <f t="shared" si="160"/>
        <v>2.7274428266136734E-3</v>
      </c>
      <c r="FU80">
        <f t="shared" si="161"/>
        <v>2.3853903271616145E-3</v>
      </c>
      <c r="FV80">
        <f t="shared" si="162"/>
        <v>2.0153396174835978E-3</v>
      </c>
      <c r="FW80">
        <f t="shared" si="163"/>
        <v>1.6189695638120774E-3</v>
      </c>
      <c r="FX80">
        <f t="shared" si="164"/>
        <v>1.3144496219017288E-3</v>
      </c>
      <c r="FY80">
        <f t="shared" si="165"/>
        <v>1.1371972710931136E-3</v>
      </c>
      <c r="FZ80">
        <f t="shared" si="166"/>
        <v>9.7131575664492287E-4</v>
      </c>
      <c r="GA80">
        <f t="shared" si="167"/>
        <v>7.7615672123905629E-4</v>
      </c>
      <c r="GB80">
        <f t="shared" si="168"/>
        <v>5.5171283358192256E-4</v>
      </c>
      <c r="GC80">
        <f t="shared" si="169"/>
        <v>4.3060719474384942E-4</v>
      </c>
      <c r="GD80">
        <f t="shared" si="170"/>
        <v>2.7125786288568972E-4</v>
      </c>
      <c r="GE80">
        <f t="shared" si="171"/>
        <v>5.5669444757735034E-4</v>
      </c>
    </row>
    <row r="81" spans="1:187">
      <c r="A81" s="15">
        <v>2029</v>
      </c>
      <c r="B81" s="18">
        <v>4135.067</v>
      </c>
      <c r="C81" s="18">
        <v>4156.1490000000003</v>
      </c>
      <c r="D81" s="18">
        <v>4162.7380000000003</v>
      </c>
      <c r="E81" s="18">
        <v>4157.2190000000001</v>
      </c>
      <c r="F81" s="18">
        <v>4150.4170000000004</v>
      </c>
      <c r="G81" s="18">
        <v>4119.8829999999998</v>
      </c>
      <c r="H81" s="18">
        <v>4087.0430000000001</v>
      </c>
      <c r="I81" s="18">
        <v>4053.9769999999999</v>
      </c>
      <c r="J81" s="18">
        <v>4022.7669999999998</v>
      </c>
      <c r="K81" s="18">
        <v>3993.0569999999998</v>
      </c>
      <c r="L81" s="18">
        <v>3964.489</v>
      </c>
      <c r="M81" s="18">
        <v>3951.3290000000002</v>
      </c>
      <c r="N81" s="18">
        <v>3960.5320000000002</v>
      </c>
      <c r="O81" s="18">
        <v>3986.8679999999999</v>
      </c>
      <c r="P81" s="18">
        <v>4014.3519999999999</v>
      </c>
      <c r="Q81" s="18">
        <v>4041.6219999999998</v>
      </c>
      <c r="R81" s="18">
        <v>4087.9749999999999</v>
      </c>
      <c r="S81" s="18">
        <v>4159.9399999999996</v>
      </c>
      <c r="T81" s="18">
        <v>4246.8320000000003</v>
      </c>
      <c r="U81" s="18">
        <v>4333.9880000000003</v>
      </c>
      <c r="V81" s="18">
        <v>4427.4080000000004</v>
      </c>
      <c r="W81" s="18">
        <v>4494.9679999999998</v>
      </c>
      <c r="X81" s="18">
        <v>4520.1610000000001</v>
      </c>
      <c r="Y81" s="18">
        <v>4518.2489999999998</v>
      </c>
      <c r="Z81" s="18">
        <v>4521.2420000000002</v>
      </c>
      <c r="AA81" s="18">
        <v>4523.0309999999999</v>
      </c>
      <c r="AB81" s="18">
        <v>4531.366</v>
      </c>
      <c r="AC81" s="18">
        <v>4553.424</v>
      </c>
      <c r="AD81" s="18">
        <v>4584.8270000000002</v>
      </c>
      <c r="AE81" s="18">
        <v>4609.7250000000004</v>
      </c>
      <c r="AF81" s="18">
        <v>4626.1279999999997</v>
      </c>
      <c r="AG81" s="18">
        <v>4659.3050000000003</v>
      </c>
      <c r="AH81" s="18">
        <v>4718.585</v>
      </c>
      <c r="AI81" s="18">
        <v>4790.5820000000003</v>
      </c>
      <c r="AJ81" s="18">
        <v>4855.2780000000002</v>
      </c>
      <c r="AK81" s="18">
        <v>4919.9089999999997</v>
      </c>
      <c r="AL81" s="18">
        <v>4949.7550000000001</v>
      </c>
      <c r="AM81" s="18">
        <v>4926.5370000000003</v>
      </c>
      <c r="AN81" s="18">
        <v>4866.9290000000001</v>
      </c>
      <c r="AO81" s="18">
        <v>4807.018</v>
      </c>
      <c r="AP81" s="18">
        <v>4740.9369999999999</v>
      </c>
      <c r="AQ81" s="18">
        <v>4672.2299999999996</v>
      </c>
      <c r="AR81" s="18">
        <v>4606.7290000000003</v>
      </c>
      <c r="AS81" s="18">
        <v>4542.4179999999997</v>
      </c>
      <c r="AT81" s="18">
        <v>4472.8680000000004</v>
      </c>
      <c r="AU81" s="18">
        <v>4401.0540000000001</v>
      </c>
      <c r="AV81" s="18">
        <v>4328.2449999999999</v>
      </c>
      <c r="AW81" s="18">
        <v>4254.9970000000003</v>
      </c>
      <c r="AX81" s="18">
        <v>4183.2879999999996</v>
      </c>
      <c r="AY81" s="18">
        <v>4113.9620000000004</v>
      </c>
      <c r="AZ81" s="18">
        <v>4046.152</v>
      </c>
      <c r="BA81" s="18">
        <v>3990.942</v>
      </c>
      <c r="BB81" s="18">
        <v>3953.7260000000001</v>
      </c>
      <c r="BC81" s="18">
        <v>3929.9380000000001</v>
      </c>
      <c r="BD81" s="18">
        <v>3909.0459999999998</v>
      </c>
      <c r="BE81" s="18">
        <v>3892.4679999999998</v>
      </c>
      <c r="BF81" s="18">
        <v>3881.5680000000002</v>
      </c>
      <c r="BG81" s="18">
        <v>3875.7460000000001</v>
      </c>
      <c r="BH81" s="18">
        <v>3874.4459999999999</v>
      </c>
      <c r="BI81" s="18">
        <v>3874.2779999999998</v>
      </c>
      <c r="BJ81" s="18">
        <v>3871.79</v>
      </c>
      <c r="BK81" s="18">
        <v>3880.7359999999999</v>
      </c>
      <c r="BL81" s="18">
        <v>3906.2759999999998</v>
      </c>
      <c r="BM81" s="18">
        <v>3939.2370000000001</v>
      </c>
      <c r="BN81" s="18">
        <v>3965.1579999999999</v>
      </c>
      <c r="BO81" s="18">
        <v>3986.7809999999999</v>
      </c>
      <c r="BP81" s="18">
        <v>3986.9659999999999</v>
      </c>
      <c r="BQ81" s="18">
        <v>3955.6489999999999</v>
      </c>
      <c r="BR81" s="18">
        <v>3899.33</v>
      </c>
      <c r="BS81" s="18">
        <v>3836.6779999999999</v>
      </c>
      <c r="BT81" s="18">
        <v>3766.4839999999999</v>
      </c>
      <c r="BU81" s="18">
        <v>3674.1529999999998</v>
      </c>
      <c r="BV81" s="18">
        <v>3555.0940000000001</v>
      </c>
      <c r="BW81" s="18">
        <v>3415.8780000000002</v>
      </c>
      <c r="BX81" s="18">
        <v>3267.739</v>
      </c>
      <c r="BY81" s="18">
        <v>3108.5259999999998</v>
      </c>
      <c r="BZ81" s="18">
        <v>2948.2330000000002</v>
      </c>
      <c r="CA81" s="18">
        <v>2793.0160000000001</v>
      </c>
      <c r="CB81" s="18">
        <v>2638.9070000000002</v>
      </c>
      <c r="CC81" s="18">
        <v>2479.2849999999999</v>
      </c>
      <c r="CD81" s="18">
        <v>2319.6799999999998</v>
      </c>
      <c r="CE81" s="18">
        <v>2145.0770000000002</v>
      </c>
      <c r="CF81" s="18">
        <v>1948.7049999999999</v>
      </c>
      <c r="CG81" s="18">
        <v>1740.9190000000001</v>
      </c>
      <c r="CH81" s="18">
        <v>1538.326</v>
      </c>
      <c r="CI81" s="18">
        <v>1336.991</v>
      </c>
      <c r="CJ81" s="18">
        <v>1157.077</v>
      </c>
      <c r="CK81" s="18">
        <v>1010.122</v>
      </c>
      <c r="CL81" s="18">
        <v>887.58</v>
      </c>
      <c r="CM81" s="18">
        <v>761.36400000000003</v>
      </c>
      <c r="CN81" s="18">
        <v>659.60900000000004</v>
      </c>
      <c r="CO81" s="18">
        <v>573.50900000000001</v>
      </c>
      <c r="CP81" s="18">
        <v>475.53</v>
      </c>
      <c r="CQ81" s="18">
        <v>365.9</v>
      </c>
      <c r="CR81" s="18">
        <v>289.21699999999998</v>
      </c>
      <c r="CS81" s="18">
        <v>250.80799999999999</v>
      </c>
      <c r="CT81" s="18">
        <v>211.49199999999999</v>
      </c>
      <c r="CU81" s="18">
        <v>165.72200000000001</v>
      </c>
      <c r="CV81" s="18">
        <v>113.497</v>
      </c>
      <c r="CW81" s="18">
        <v>75.096999999999994</v>
      </c>
      <c r="CX81" s="18">
        <v>157.19399999999999</v>
      </c>
      <c r="CY81" s="3">
        <f t="shared" ref="CY81:CY144" si="172">SUM(B81:CX81)</f>
        <v>347795.04100000014</v>
      </c>
      <c r="CZ81" s="21">
        <f t="shared" si="88"/>
        <v>274589.61700000009</v>
      </c>
      <c r="DA81">
        <f t="shared" si="89"/>
        <v>1.5466105551980865E-2</v>
      </c>
      <c r="DB81">
        <f t="shared" si="90"/>
        <v>1.5783510124492431E-2</v>
      </c>
      <c r="DC81">
        <f t="shared" si="91"/>
        <v>1.6123726921546341E-2</v>
      </c>
      <c r="DD81">
        <f t="shared" si="92"/>
        <v>1.6369766814598813E-2</v>
      </c>
      <c r="DE81">
        <f t="shared" si="93"/>
        <v>1.6461514639135096E-2</v>
      </c>
      <c r="DF81">
        <f t="shared" si="94"/>
        <v>1.6454551520788195E-2</v>
      </c>
      <c r="DG81">
        <f t="shared" si="95"/>
        <v>1.6465451423095866E-2</v>
      </c>
      <c r="DH81">
        <f t="shared" si="96"/>
        <v>1.6471966600252037E-2</v>
      </c>
      <c r="DI81">
        <f t="shared" si="97"/>
        <v>1.650232098907075E-2</v>
      </c>
      <c r="DJ81">
        <f t="shared" si="98"/>
        <v>1.6582651775940961E-2</v>
      </c>
      <c r="DK81">
        <f t="shared" si="99"/>
        <v>1.6697015167911462E-2</v>
      </c>
      <c r="DL81">
        <f t="shared" si="100"/>
        <v>1.6787688661949657E-2</v>
      </c>
      <c r="DM81">
        <f t="shared" si="101"/>
        <v>1.6847425079441362E-2</v>
      </c>
      <c r="DN81">
        <f t="shared" si="102"/>
        <v>1.6968249021593555E-2</v>
      </c>
      <c r="DO81">
        <f t="shared" si="103"/>
        <v>1.7184134824733736E-2</v>
      </c>
      <c r="DP81">
        <f t="shared" si="104"/>
        <v>1.7446333376837039E-2</v>
      </c>
      <c r="DQ81">
        <f t="shared" si="105"/>
        <v>1.7681943159562362E-2</v>
      </c>
      <c r="DR81">
        <f t="shared" si="106"/>
        <v>1.7917316225398276E-2</v>
      </c>
      <c r="DS81">
        <f t="shared" si="107"/>
        <v>1.8026009337417877E-2</v>
      </c>
      <c r="DT81">
        <f t="shared" si="108"/>
        <v>1.7941454064521307E-2</v>
      </c>
      <c r="DU81">
        <f t="shared" si="109"/>
        <v>1.7724373751539187E-2</v>
      </c>
      <c r="DV81">
        <f t="shared" si="110"/>
        <v>1.7506189973672596E-2</v>
      </c>
      <c r="DW81">
        <f t="shared" si="111"/>
        <v>1.7265536300303731E-2</v>
      </c>
      <c r="DX81">
        <f t="shared" si="112"/>
        <v>1.7015319264602778E-2</v>
      </c>
      <c r="DY81">
        <f t="shared" si="113"/>
        <v>1.6776777834247095E-2</v>
      </c>
      <c r="DZ81">
        <f t="shared" si="114"/>
        <v>1.6542570143866724E-2</v>
      </c>
      <c r="EA81">
        <f t="shared" si="115"/>
        <v>1.6289283072200064E-2</v>
      </c>
      <c r="EB81">
        <f t="shared" si="116"/>
        <v>1.6027750969185402E-2</v>
      </c>
      <c r="EC81">
        <f t="shared" si="117"/>
        <v>1.5762595276863651E-2</v>
      </c>
      <c r="ED81">
        <f t="shared" si="118"/>
        <v>1.549584083508882E-2</v>
      </c>
      <c r="EE81">
        <f t="shared" si="119"/>
        <v>1.5234691120895509E-2</v>
      </c>
      <c r="EF81">
        <f t="shared" si="120"/>
        <v>1.4982219812047734E-2</v>
      </c>
      <c r="EG81">
        <f t="shared" si="121"/>
        <v>1.4735269469420611E-2</v>
      </c>
      <c r="EH81">
        <f t="shared" si="122"/>
        <v>1.4534205785355674E-2</v>
      </c>
      <c r="EI81">
        <f t="shared" si="123"/>
        <v>1.4398672619875496E-2</v>
      </c>
      <c r="EJ81">
        <f t="shared" si="124"/>
        <v>1.431204152194873E-2</v>
      </c>
      <c r="EK81">
        <f t="shared" si="125"/>
        <v>1.423595707189467E-2</v>
      </c>
      <c r="EL81">
        <f t="shared" si="126"/>
        <v>1.4175583339700709E-2</v>
      </c>
      <c r="EM81">
        <f t="shared" si="127"/>
        <v>1.4135887738246122E-2</v>
      </c>
      <c r="EN81">
        <f t="shared" si="128"/>
        <v>1.4114685188551754E-2</v>
      </c>
      <c r="EO81">
        <f t="shared" si="129"/>
        <v>1.4109950850763591E-2</v>
      </c>
      <c r="EP81">
        <f t="shared" si="130"/>
        <v>1.4109339028649429E-2</v>
      </c>
      <c r="EQ81">
        <f t="shared" si="131"/>
        <v>1.4100278234482547E-2</v>
      </c>
      <c r="ER81">
        <f t="shared" si="132"/>
        <v>1.4132857762061697E-2</v>
      </c>
      <c r="ES81">
        <f t="shared" si="133"/>
        <v>1.4225869290607585E-2</v>
      </c>
      <c r="ET81">
        <f t="shared" si="134"/>
        <v>1.4345906604327281E-2</v>
      </c>
      <c r="EU81">
        <f t="shared" si="135"/>
        <v>1.444030565802493E-2</v>
      </c>
      <c r="EV81">
        <f t="shared" si="136"/>
        <v>1.4519052262635257E-2</v>
      </c>
      <c r="EW81">
        <f t="shared" si="137"/>
        <v>1.4519725995320495E-2</v>
      </c>
      <c r="EX81">
        <f t="shared" si="138"/>
        <v>1.4405675798003675E-2</v>
      </c>
      <c r="EY81">
        <f t="shared" si="139"/>
        <v>1.4200573359625606E-2</v>
      </c>
      <c r="EZ81">
        <f t="shared" si="140"/>
        <v>1.3972407412622593E-2</v>
      </c>
      <c r="FA81">
        <f t="shared" si="141"/>
        <v>1.3716775022851643E-2</v>
      </c>
      <c r="FB81">
        <f t="shared" si="142"/>
        <v>1.3380524144144892E-2</v>
      </c>
      <c r="FC81">
        <f t="shared" si="143"/>
        <v>1.2946935280513534E-2</v>
      </c>
      <c r="FD81">
        <f t="shared" si="144"/>
        <v>1.2439938688577576E-2</v>
      </c>
      <c r="FE81">
        <f t="shared" si="145"/>
        <v>1.1900446330423335E-2</v>
      </c>
      <c r="FF81">
        <f t="shared" si="146"/>
        <v>1.132062469791055E-2</v>
      </c>
      <c r="FG81">
        <f t="shared" si="147"/>
        <v>1.0736869923235295E-2</v>
      </c>
      <c r="FH81">
        <f t="shared" si="148"/>
        <v>1.0171600916723662E-2</v>
      </c>
      <c r="FI81">
        <f t="shared" si="149"/>
        <v>9.6103670227268619E-3</v>
      </c>
      <c r="FJ81">
        <f t="shared" si="150"/>
        <v>9.0290558947099565E-3</v>
      </c>
      <c r="FK81">
        <f t="shared" si="151"/>
        <v>8.4478066772641271E-3</v>
      </c>
      <c r="FL81">
        <f t="shared" si="152"/>
        <v>7.8119377689361046E-3</v>
      </c>
      <c r="FM81">
        <f t="shared" si="153"/>
        <v>7.0967905534461608E-3</v>
      </c>
      <c r="FN81">
        <f t="shared" si="154"/>
        <v>6.3400758521761566E-3</v>
      </c>
      <c r="FO81">
        <f t="shared" si="155"/>
        <v>5.6022730094707094E-3</v>
      </c>
      <c r="FP81">
        <f t="shared" si="156"/>
        <v>4.8690515490248838E-3</v>
      </c>
      <c r="FQ81">
        <f t="shared" si="157"/>
        <v>4.2138410499330701E-3</v>
      </c>
      <c r="FR81">
        <f t="shared" si="158"/>
        <v>3.6786605809643546E-3</v>
      </c>
      <c r="FS81">
        <f t="shared" si="159"/>
        <v>3.2323873338590214E-3</v>
      </c>
      <c r="FT81">
        <f t="shared" si="160"/>
        <v>2.772734119804682E-3</v>
      </c>
      <c r="FU81">
        <f t="shared" si="161"/>
        <v>2.4021629339320569E-3</v>
      </c>
      <c r="FV81">
        <f t="shared" si="162"/>
        <v>2.0886041004237964E-3</v>
      </c>
      <c r="FW81">
        <f t="shared" si="163"/>
        <v>1.7317843449266323E-3</v>
      </c>
      <c r="FX81">
        <f t="shared" si="164"/>
        <v>1.3325339974526416E-3</v>
      </c>
      <c r="FY81">
        <f t="shared" si="165"/>
        <v>1.0532699785221664E-3</v>
      </c>
      <c r="FZ81">
        <f t="shared" si="166"/>
        <v>9.1339214767177418E-4</v>
      </c>
      <c r="GA81">
        <f t="shared" si="167"/>
        <v>7.7021120576456438E-4</v>
      </c>
      <c r="GB81">
        <f t="shared" si="168"/>
        <v>6.0352609763828012E-4</v>
      </c>
      <c r="GC81">
        <f t="shared" si="169"/>
        <v>4.1333318149462282E-4</v>
      </c>
      <c r="GD81">
        <f t="shared" si="170"/>
        <v>2.7348812682891782E-4</v>
      </c>
      <c r="GE81">
        <f t="shared" si="171"/>
        <v>5.7246884174793808E-4</v>
      </c>
    </row>
    <row r="82" spans="1:187">
      <c r="A82" s="15">
        <v>2030</v>
      </c>
      <c r="B82" s="18">
        <v>4126.4880000000003</v>
      </c>
      <c r="C82" s="18">
        <v>4159.7640000000001</v>
      </c>
      <c r="D82" s="18">
        <v>4176.07</v>
      </c>
      <c r="E82" s="18">
        <v>4177.9359999999997</v>
      </c>
      <c r="F82" s="18">
        <v>4167.8959999999997</v>
      </c>
      <c r="G82" s="18">
        <v>4148.482</v>
      </c>
      <c r="H82" s="18">
        <v>4122.2259999999997</v>
      </c>
      <c r="I82" s="18">
        <v>4091.66</v>
      </c>
      <c r="J82" s="18">
        <v>4059.317</v>
      </c>
      <c r="K82" s="18">
        <v>4027.7260000000001</v>
      </c>
      <c r="L82" s="18">
        <v>3996.3780000000002</v>
      </c>
      <c r="M82" s="18">
        <v>3964.7579999999998</v>
      </c>
      <c r="N82" s="18">
        <v>3950.623</v>
      </c>
      <c r="O82" s="18">
        <v>3962.5990000000002</v>
      </c>
      <c r="P82" s="18">
        <v>3994.0790000000002</v>
      </c>
      <c r="Q82" s="18">
        <v>4025.8989999999999</v>
      </c>
      <c r="R82" s="18">
        <v>4057.1680000000001</v>
      </c>
      <c r="S82" s="18">
        <v>4107.5420000000004</v>
      </c>
      <c r="T82" s="18">
        <v>4183.3620000000001</v>
      </c>
      <c r="U82" s="18">
        <v>4273.835</v>
      </c>
      <c r="V82" s="18">
        <v>4364.4930000000004</v>
      </c>
      <c r="W82" s="18">
        <v>4461.4160000000002</v>
      </c>
      <c r="X82" s="18">
        <v>4531.12</v>
      </c>
      <c r="Y82" s="18">
        <v>4556.4769999999999</v>
      </c>
      <c r="Z82" s="18">
        <v>4553.3329999999996</v>
      </c>
      <c r="AA82" s="18">
        <v>4554.9629999999997</v>
      </c>
      <c r="AB82" s="18">
        <v>4555.08</v>
      </c>
      <c r="AC82" s="18">
        <v>4561.4979999999996</v>
      </c>
      <c r="AD82" s="18">
        <v>4581.576</v>
      </c>
      <c r="AE82" s="18">
        <v>4610.915</v>
      </c>
      <c r="AF82" s="18">
        <v>4633.4790000000003</v>
      </c>
      <c r="AG82" s="18">
        <v>4647.3339999999998</v>
      </c>
      <c r="AH82" s="18">
        <v>4678.08</v>
      </c>
      <c r="AI82" s="18">
        <v>4735.2039999999997</v>
      </c>
      <c r="AJ82" s="18">
        <v>4805.2389999999996</v>
      </c>
      <c r="AK82" s="18">
        <v>4867.9219999999996</v>
      </c>
      <c r="AL82" s="18">
        <v>4930.5219999999999</v>
      </c>
      <c r="AM82" s="18">
        <v>4958.5219999999999</v>
      </c>
      <c r="AN82" s="18">
        <v>4933.7139999999999</v>
      </c>
      <c r="AO82" s="18">
        <v>4872.7039999999997</v>
      </c>
      <c r="AP82" s="18">
        <v>4811.4210000000003</v>
      </c>
      <c r="AQ82" s="18">
        <v>4744.0140000000001</v>
      </c>
      <c r="AR82" s="18">
        <v>4674.0379999999996</v>
      </c>
      <c r="AS82" s="18">
        <v>4607.3090000000002</v>
      </c>
      <c r="AT82" s="18">
        <v>4541.8019999999997</v>
      </c>
      <c r="AU82" s="18">
        <v>4471.0749999999998</v>
      </c>
      <c r="AV82" s="18">
        <v>4398.0910000000003</v>
      </c>
      <c r="AW82" s="18">
        <v>4324.1030000000001</v>
      </c>
      <c r="AX82" s="18">
        <v>4249.6530000000002</v>
      </c>
      <c r="AY82" s="18">
        <v>4176.7089999999998</v>
      </c>
      <c r="AZ82" s="18">
        <v>4106.1080000000002</v>
      </c>
      <c r="BA82" s="18">
        <v>4036.98</v>
      </c>
      <c r="BB82" s="18">
        <v>3980.35</v>
      </c>
      <c r="BC82" s="18">
        <v>3941.58</v>
      </c>
      <c r="BD82" s="18">
        <v>3916.1179999999999</v>
      </c>
      <c r="BE82" s="18">
        <v>3893.47</v>
      </c>
      <c r="BF82" s="18">
        <v>3875.038</v>
      </c>
      <c r="BG82" s="18">
        <v>3862.19</v>
      </c>
      <c r="BH82" s="18">
        <v>3854.3229999999999</v>
      </c>
      <c r="BI82" s="18">
        <v>3850.8719999999998</v>
      </c>
      <c r="BJ82" s="18">
        <v>3848.4470000000001</v>
      </c>
      <c r="BK82" s="18">
        <v>3843.6190000000001</v>
      </c>
      <c r="BL82" s="18">
        <v>3850.0129999999999</v>
      </c>
      <c r="BM82" s="18">
        <v>3872.7310000000002</v>
      </c>
      <c r="BN82" s="18">
        <v>3902.6680000000001</v>
      </c>
      <c r="BO82" s="18">
        <v>3925.5010000000002</v>
      </c>
      <c r="BP82" s="18">
        <v>3943.953</v>
      </c>
      <c r="BQ82" s="18">
        <v>3940.9140000000002</v>
      </c>
      <c r="BR82" s="18">
        <v>3906.346</v>
      </c>
      <c r="BS82" s="18">
        <v>3846.75</v>
      </c>
      <c r="BT82" s="18">
        <v>3780.7649999999999</v>
      </c>
      <c r="BU82" s="18">
        <v>3707.1950000000002</v>
      </c>
      <c r="BV82" s="18">
        <v>3611.5</v>
      </c>
      <c r="BW82" s="18">
        <v>3489.114</v>
      </c>
      <c r="BX82" s="18">
        <v>3346.5949999999998</v>
      </c>
      <c r="BY82" s="18">
        <v>3195.2829999999999</v>
      </c>
      <c r="BZ82" s="18">
        <v>3033.1709999999998</v>
      </c>
      <c r="CA82" s="18">
        <v>2869.5909999999999</v>
      </c>
      <c r="CB82" s="18">
        <v>2710.43</v>
      </c>
      <c r="CC82" s="18">
        <v>2552.1289999999999</v>
      </c>
      <c r="CD82" s="18">
        <v>2388.692</v>
      </c>
      <c r="CE82" s="18">
        <v>2225.4589999999998</v>
      </c>
      <c r="CF82" s="18">
        <v>2048.3850000000002</v>
      </c>
      <c r="CG82" s="18">
        <v>1851.2270000000001</v>
      </c>
      <c r="CH82" s="18">
        <v>1643.8979999999999</v>
      </c>
      <c r="CI82" s="18">
        <v>1442.0609999999999</v>
      </c>
      <c r="CJ82" s="18">
        <v>1242.001</v>
      </c>
      <c r="CK82" s="18">
        <v>1063.624</v>
      </c>
      <c r="CL82" s="18">
        <v>918.25599999999997</v>
      </c>
      <c r="CM82" s="18">
        <v>797.53200000000004</v>
      </c>
      <c r="CN82" s="18">
        <v>671.77099999999996</v>
      </c>
      <c r="CO82" s="18">
        <v>575.05700000000002</v>
      </c>
      <c r="CP82" s="18">
        <v>496.185</v>
      </c>
      <c r="CQ82" s="18">
        <v>401.197</v>
      </c>
      <c r="CR82" s="18">
        <v>290.09300000000002</v>
      </c>
      <c r="CS82" s="18">
        <v>219.815</v>
      </c>
      <c r="CT82" s="18">
        <v>191.358</v>
      </c>
      <c r="CU82" s="18">
        <v>157.983</v>
      </c>
      <c r="CV82" s="18">
        <v>119.68899999999999</v>
      </c>
      <c r="CW82" s="18">
        <v>76.477999999999994</v>
      </c>
      <c r="CX82" s="18">
        <v>161.75700000000001</v>
      </c>
      <c r="CY82" s="3">
        <f t="shared" si="172"/>
        <v>349641.87599999987</v>
      </c>
      <c r="CZ82" s="21">
        <f t="shared" si="88"/>
        <v>276325.26499999996</v>
      </c>
      <c r="DA82">
        <f t="shared" si="89"/>
        <v>1.5139267124198726E-2</v>
      </c>
      <c r="DB82">
        <f t="shared" si="90"/>
        <v>1.5466681991601458E-2</v>
      </c>
      <c r="DC82">
        <f t="shared" si="91"/>
        <v>1.5794766359854939E-2</v>
      </c>
      <c r="DD82">
        <f t="shared" si="92"/>
        <v>1.6145523283945827E-2</v>
      </c>
      <c r="DE82">
        <f t="shared" si="93"/>
        <v>1.6397776728812694E-2</v>
      </c>
      <c r="DF82">
        <f t="shared" si="94"/>
        <v>1.6489541772447051E-2</v>
      </c>
      <c r="DG82">
        <f t="shared" si="95"/>
        <v>1.6478163876907891E-2</v>
      </c>
      <c r="DH82">
        <f t="shared" si="96"/>
        <v>1.6484062722241486E-2</v>
      </c>
      <c r="DI82">
        <f t="shared" si="97"/>
        <v>1.6484486136293042E-2</v>
      </c>
      <c r="DJ82">
        <f t="shared" si="98"/>
        <v>1.6507712387428635E-2</v>
      </c>
      <c r="DK82">
        <f t="shared" si="99"/>
        <v>1.6580373133813879E-2</v>
      </c>
      <c r="DL82">
        <f t="shared" si="100"/>
        <v>1.6686548730895093E-2</v>
      </c>
      <c r="DM82">
        <f t="shared" si="101"/>
        <v>1.6768206121144952E-2</v>
      </c>
      <c r="DN82">
        <f t="shared" si="102"/>
        <v>1.6818346306480519E-2</v>
      </c>
      <c r="DO82">
        <f t="shared" si="103"/>
        <v>1.6929613728950917E-2</v>
      </c>
      <c r="DP82">
        <f t="shared" si="104"/>
        <v>1.7136341115967086E-2</v>
      </c>
      <c r="DQ82">
        <f t="shared" si="105"/>
        <v>1.7389792424518258E-2</v>
      </c>
      <c r="DR82">
        <f t="shared" si="106"/>
        <v>1.7616637407368452E-2</v>
      </c>
      <c r="DS82">
        <f t="shared" si="107"/>
        <v>1.7843182019566691E-2</v>
      </c>
      <c r="DT82">
        <f t="shared" si="108"/>
        <v>1.7944511878057914E-2</v>
      </c>
      <c r="DU82">
        <f t="shared" si="109"/>
        <v>1.785473362343469E-2</v>
      </c>
      <c r="DV82">
        <f t="shared" si="110"/>
        <v>1.7633943099629346E-2</v>
      </c>
      <c r="DW82">
        <f t="shared" si="111"/>
        <v>1.7412164609703715E-2</v>
      </c>
      <c r="DX82">
        <f t="shared" si="112"/>
        <v>1.7168223832156645E-2</v>
      </c>
      <c r="DY82">
        <f t="shared" si="113"/>
        <v>1.6914986040093005E-2</v>
      </c>
      <c r="DZ82">
        <f t="shared" si="114"/>
        <v>1.6673498892690833E-2</v>
      </c>
      <c r="EA82">
        <f t="shared" si="115"/>
        <v>1.6436434069827095E-2</v>
      </c>
      <c r="EB82">
        <f t="shared" si="116"/>
        <v>1.618047846620178E-2</v>
      </c>
      <c r="EC82">
        <f t="shared" si="117"/>
        <v>1.591635495219737E-2</v>
      </c>
      <c r="ED82">
        <f t="shared" si="118"/>
        <v>1.5648598038981346E-2</v>
      </c>
      <c r="EE82">
        <f t="shared" si="119"/>
        <v>1.5379169183100217E-2</v>
      </c>
      <c r="EF82">
        <f t="shared" si="120"/>
        <v>1.5115190426036507E-2</v>
      </c>
      <c r="EG82">
        <f t="shared" si="121"/>
        <v>1.4859690806774404E-2</v>
      </c>
      <c r="EH82">
        <f t="shared" si="122"/>
        <v>1.4609521861853641E-2</v>
      </c>
      <c r="EI82">
        <f t="shared" si="123"/>
        <v>1.4404582223055139E-2</v>
      </c>
      <c r="EJ82">
        <f t="shared" si="124"/>
        <v>1.426427655827997E-2</v>
      </c>
      <c r="EK82">
        <f t="shared" si="125"/>
        <v>1.4172131527676272E-2</v>
      </c>
      <c r="EL82">
        <f t="shared" si="126"/>
        <v>1.4090170147850941E-2</v>
      </c>
      <c r="EM82">
        <f t="shared" si="127"/>
        <v>1.4023466149575576E-2</v>
      </c>
      <c r="EN82">
        <f t="shared" si="128"/>
        <v>1.3976970220222174E-2</v>
      </c>
      <c r="EO82">
        <f t="shared" si="129"/>
        <v>1.3948500148909658E-2</v>
      </c>
      <c r="EP82">
        <f t="shared" si="130"/>
        <v>1.3936011243850613E-2</v>
      </c>
      <c r="EQ82">
        <f t="shared" si="131"/>
        <v>1.3927235354320571E-2</v>
      </c>
      <c r="ER82">
        <f t="shared" si="132"/>
        <v>1.390976319157787E-2</v>
      </c>
      <c r="ES82">
        <f t="shared" si="133"/>
        <v>1.3932902588549043E-2</v>
      </c>
      <c r="ET82">
        <f t="shared" si="134"/>
        <v>1.4015117293020603E-2</v>
      </c>
      <c r="EU82">
        <f t="shared" si="135"/>
        <v>1.412345700636531E-2</v>
      </c>
      <c r="EV82">
        <f t="shared" si="136"/>
        <v>1.4206087887041386E-2</v>
      </c>
      <c r="EW82">
        <f t="shared" si="137"/>
        <v>1.4272864263787101E-2</v>
      </c>
      <c r="EX82">
        <f t="shared" si="138"/>
        <v>1.4261866355217286E-2</v>
      </c>
      <c r="EY82">
        <f t="shared" si="139"/>
        <v>1.4136767407062835E-2</v>
      </c>
      <c r="EZ82">
        <f t="shared" si="140"/>
        <v>1.3921094041111299E-2</v>
      </c>
      <c r="FA82">
        <f t="shared" si="141"/>
        <v>1.3682299372806177E-2</v>
      </c>
      <c r="FB82">
        <f t="shared" si="142"/>
        <v>1.3416055169620486E-2</v>
      </c>
      <c r="FC82">
        <f t="shared" si="143"/>
        <v>1.306974228360914E-2</v>
      </c>
      <c r="FD82">
        <f t="shared" si="144"/>
        <v>1.2626836709991034E-2</v>
      </c>
      <c r="FE82">
        <f t="shared" si="145"/>
        <v>1.211107134919422E-2</v>
      </c>
      <c r="FF82">
        <f t="shared" si="146"/>
        <v>1.1563484793907645E-2</v>
      </c>
      <c r="FG82">
        <f t="shared" si="147"/>
        <v>1.0976813864631597E-2</v>
      </c>
      <c r="FH82">
        <f t="shared" si="148"/>
        <v>1.0384830355631796E-2</v>
      </c>
      <c r="FI82">
        <f t="shared" si="149"/>
        <v>9.8088388696560211E-3</v>
      </c>
      <c r="FJ82">
        <f t="shared" si="150"/>
        <v>9.2359596579053328E-3</v>
      </c>
      <c r="FK82">
        <f t="shared" si="151"/>
        <v>8.6444936549685408E-3</v>
      </c>
      <c r="FL82">
        <f t="shared" si="152"/>
        <v>8.0537659124293257E-3</v>
      </c>
      <c r="FM82">
        <f t="shared" si="153"/>
        <v>7.4129486494837905E-3</v>
      </c>
      <c r="FN82">
        <f t="shared" si="154"/>
        <v>6.6994489266119055E-3</v>
      </c>
      <c r="FO82">
        <f t="shared" si="155"/>
        <v>5.9491411326430838E-3</v>
      </c>
      <c r="FP82">
        <f t="shared" si="156"/>
        <v>5.2187084666326117E-3</v>
      </c>
      <c r="FQ82">
        <f t="shared" si="157"/>
        <v>4.494706627712816E-3</v>
      </c>
      <c r="FR82">
        <f t="shared" si="158"/>
        <v>3.8491739074239203E-3</v>
      </c>
      <c r="FS82">
        <f t="shared" si="159"/>
        <v>3.3230982335256246E-3</v>
      </c>
      <c r="FT82">
        <f t="shared" si="160"/>
        <v>2.8862073107936768E-3</v>
      </c>
      <c r="FU82">
        <f t="shared" si="161"/>
        <v>2.4310878703038613E-3</v>
      </c>
      <c r="FV82">
        <f t="shared" si="162"/>
        <v>2.081087301228138E-3</v>
      </c>
      <c r="FW82">
        <f t="shared" si="163"/>
        <v>1.7956555655524299E-3</v>
      </c>
      <c r="FX82">
        <f t="shared" si="164"/>
        <v>1.4519012584679873E-3</v>
      </c>
      <c r="FY82">
        <f t="shared" si="165"/>
        <v>1.0498243799748101E-3</v>
      </c>
      <c r="FZ82">
        <f t="shared" si="166"/>
        <v>7.9549367300887246E-4</v>
      </c>
      <c r="GA82">
        <f t="shared" si="167"/>
        <v>6.9250996647013093E-4</v>
      </c>
      <c r="GB82">
        <f t="shared" si="168"/>
        <v>5.7172839407210933E-4</v>
      </c>
      <c r="GC82">
        <f t="shared" si="169"/>
        <v>4.3314533689129011E-4</v>
      </c>
      <c r="GD82">
        <f t="shared" si="170"/>
        <v>2.767680327747085E-4</v>
      </c>
      <c r="GE82">
        <f t="shared" si="171"/>
        <v>5.8538621142731925E-4</v>
      </c>
    </row>
    <row r="83" spans="1:187">
      <c r="A83" s="15">
        <v>2031</v>
      </c>
      <c r="B83" s="18">
        <v>4125.3829999999998</v>
      </c>
      <c r="C83" s="18">
        <v>4144.116</v>
      </c>
      <c r="D83" s="18">
        <v>4169.4750000000004</v>
      </c>
      <c r="E83" s="18">
        <v>4180.3909999999996</v>
      </c>
      <c r="F83" s="18">
        <v>4179.0990000000002</v>
      </c>
      <c r="G83" s="18">
        <v>4167.8389999999999</v>
      </c>
      <c r="H83" s="18">
        <v>4148.9759999999997</v>
      </c>
      <c r="I83" s="18">
        <v>4124.8770000000004</v>
      </c>
      <c r="J83" s="18">
        <v>4097.1409999999996</v>
      </c>
      <c r="K83" s="18">
        <v>4067.75</v>
      </c>
      <c r="L83" s="18">
        <v>4039.326</v>
      </c>
      <c r="M83" s="18">
        <v>4011.8409999999999</v>
      </c>
      <c r="N83" s="18">
        <v>3984.498</v>
      </c>
      <c r="O83" s="18">
        <v>3974.7020000000002</v>
      </c>
      <c r="P83" s="18">
        <v>3990.8850000000002</v>
      </c>
      <c r="Q83" s="18">
        <v>4026.3119999999999</v>
      </c>
      <c r="R83" s="18">
        <v>4061.9940000000001</v>
      </c>
      <c r="S83" s="18">
        <v>4097.1360000000004</v>
      </c>
      <c r="T83" s="18">
        <v>4149.8959999999997</v>
      </c>
      <c r="U83" s="18">
        <v>4225.9210000000003</v>
      </c>
      <c r="V83" s="18">
        <v>4315.0709999999999</v>
      </c>
      <c r="W83" s="18">
        <v>4404.277</v>
      </c>
      <c r="X83" s="18">
        <v>4499.4219999999996</v>
      </c>
      <c r="Y83" s="18">
        <v>4567.0929999999998</v>
      </c>
      <c r="Z83" s="18">
        <v>4590.3680000000004</v>
      </c>
      <c r="AA83" s="18">
        <v>4585.0680000000002</v>
      </c>
      <c r="AB83" s="18">
        <v>4584.2449999999999</v>
      </c>
      <c r="AC83" s="18">
        <v>4581.6620000000003</v>
      </c>
      <c r="AD83" s="18">
        <v>4585.5569999999998</v>
      </c>
      <c r="AE83" s="18">
        <v>4603.4790000000003</v>
      </c>
      <c r="AF83" s="18">
        <v>4630.9120000000003</v>
      </c>
      <c r="AG83" s="18">
        <v>4651.5029999999997</v>
      </c>
      <c r="AH83" s="18">
        <v>4663.3760000000002</v>
      </c>
      <c r="AI83" s="18">
        <v>4692.2510000000002</v>
      </c>
      <c r="AJ83" s="18">
        <v>4747.6369999999997</v>
      </c>
      <c r="AK83" s="18">
        <v>4816.049</v>
      </c>
      <c r="AL83" s="18">
        <v>4877.1509999999998</v>
      </c>
      <c r="AM83" s="18">
        <v>4938.21</v>
      </c>
      <c r="AN83" s="18">
        <v>4964.7619999999997</v>
      </c>
      <c r="AO83" s="18">
        <v>4938.6040000000003</v>
      </c>
      <c r="AP83" s="18">
        <v>4876.3149999999996</v>
      </c>
      <c r="AQ83" s="18">
        <v>4813.7749999999996</v>
      </c>
      <c r="AR83" s="18">
        <v>4745.1360000000004</v>
      </c>
      <c r="AS83" s="18">
        <v>4673.9110000000001</v>
      </c>
      <c r="AT83" s="18">
        <v>4605.8869999999997</v>
      </c>
      <c r="AU83" s="18">
        <v>4539.05</v>
      </c>
      <c r="AV83" s="18">
        <v>4466.9849999999997</v>
      </c>
      <c r="AW83" s="18">
        <v>4392.6480000000001</v>
      </c>
      <c r="AX83" s="18">
        <v>4317.2719999999999</v>
      </c>
      <c r="AY83" s="18">
        <v>4241.3890000000001</v>
      </c>
      <c r="AZ83" s="18">
        <v>4166.9629999999997</v>
      </c>
      <c r="BA83" s="18">
        <v>4094.8310000000001</v>
      </c>
      <c r="BB83" s="18">
        <v>4024.114</v>
      </c>
      <c r="BC83" s="18">
        <v>3965.8490000000002</v>
      </c>
      <c r="BD83" s="18">
        <v>3925.402</v>
      </c>
      <c r="BE83" s="18">
        <v>3898.2049999999999</v>
      </c>
      <c r="BF83" s="18">
        <v>3873.7150000000001</v>
      </c>
      <c r="BG83" s="18">
        <v>3853.3130000000001</v>
      </c>
      <c r="BH83" s="18">
        <v>3838.451</v>
      </c>
      <c r="BI83" s="18">
        <v>3828.5569999999998</v>
      </c>
      <c r="BJ83" s="18">
        <v>3823</v>
      </c>
      <c r="BK83" s="18">
        <v>3818.3119999999999</v>
      </c>
      <c r="BL83" s="18">
        <v>3811.0970000000002</v>
      </c>
      <c r="BM83" s="18">
        <v>3814.7649999999999</v>
      </c>
      <c r="BN83" s="18">
        <v>3834.3069999999998</v>
      </c>
      <c r="BO83" s="18">
        <v>3860.7170000000001</v>
      </c>
      <c r="BP83" s="18">
        <v>3879.913</v>
      </c>
      <c r="BQ83" s="18">
        <v>3894.6219999999998</v>
      </c>
      <c r="BR83" s="18">
        <v>3887.5740000000001</v>
      </c>
      <c r="BS83" s="18">
        <v>3848.7</v>
      </c>
      <c r="BT83" s="18">
        <v>3784.5859999999998</v>
      </c>
      <c r="BU83" s="18">
        <v>3714.058</v>
      </c>
      <c r="BV83" s="18">
        <v>3635.9490000000001</v>
      </c>
      <c r="BW83" s="18">
        <v>3535.6469999999999</v>
      </c>
      <c r="BX83" s="18">
        <v>3408.5970000000002</v>
      </c>
      <c r="BY83" s="18">
        <v>3261.4450000000002</v>
      </c>
      <c r="BZ83" s="18">
        <v>3105.8119999999999</v>
      </c>
      <c r="CA83" s="18">
        <v>2939.88</v>
      </c>
      <c r="CB83" s="18">
        <v>2772.29</v>
      </c>
      <c r="CC83" s="18">
        <v>2608.6959999999999</v>
      </c>
      <c r="CD83" s="18">
        <v>2446.0309999999999</v>
      </c>
      <c r="CE83" s="18">
        <v>2278.8789999999999</v>
      </c>
      <c r="CF83" s="18">
        <v>2112.2869999999998</v>
      </c>
      <c r="CG83" s="18">
        <v>1934.0070000000001</v>
      </c>
      <c r="CH83" s="18">
        <v>1738.694</v>
      </c>
      <c r="CI83" s="18">
        <v>1535.4169999999999</v>
      </c>
      <c r="CJ83" s="18">
        <v>1333.9849999999999</v>
      </c>
      <c r="CK83" s="18">
        <v>1140.992</v>
      </c>
      <c r="CL83" s="18">
        <v>977.30399999999997</v>
      </c>
      <c r="CM83" s="18">
        <v>835.94200000000001</v>
      </c>
      <c r="CN83" s="18">
        <v>710.21400000000006</v>
      </c>
      <c r="CO83" s="18">
        <v>591.89800000000002</v>
      </c>
      <c r="CP83" s="18">
        <v>507.262</v>
      </c>
      <c r="CQ83" s="18">
        <v>435.67200000000003</v>
      </c>
      <c r="CR83" s="18">
        <v>349.95299999999997</v>
      </c>
      <c r="CS83" s="18">
        <v>250.10300000000001</v>
      </c>
      <c r="CT83" s="18">
        <v>196.74600000000001</v>
      </c>
      <c r="CU83" s="18">
        <v>162.12799999999999</v>
      </c>
      <c r="CV83" s="18">
        <v>122.657</v>
      </c>
      <c r="CW83" s="18">
        <v>78.331000000000003</v>
      </c>
      <c r="CX83" s="18">
        <v>165.68600000000001</v>
      </c>
      <c r="CY83" s="3">
        <f t="shared" si="172"/>
        <v>351490.17799999984</v>
      </c>
      <c r="CZ83" s="21">
        <f t="shared" si="88"/>
        <v>277898.43699999998</v>
      </c>
      <c r="DA83">
        <f t="shared" si="89"/>
        <v>1.4933139044607149E-2</v>
      </c>
      <c r="DB83">
        <f t="shared" si="90"/>
        <v>1.5206710212623473E-2</v>
      </c>
      <c r="DC83">
        <f t="shared" si="91"/>
        <v>1.5527510865417355E-2</v>
      </c>
      <c r="DD83">
        <f t="shared" si="92"/>
        <v>1.5848513030679624E-2</v>
      </c>
      <c r="DE83">
        <f t="shared" si="93"/>
        <v>1.6190886312901429E-2</v>
      </c>
      <c r="DF83">
        <f t="shared" si="94"/>
        <v>1.643439613875914E-2</v>
      </c>
      <c r="DG83">
        <f t="shared" si="95"/>
        <v>1.6518149758431355E-2</v>
      </c>
      <c r="DH83">
        <f t="shared" si="96"/>
        <v>1.6499078042673556E-2</v>
      </c>
      <c r="DI83">
        <f t="shared" si="97"/>
        <v>1.6496116529075695E-2</v>
      </c>
      <c r="DJ83">
        <f t="shared" si="98"/>
        <v>1.6486821766471472E-2</v>
      </c>
      <c r="DK83">
        <f t="shared" si="99"/>
        <v>1.6500837678334983E-2</v>
      </c>
      <c r="DL83">
        <f t="shared" si="100"/>
        <v>1.6565328865091822E-2</v>
      </c>
      <c r="DM83">
        <f t="shared" si="101"/>
        <v>1.6664044785541562E-2</v>
      </c>
      <c r="DN83">
        <f t="shared" si="102"/>
        <v>1.6738140200479069E-2</v>
      </c>
      <c r="DO83">
        <f t="shared" si="103"/>
        <v>1.678086444221347E-2</v>
      </c>
      <c r="DP83">
        <f t="shared" si="104"/>
        <v>1.688476930872411E-2</v>
      </c>
      <c r="DQ83">
        <f t="shared" si="105"/>
        <v>1.7084072336830021E-2</v>
      </c>
      <c r="DR83">
        <f t="shared" si="106"/>
        <v>1.7330248604456887E-2</v>
      </c>
      <c r="DS83">
        <f t="shared" si="107"/>
        <v>1.7550120298085736E-2</v>
      </c>
      <c r="DT83">
        <f t="shared" si="108"/>
        <v>1.7769837258926363E-2</v>
      </c>
      <c r="DU83">
        <f t="shared" si="109"/>
        <v>1.7865382956435989E-2</v>
      </c>
      <c r="DV83">
        <f t="shared" si="110"/>
        <v>1.7771255043078926E-2</v>
      </c>
      <c r="DW83">
        <f t="shared" si="111"/>
        <v>1.7547112004807713E-2</v>
      </c>
      <c r="DX83">
        <f t="shared" si="112"/>
        <v>1.7322065758865711E-2</v>
      </c>
      <c r="DY83">
        <f t="shared" si="113"/>
        <v>1.7075072646054505E-2</v>
      </c>
      <c r="DZ83">
        <f t="shared" si="114"/>
        <v>1.6818773975328261E-2</v>
      </c>
      <c r="EA83">
        <f t="shared" si="115"/>
        <v>1.6573993901232341E-2</v>
      </c>
      <c r="EB83">
        <f t="shared" si="116"/>
        <v>1.6333485171778784E-2</v>
      </c>
      <c r="EC83">
        <f t="shared" si="117"/>
        <v>1.6074163814026775E-2</v>
      </c>
      <c r="ED83">
        <f t="shared" si="118"/>
        <v>1.5806666807557469E-2</v>
      </c>
      <c r="EE83">
        <f t="shared" si="119"/>
        <v>1.5535431025112244E-2</v>
      </c>
      <c r="EF83">
        <f t="shared" si="120"/>
        <v>1.5262370835140754E-2</v>
      </c>
      <c r="EG83">
        <f t="shared" si="121"/>
        <v>1.499455356778419E-2</v>
      </c>
      <c r="EH83">
        <f t="shared" si="122"/>
        <v>1.4734991114757514E-2</v>
      </c>
      <c r="EI83">
        <f t="shared" si="123"/>
        <v>1.4480520449994472E-2</v>
      </c>
      <c r="EJ83">
        <f t="shared" si="124"/>
        <v>1.4270857521951447E-2</v>
      </c>
      <c r="EK83">
        <f t="shared" si="125"/>
        <v>1.4125311543223974E-2</v>
      </c>
      <c r="EL83">
        <f t="shared" si="126"/>
        <v>1.4027444853890993E-2</v>
      </c>
      <c r="EM83">
        <f t="shared" si="127"/>
        <v>1.393931913334223E-2</v>
      </c>
      <c r="EN83">
        <f t="shared" si="128"/>
        <v>1.3865903822985519E-2</v>
      </c>
      <c r="EO83">
        <f t="shared" si="129"/>
        <v>1.3812423853251108E-2</v>
      </c>
      <c r="EP83">
        <f t="shared" si="130"/>
        <v>1.377682091821193E-2</v>
      </c>
      <c r="EQ83">
        <f t="shared" si="131"/>
        <v>1.3756824404161727E-2</v>
      </c>
      <c r="ER83">
        <f t="shared" si="132"/>
        <v>1.3739954931808416E-2</v>
      </c>
      <c r="ES83">
        <f t="shared" si="133"/>
        <v>1.3713992209319265E-2</v>
      </c>
      <c r="ET83">
        <f t="shared" si="134"/>
        <v>1.3727191275998434E-2</v>
      </c>
      <c r="EU83">
        <f t="shared" si="135"/>
        <v>1.3797511930590672E-2</v>
      </c>
      <c r="EV83">
        <f t="shared" si="136"/>
        <v>1.3892546650055468E-2</v>
      </c>
      <c r="EW83">
        <f t="shared" si="137"/>
        <v>1.3961622245468047E-2</v>
      </c>
      <c r="EX83">
        <f t="shared" si="138"/>
        <v>1.4014551654351335E-2</v>
      </c>
      <c r="EY83">
        <f t="shared" si="139"/>
        <v>1.3989189870830402E-2</v>
      </c>
      <c r="EZ83">
        <f t="shared" si="140"/>
        <v>1.3849304233402363E-2</v>
      </c>
      <c r="FA83">
        <f t="shared" si="141"/>
        <v>1.3618594047723989E-2</v>
      </c>
      <c r="FB83">
        <f t="shared" si="142"/>
        <v>1.3364803487541746E-2</v>
      </c>
      <c r="FC83">
        <f t="shared" si="143"/>
        <v>1.3083733176951983E-2</v>
      </c>
      <c r="FD83">
        <f t="shared" si="144"/>
        <v>1.2722802755454145E-2</v>
      </c>
      <c r="FE83">
        <f t="shared" si="145"/>
        <v>1.2265621342807339E-2</v>
      </c>
      <c r="FF83">
        <f t="shared" si="146"/>
        <v>1.1736104150884448E-2</v>
      </c>
      <c r="FG83">
        <f t="shared" si="147"/>
        <v>1.1176068615312148E-2</v>
      </c>
      <c r="FH83">
        <f t="shared" si="148"/>
        <v>1.0578972777741821E-2</v>
      </c>
      <c r="FI83">
        <f t="shared" si="149"/>
        <v>9.9759107317325436E-3</v>
      </c>
      <c r="FJ83">
        <f t="shared" si="150"/>
        <v>9.3872280397172582E-3</v>
      </c>
      <c r="FK83">
        <f t="shared" si="151"/>
        <v>8.8018882956149916E-3</v>
      </c>
      <c r="FL83">
        <f t="shared" si="152"/>
        <v>8.2004023649834348E-3</v>
      </c>
      <c r="FM83">
        <f t="shared" si="153"/>
        <v>7.6009315590357205E-3</v>
      </c>
      <c r="FN83">
        <f t="shared" si="154"/>
        <v>6.9594022221866622E-3</v>
      </c>
      <c r="FO83">
        <f t="shared" si="155"/>
        <v>6.2565807090163668E-3</v>
      </c>
      <c r="FP83">
        <f t="shared" si="156"/>
        <v>5.5251012440922795E-3</v>
      </c>
      <c r="FQ83">
        <f t="shared" si="157"/>
        <v>4.8002608953140674E-3</v>
      </c>
      <c r="FR83">
        <f t="shared" si="158"/>
        <v>4.1057877558339775E-3</v>
      </c>
      <c r="FS83">
        <f t="shared" si="159"/>
        <v>3.5167668107467624E-3</v>
      </c>
      <c r="FT83">
        <f t="shared" si="160"/>
        <v>3.0080845686800322E-3</v>
      </c>
      <c r="FU83">
        <f t="shared" si="161"/>
        <v>2.5556602896618669E-3</v>
      </c>
      <c r="FV83">
        <f t="shared" si="162"/>
        <v>2.1299076252091339E-3</v>
      </c>
      <c r="FW83">
        <f t="shared" si="163"/>
        <v>1.8253503167417961E-3</v>
      </c>
      <c r="FX83">
        <f t="shared" si="164"/>
        <v>1.567738216534122E-3</v>
      </c>
      <c r="FY83">
        <f t="shared" si="165"/>
        <v>1.2592838008657098E-3</v>
      </c>
      <c r="FZ83">
        <f t="shared" si="166"/>
        <v>8.9997987286268911E-4</v>
      </c>
      <c r="GA83">
        <f t="shared" si="167"/>
        <v>7.0797807329877152E-4</v>
      </c>
      <c r="GB83">
        <f t="shared" si="168"/>
        <v>5.8340738346793946E-4</v>
      </c>
      <c r="GC83">
        <f t="shared" si="169"/>
        <v>4.4137347918944936E-4</v>
      </c>
      <c r="GD83">
        <f t="shared" si="170"/>
        <v>2.8186916358943038E-4</v>
      </c>
      <c r="GE83">
        <f t="shared" si="171"/>
        <v>5.9621062208421141E-4</v>
      </c>
    </row>
    <row r="84" spans="1:187">
      <c r="A84" s="15">
        <v>2032</v>
      </c>
      <c r="B84" s="18">
        <v>4127.0379999999996</v>
      </c>
      <c r="C84" s="18">
        <v>4168.384</v>
      </c>
      <c r="D84" s="18">
        <v>4160.9660000000003</v>
      </c>
      <c r="E84" s="18">
        <v>4178.3980000000001</v>
      </c>
      <c r="F84" s="18">
        <v>4183.9179999999997</v>
      </c>
      <c r="G84" s="18">
        <v>4179.4650000000001</v>
      </c>
      <c r="H84" s="18">
        <v>4166.9870000000001</v>
      </c>
      <c r="I84" s="18">
        <v>4148.6790000000001</v>
      </c>
      <c r="J84" s="18">
        <v>4126.7430000000004</v>
      </c>
      <c r="K84" s="18">
        <v>4101.8429999999998</v>
      </c>
      <c r="L84" s="18">
        <v>4075.4140000000002</v>
      </c>
      <c r="M84" s="18">
        <v>4050.1640000000002</v>
      </c>
      <c r="N84" s="18">
        <v>4026.549</v>
      </c>
      <c r="O84" s="18">
        <v>4003.491</v>
      </c>
      <c r="P84" s="18">
        <v>3998.0369999999998</v>
      </c>
      <c r="Q84" s="18">
        <v>4018.4279999999999</v>
      </c>
      <c r="R84" s="18">
        <v>4057.8</v>
      </c>
      <c r="S84" s="18">
        <v>4097.3379999999997</v>
      </c>
      <c r="T84" s="18">
        <v>4136.3490000000002</v>
      </c>
      <c r="U84" s="18">
        <v>4191.4849999999997</v>
      </c>
      <c r="V84" s="18">
        <v>4267.7030000000004</v>
      </c>
      <c r="W84" s="18">
        <v>4355.5110000000004</v>
      </c>
      <c r="X84" s="18">
        <v>4443.2470000000003</v>
      </c>
      <c r="Y84" s="18">
        <v>4536.5940000000001</v>
      </c>
      <c r="Z84" s="18">
        <v>4602.2169999999996</v>
      </c>
      <c r="AA84" s="18">
        <v>4623.4040000000005</v>
      </c>
      <c r="AB84" s="18">
        <v>4615.9470000000001</v>
      </c>
      <c r="AC84" s="18">
        <v>4612.67</v>
      </c>
      <c r="AD84" s="18">
        <v>4607.3879999999999</v>
      </c>
      <c r="AE84" s="18">
        <v>4608.7569999999996</v>
      </c>
      <c r="AF84" s="18">
        <v>4624.518</v>
      </c>
      <c r="AG84" s="18">
        <v>4650.0370000000003</v>
      </c>
      <c r="AH84" s="18">
        <v>4668.6490000000003</v>
      </c>
      <c r="AI84" s="18">
        <v>4678.5360000000001</v>
      </c>
      <c r="AJ84" s="18">
        <v>4705.5320000000002</v>
      </c>
      <c r="AK84" s="18">
        <v>4759.1710000000003</v>
      </c>
      <c r="AL84" s="18">
        <v>4825.9430000000002</v>
      </c>
      <c r="AM84" s="18">
        <v>4885.4530000000004</v>
      </c>
      <c r="AN84" s="18">
        <v>4944.9610000000002</v>
      </c>
      <c r="AO84" s="18">
        <v>4970.0559999999996</v>
      </c>
      <c r="AP84" s="18">
        <v>4942.5540000000001</v>
      </c>
      <c r="AQ84" s="18">
        <v>4878.9960000000001</v>
      </c>
      <c r="AR84" s="18">
        <v>4815.2110000000002</v>
      </c>
      <c r="AS84" s="18">
        <v>4745.3530000000001</v>
      </c>
      <c r="AT84" s="18">
        <v>4672.8900000000003</v>
      </c>
      <c r="AU84" s="18">
        <v>4603.5839999999998</v>
      </c>
      <c r="AV84" s="18">
        <v>4535.4250000000002</v>
      </c>
      <c r="AW84" s="18">
        <v>4462.0379999999996</v>
      </c>
      <c r="AX84" s="18">
        <v>4386.3609999999999</v>
      </c>
      <c r="AY84" s="18">
        <v>4309.6080000000002</v>
      </c>
      <c r="AZ84" s="18">
        <v>4232.3050000000003</v>
      </c>
      <c r="BA84" s="18">
        <v>4156.4110000000001</v>
      </c>
      <c r="BB84" s="18">
        <v>4082.761</v>
      </c>
      <c r="BC84" s="18">
        <v>4010.4659999999999</v>
      </c>
      <c r="BD84" s="18">
        <v>3950.5749999999998</v>
      </c>
      <c r="BE84" s="18">
        <v>3908.4589999999998</v>
      </c>
      <c r="BF84" s="18">
        <v>3879.529</v>
      </c>
      <c r="BG84" s="18">
        <v>3853.2020000000002</v>
      </c>
      <c r="BH84" s="18">
        <v>3830.8310000000001</v>
      </c>
      <c r="BI84" s="18">
        <v>3813.9560000000001</v>
      </c>
      <c r="BJ84" s="18">
        <v>3802.0360000000001</v>
      </c>
      <c r="BK84" s="18">
        <v>3794.373</v>
      </c>
      <c r="BL84" s="18">
        <v>3787.422</v>
      </c>
      <c r="BM84" s="18">
        <v>3777.8220000000001</v>
      </c>
      <c r="BN84" s="18">
        <v>3778.76</v>
      </c>
      <c r="BO84" s="18">
        <v>3795.1210000000001</v>
      </c>
      <c r="BP84" s="18">
        <v>3817.9940000000001</v>
      </c>
      <c r="BQ84" s="18">
        <v>3833.547</v>
      </c>
      <c r="BR84" s="18">
        <v>3844.5050000000001</v>
      </c>
      <c r="BS84" s="18">
        <v>3833.4479999999999</v>
      </c>
      <c r="BT84" s="18">
        <v>3790.27</v>
      </c>
      <c r="BU84" s="18">
        <v>3721.6480000000001</v>
      </c>
      <c r="BV84" s="18">
        <v>3646.5859999999998</v>
      </c>
      <c r="BW84" s="18">
        <v>3563.9479999999999</v>
      </c>
      <c r="BX84" s="18">
        <v>3459.056</v>
      </c>
      <c r="BY84" s="18">
        <v>3327.3629999999998</v>
      </c>
      <c r="BZ84" s="18">
        <v>3175.6010000000001</v>
      </c>
      <c r="CA84" s="18">
        <v>3015.6750000000002</v>
      </c>
      <c r="CB84" s="18">
        <v>2845.951</v>
      </c>
      <c r="CC84" s="18">
        <v>2674.3809999999999</v>
      </c>
      <c r="CD84" s="18">
        <v>2506.3809999999999</v>
      </c>
      <c r="CE84" s="18">
        <v>2339.3789999999999</v>
      </c>
      <c r="CF84" s="18">
        <v>2168.54</v>
      </c>
      <c r="CG84" s="18">
        <v>1998.62</v>
      </c>
      <c r="CH84" s="18">
        <v>1819.1679999999999</v>
      </c>
      <c r="CI84" s="18">
        <v>1625.739</v>
      </c>
      <c r="CJ84" s="18">
        <v>1426.557</v>
      </c>
      <c r="CK84" s="18">
        <v>1225.567</v>
      </c>
      <c r="CL84" s="18">
        <v>1039.6859999999999</v>
      </c>
      <c r="CM84" s="18">
        <v>890.72799999999995</v>
      </c>
      <c r="CN84" s="18">
        <v>753.404</v>
      </c>
      <c r="CO84" s="18">
        <v>622.69200000000001</v>
      </c>
      <c r="CP84" s="18">
        <v>511.851</v>
      </c>
      <c r="CQ84" s="18">
        <v>439.315</v>
      </c>
      <c r="CR84" s="18">
        <v>375.029</v>
      </c>
      <c r="CS84" s="18">
        <v>298.601</v>
      </c>
      <c r="CT84" s="18">
        <v>210.03200000000001</v>
      </c>
      <c r="CU84" s="18">
        <v>167.98599999999999</v>
      </c>
      <c r="CV84" s="18">
        <v>126.806</v>
      </c>
      <c r="CW84" s="18">
        <v>80.58</v>
      </c>
      <c r="CX84" s="18">
        <v>168.999</v>
      </c>
      <c r="CY84" s="3">
        <f t="shared" si="172"/>
        <v>353335.45200000005</v>
      </c>
      <c r="CZ84" s="21">
        <f t="shared" si="88"/>
        <v>279465.80999999988</v>
      </c>
      <c r="DA84">
        <f t="shared" si="89"/>
        <v>1.4800912498026151E-2</v>
      </c>
      <c r="DB84">
        <f t="shared" si="90"/>
        <v>1.4998203179129503E-2</v>
      </c>
      <c r="DC84">
        <f t="shared" si="91"/>
        <v>1.5270930637275458E-2</v>
      </c>
      <c r="DD84">
        <f t="shared" si="92"/>
        <v>1.5585130073693101E-2</v>
      </c>
      <c r="DE84">
        <f t="shared" si="93"/>
        <v>1.5899071875733216E-2</v>
      </c>
      <c r="DF84">
        <f t="shared" si="94"/>
        <v>1.6233091267944377E-2</v>
      </c>
      <c r="DG84">
        <f t="shared" si="95"/>
        <v>1.646790711178588E-2</v>
      </c>
      <c r="DH84">
        <f t="shared" si="96"/>
        <v>1.6543719605629049E-2</v>
      </c>
      <c r="DI84">
        <f t="shared" si="97"/>
        <v>1.6517036556278574E-2</v>
      </c>
      <c r="DJ84">
        <f t="shared" si="98"/>
        <v>1.6505310613845758E-2</v>
      </c>
      <c r="DK84">
        <f t="shared" si="99"/>
        <v>1.6486410269649806E-2</v>
      </c>
      <c r="DL84">
        <f t="shared" si="100"/>
        <v>1.6491308901078101E-2</v>
      </c>
      <c r="DM84">
        <f t="shared" si="101"/>
        <v>1.6547705781970259E-2</v>
      </c>
      <c r="DN84">
        <f t="shared" si="102"/>
        <v>1.6639019277528089E-2</v>
      </c>
      <c r="DO84">
        <f t="shared" si="103"/>
        <v>1.6705617764119347E-2</v>
      </c>
      <c r="DP84">
        <f t="shared" si="104"/>
        <v>1.6740995973711426E-2</v>
      </c>
      <c r="DQ84">
        <f t="shared" si="105"/>
        <v>1.6837594552263843E-2</v>
      </c>
      <c r="DR84">
        <f t="shared" si="106"/>
        <v>1.7029528585267736E-2</v>
      </c>
      <c r="DS84">
        <f t="shared" si="107"/>
        <v>1.7268455844383978E-2</v>
      </c>
      <c r="DT84">
        <f t="shared" si="108"/>
        <v>1.7481397813922221E-2</v>
      </c>
      <c r="DU84">
        <f t="shared" si="109"/>
        <v>1.7694332626949975E-2</v>
      </c>
      <c r="DV84">
        <f t="shared" si="110"/>
        <v>1.7784128942284573E-2</v>
      </c>
      <c r="DW84">
        <f t="shared" si="111"/>
        <v>1.7685719766578969E-2</v>
      </c>
      <c r="DX84">
        <f t="shared" si="112"/>
        <v>1.7458293019815205E-2</v>
      </c>
      <c r="DY84">
        <f t="shared" si="113"/>
        <v>1.7230054009111175E-2</v>
      </c>
      <c r="DZ84">
        <f t="shared" si="114"/>
        <v>1.6980084254313622E-2</v>
      </c>
      <c r="EA84">
        <f t="shared" si="115"/>
        <v>1.6720793144606855E-2</v>
      </c>
      <c r="EB84">
        <f t="shared" si="116"/>
        <v>1.6472798586703689E-2</v>
      </c>
      <c r="EC84">
        <f t="shared" si="117"/>
        <v>1.6228908287564774E-2</v>
      </c>
      <c r="ED84">
        <f t="shared" si="118"/>
        <v>1.5966310870013049E-2</v>
      </c>
      <c r="EE84">
        <f t="shared" si="119"/>
        <v>1.5695519247953808E-2</v>
      </c>
      <c r="EF84">
        <f t="shared" si="120"/>
        <v>1.5420877423252604E-2</v>
      </c>
      <c r="EG84">
        <f t="shared" si="121"/>
        <v>1.5144267558167498E-2</v>
      </c>
      <c r="EH84">
        <f t="shared" si="122"/>
        <v>1.4872699454720424E-2</v>
      </c>
      <c r="EI84">
        <f t="shared" si="123"/>
        <v>1.4609160956039674E-2</v>
      </c>
      <c r="EJ84">
        <f t="shared" si="124"/>
        <v>1.4350470993213809E-2</v>
      </c>
      <c r="EK84">
        <f t="shared" si="125"/>
        <v>1.4136165708427809E-2</v>
      </c>
      <c r="EL84">
        <f t="shared" si="126"/>
        <v>1.3985463910594293E-2</v>
      </c>
      <c r="EM84">
        <f t="shared" si="127"/>
        <v>1.3881944986401025E-2</v>
      </c>
      <c r="EN84">
        <f t="shared" si="128"/>
        <v>1.3787740260606482E-2</v>
      </c>
      <c r="EO84">
        <f t="shared" si="129"/>
        <v>1.3707691112555064E-2</v>
      </c>
      <c r="EP84">
        <f t="shared" si="130"/>
        <v>1.3647308055321694E-2</v>
      </c>
      <c r="EQ84">
        <f t="shared" si="131"/>
        <v>1.3604655252819663E-2</v>
      </c>
      <c r="ER84">
        <f t="shared" si="132"/>
        <v>1.3577235082889036E-2</v>
      </c>
      <c r="ES84">
        <f t="shared" si="133"/>
        <v>1.3552362630691752E-2</v>
      </c>
      <c r="ET84">
        <f t="shared" si="134"/>
        <v>1.3518011380354548E-2</v>
      </c>
      <c r="EU84">
        <f t="shared" si="135"/>
        <v>1.3521367783772912E-2</v>
      </c>
      <c r="EV84">
        <f t="shared" si="136"/>
        <v>1.3579911617811144E-2</v>
      </c>
      <c r="EW84">
        <f t="shared" si="137"/>
        <v>1.3661757049994781E-2</v>
      </c>
      <c r="EX84">
        <f t="shared" si="138"/>
        <v>1.3717409653796296E-2</v>
      </c>
      <c r="EY84">
        <f t="shared" si="139"/>
        <v>1.375662017475412E-2</v>
      </c>
      <c r="EZ84">
        <f t="shared" si="140"/>
        <v>1.3717055406527194E-2</v>
      </c>
      <c r="FA84">
        <f t="shared" si="141"/>
        <v>1.3562553501625123E-2</v>
      </c>
      <c r="FB84">
        <f t="shared" si="142"/>
        <v>1.3317006470308486E-2</v>
      </c>
      <c r="FC84">
        <f t="shared" si="143"/>
        <v>1.3048415475223969E-2</v>
      </c>
      <c r="FD84">
        <f t="shared" si="144"/>
        <v>1.275271561841501E-2</v>
      </c>
      <c r="FE84">
        <f t="shared" si="145"/>
        <v>1.2377385269418114E-2</v>
      </c>
      <c r="FF84">
        <f t="shared" si="146"/>
        <v>1.1906154101641276E-2</v>
      </c>
      <c r="FG84">
        <f t="shared" si="147"/>
        <v>1.136311092938346E-2</v>
      </c>
      <c r="FH84">
        <f t="shared" si="148"/>
        <v>1.0790854881318045E-2</v>
      </c>
      <c r="FI84">
        <f t="shared" si="149"/>
        <v>1.0183539088377219E-2</v>
      </c>
      <c r="FJ84">
        <f t="shared" si="150"/>
        <v>9.5696178362569689E-3</v>
      </c>
      <c r="FK84">
        <f t="shared" si="151"/>
        <v>8.9684709553558666E-3</v>
      </c>
      <c r="FL84">
        <f t="shared" si="152"/>
        <v>8.3708951731877364E-3</v>
      </c>
      <c r="FM84">
        <f t="shared" si="153"/>
        <v>7.7595896256504541E-3</v>
      </c>
      <c r="FN84">
        <f t="shared" si="154"/>
        <v>7.1515724946819102E-3</v>
      </c>
      <c r="FO84">
        <f t="shared" si="155"/>
        <v>6.5094474347327158E-3</v>
      </c>
      <c r="FP84">
        <f t="shared" si="156"/>
        <v>5.8173091012456973E-3</v>
      </c>
      <c r="FQ84">
        <f t="shared" si="157"/>
        <v>5.1045850653430582E-3</v>
      </c>
      <c r="FR84">
        <f t="shared" si="158"/>
        <v>4.3853915439602455E-3</v>
      </c>
      <c r="FS84">
        <f t="shared" si="159"/>
        <v>3.7202618810508532E-3</v>
      </c>
      <c r="FT84">
        <f t="shared" si="160"/>
        <v>3.1872521364956965E-3</v>
      </c>
      <c r="FU84">
        <f t="shared" si="161"/>
        <v>2.6958718134429409E-3</v>
      </c>
      <c r="FV84">
        <f t="shared" si="162"/>
        <v>2.2281509140599357E-3</v>
      </c>
      <c r="FW84">
        <f t="shared" si="163"/>
        <v>1.8315335246197029E-3</v>
      </c>
      <c r="FX84">
        <f t="shared" si="164"/>
        <v>1.5719812022801651E-3</v>
      </c>
      <c r="FY84">
        <f t="shared" si="165"/>
        <v>1.3419494856991634E-3</v>
      </c>
      <c r="FZ84">
        <f t="shared" si="166"/>
        <v>1.0684705939520834E-3</v>
      </c>
      <c r="GA84">
        <f t="shared" si="167"/>
        <v>7.5154810529416856E-4</v>
      </c>
      <c r="GB84">
        <f t="shared" si="168"/>
        <v>6.0109678532769379E-4</v>
      </c>
      <c r="GC84">
        <f t="shared" si="169"/>
        <v>4.5374423440205458E-4</v>
      </c>
      <c r="GD84">
        <f t="shared" si="170"/>
        <v>2.8833580751792153E-4</v>
      </c>
      <c r="GE84">
        <f t="shared" si="171"/>
        <v>6.0472155788931776E-4</v>
      </c>
    </row>
    <row r="85" spans="1:187">
      <c r="A85" s="15">
        <v>2033</v>
      </c>
      <c r="B85" s="18">
        <v>4130.5259999999998</v>
      </c>
      <c r="C85" s="18">
        <v>4169.5060000000003</v>
      </c>
      <c r="D85" s="18">
        <v>4194.0410000000002</v>
      </c>
      <c r="E85" s="18">
        <v>4176.982</v>
      </c>
      <c r="F85" s="18">
        <v>4186.482</v>
      </c>
      <c r="G85" s="18">
        <v>4186.6030000000001</v>
      </c>
      <c r="H85" s="18">
        <v>4178.991</v>
      </c>
      <c r="I85" s="18">
        <v>4165.2950000000001</v>
      </c>
      <c r="J85" s="18">
        <v>4147.5469999999996</v>
      </c>
      <c r="K85" s="18">
        <v>4127.7780000000002</v>
      </c>
      <c r="L85" s="18">
        <v>4105.7209999999995</v>
      </c>
      <c r="M85" s="18">
        <v>4082.2579999999998</v>
      </c>
      <c r="N85" s="18">
        <v>4060.1889999999999</v>
      </c>
      <c r="O85" s="18">
        <v>4040.45</v>
      </c>
      <c r="P85" s="18">
        <v>4021.683</v>
      </c>
      <c r="Q85" s="18">
        <v>4020.5729999999999</v>
      </c>
      <c r="R85" s="18">
        <v>4045.1680000000001</v>
      </c>
      <c r="S85" s="18">
        <v>4088.4780000000001</v>
      </c>
      <c r="T85" s="18">
        <v>4131.8639999999996</v>
      </c>
      <c r="U85" s="18">
        <v>4174.7380000000003</v>
      </c>
      <c r="V85" s="18">
        <v>4232.24</v>
      </c>
      <c r="W85" s="18">
        <v>4308.6350000000002</v>
      </c>
      <c r="X85" s="18">
        <v>4395.0820000000003</v>
      </c>
      <c r="Y85" s="18">
        <v>4481.3310000000001</v>
      </c>
      <c r="Z85" s="18">
        <v>4572.8590000000004</v>
      </c>
      <c r="AA85" s="18">
        <v>4636.4210000000003</v>
      </c>
      <c r="AB85" s="18">
        <v>4655.5150000000003</v>
      </c>
      <c r="AC85" s="18">
        <v>4645.9030000000002</v>
      </c>
      <c r="AD85" s="18">
        <v>4640.1710000000003</v>
      </c>
      <c r="AE85" s="18">
        <v>4632.1880000000001</v>
      </c>
      <c r="AF85" s="18">
        <v>4631.0309999999999</v>
      </c>
      <c r="AG85" s="18">
        <v>4644.6279999999997</v>
      </c>
      <c r="AH85" s="18">
        <v>4668.2269999999999</v>
      </c>
      <c r="AI85" s="18">
        <v>4684.8559999999998</v>
      </c>
      <c r="AJ85" s="18">
        <v>4692.7539999999999</v>
      </c>
      <c r="AK85" s="18">
        <v>4717.8649999999998</v>
      </c>
      <c r="AL85" s="18">
        <v>4769.7470000000003</v>
      </c>
      <c r="AM85" s="18">
        <v>4834.8649999999998</v>
      </c>
      <c r="AN85" s="18">
        <v>4892.7700000000004</v>
      </c>
      <c r="AO85" s="18">
        <v>4950.7150000000001</v>
      </c>
      <c r="AP85" s="18">
        <v>4974.3500000000004</v>
      </c>
      <c r="AQ85" s="18">
        <v>4945.5069999999996</v>
      </c>
      <c r="AR85" s="18">
        <v>4880.6930000000002</v>
      </c>
      <c r="AS85" s="18">
        <v>4815.6750000000002</v>
      </c>
      <c r="AT85" s="18">
        <v>4744.6099999999997</v>
      </c>
      <c r="AU85" s="18">
        <v>4670.9250000000002</v>
      </c>
      <c r="AV85" s="18">
        <v>4600.3490000000002</v>
      </c>
      <c r="AW85" s="18">
        <v>4530.8829999999998</v>
      </c>
      <c r="AX85" s="18">
        <v>4456.1859999999997</v>
      </c>
      <c r="AY85" s="18">
        <v>4379.183</v>
      </c>
      <c r="AZ85" s="18">
        <v>4301.0690000000004</v>
      </c>
      <c r="BA85" s="18">
        <v>4222.3590000000004</v>
      </c>
      <c r="BB85" s="18">
        <v>4145.0119999999997</v>
      </c>
      <c r="BC85" s="18">
        <v>4069.8589999999999</v>
      </c>
      <c r="BD85" s="18">
        <v>3995.9989999999998</v>
      </c>
      <c r="BE85" s="18">
        <v>3934.4949999999999</v>
      </c>
      <c r="BF85" s="18">
        <v>3890.7159999999999</v>
      </c>
      <c r="BG85" s="18">
        <v>3860.0610000000001</v>
      </c>
      <c r="BH85" s="18">
        <v>3831.8989999999999</v>
      </c>
      <c r="BI85" s="18">
        <v>3807.5630000000001</v>
      </c>
      <c r="BJ85" s="18">
        <v>3788.6790000000001</v>
      </c>
      <c r="BK85" s="18">
        <v>3774.7339999999999</v>
      </c>
      <c r="BL85" s="18">
        <v>3764.9670000000001</v>
      </c>
      <c r="BM85" s="18">
        <v>3755.7550000000001</v>
      </c>
      <c r="BN85" s="18">
        <v>3743.77</v>
      </c>
      <c r="BO85" s="18">
        <v>3741.9780000000001</v>
      </c>
      <c r="BP85" s="18">
        <v>3755.1529999999998</v>
      </c>
      <c r="BQ85" s="18">
        <v>3774.4810000000002</v>
      </c>
      <c r="BR85" s="18">
        <v>3786.3879999999999</v>
      </c>
      <c r="BS85" s="18">
        <v>3793.5909999999999</v>
      </c>
      <c r="BT85" s="18">
        <v>3778.5250000000001</v>
      </c>
      <c r="BU85" s="18">
        <v>3731.05</v>
      </c>
      <c r="BV85" s="18">
        <v>3657.931</v>
      </c>
      <c r="BW85" s="18">
        <v>3578.348</v>
      </c>
      <c r="BX85" s="18">
        <v>3491.194</v>
      </c>
      <c r="BY85" s="18">
        <v>3381.732</v>
      </c>
      <c r="BZ85" s="18">
        <v>3245.42</v>
      </c>
      <c r="CA85" s="18">
        <v>3089.0770000000002</v>
      </c>
      <c r="CB85" s="18">
        <v>2924.8890000000001</v>
      </c>
      <c r="CC85" s="18">
        <v>2751.4059999999999</v>
      </c>
      <c r="CD85" s="18">
        <v>2575.8890000000001</v>
      </c>
      <c r="CE85" s="18">
        <v>2403.5169999999998</v>
      </c>
      <c r="CF85" s="18">
        <v>2232.21</v>
      </c>
      <c r="CG85" s="18">
        <v>2057.7190000000001</v>
      </c>
      <c r="CH85" s="18">
        <v>1884.5039999999999</v>
      </c>
      <c r="CI85" s="18">
        <v>1703.9159999999999</v>
      </c>
      <c r="CJ85" s="18">
        <v>1512.412</v>
      </c>
      <c r="CK85" s="18">
        <v>1317.366</v>
      </c>
      <c r="CL85" s="18">
        <v>1116.8599999999999</v>
      </c>
      <c r="CM85" s="18">
        <v>938.13</v>
      </c>
      <c r="CN85" s="18">
        <v>803.93899999999996</v>
      </c>
      <c r="CO85" s="18">
        <v>670.68200000000002</v>
      </c>
      <c r="CP85" s="18">
        <v>535.01300000000003</v>
      </c>
      <c r="CQ85" s="18">
        <v>431.67200000000003</v>
      </c>
      <c r="CR85" s="18">
        <v>371.25599999999997</v>
      </c>
      <c r="CS85" s="18">
        <v>314.28800000000001</v>
      </c>
      <c r="CT85" s="18">
        <v>247.17</v>
      </c>
      <c r="CU85" s="18">
        <v>169.905</v>
      </c>
      <c r="CV85" s="18">
        <v>131.96600000000001</v>
      </c>
      <c r="CW85" s="18">
        <v>83.222999999999999</v>
      </c>
      <c r="CX85" s="18">
        <v>172.14599999999999</v>
      </c>
      <c r="CY85" s="3">
        <f t="shared" si="172"/>
        <v>355162.92</v>
      </c>
      <c r="CZ85" s="21">
        <f t="shared" si="88"/>
        <v>281034.64899999992</v>
      </c>
      <c r="DA85">
        <f t="shared" si="89"/>
        <v>1.4702329462585238E-2</v>
      </c>
      <c r="DB85">
        <f t="shared" si="90"/>
        <v>1.4854887163753255E-2</v>
      </c>
      <c r="DC85">
        <f t="shared" si="91"/>
        <v>1.5059495386278867E-2</v>
      </c>
      <c r="DD85">
        <f t="shared" si="92"/>
        <v>1.5331330194804562E-2</v>
      </c>
      <c r="DE85">
        <f t="shared" si="93"/>
        <v>1.563893283493311E-2</v>
      </c>
      <c r="DF85">
        <f t="shared" si="94"/>
        <v>1.5945830935601115E-2</v>
      </c>
      <c r="DG85">
        <f t="shared" si="95"/>
        <v>1.6271513196936802E-2</v>
      </c>
      <c r="DH85">
        <f t="shared" si="96"/>
        <v>1.6497684596891118E-2</v>
      </c>
      <c r="DI85">
        <f t="shared" si="97"/>
        <v>1.6565626397192047E-2</v>
      </c>
      <c r="DJ85">
        <f t="shared" si="98"/>
        <v>1.6531424208834838E-2</v>
      </c>
      <c r="DK85">
        <f t="shared" si="99"/>
        <v>1.6511028147280164E-2</v>
      </c>
      <c r="DL85">
        <f t="shared" si="100"/>
        <v>1.648262239721196E-2</v>
      </c>
      <c r="DM85">
        <f t="shared" si="101"/>
        <v>1.6478505467131924E-2</v>
      </c>
      <c r="DN85">
        <f t="shared" si="102"/>
        <v>1.6526887401702561E-2</v>
      </c>
      <c r="DO85">
        <f t="shared" si="103"/>
        <v>1.6610859253870867E-2</v>
      </c>
      <c r="DP85">
        <f t="shared" si="104"/>
        <v>1.6670029893716062E-2</v>
      </c>
      <c r="DQ85">
        <f t="shared" si="105"/>
        <v>1.6698133189975452E-2</v>
      </c>
      <c r="DR85">
        <f t="shared" si="106"/>
        <v>1.6787485161660624E-2</v>
      </c>
      <c r="DS85">
        <f t="shared" si="107"/>
        <v>1.6972095850003185E-2</v>
      </c>
      <c r="DT85">
        <f t="shared" si="108"/>
        <v>1.7203803933798927E-2</v>
      </c>
      <c r="DU85">
        <f t="shared" si="109"/>
        <v>1.7409846143206356E-2</v>
      </c>
      <c r="DV85">
        <f t="shared" si="110"/>
        <v>1.7616030683817927E-2</v>
      </c>
      <c r="DW85">
        <f t="shared" si="111"/>
        <v>1.7700130634069972E-2</v>
      </c>
      <c r="DX85">
        <f t="shared" si="112"/>
        <v>1.7597499161037616E-2</v>
      </c>
      <c r="DY85">
        <f t="shared" si="113"/>
        <v>1.7366872794393411E-2</v>
      </c>
      <c r="DZ85">
        <f t="shared" si="114"/>
        <v>1.7135520538608041E-2</v>
      </c>
      <c r="EA85">
        <f t="shared" si="115"/>
        <v>1.6882651363035316E-2</v>
      </c>
      <c r="EB85">
        <f t="shared" si="116"/>
        <v>1.6620459493590777E-2</v>
      </c>
      <c r="EC85">
        <f t="shared" si="117"/>
        <v>1.6369330316988784E-2</v>
      </c>
      <c r="ED85">
        <f t="shared" si="118"/>
        <v>1.6122150831301949E-2</v>
      </c>
      <c r="EE85">
        <f t="shared" si="119"/>
        <v>1.5856357982392415E-2</v>
      </c>
      <c r="EF85">
        <f t="shared" si="120"/>
        <v>1.5582359739563649E-2</v>
      </c>
      <c r="EG85">
        <f t="shared" si="121"/>
        <v>1.5304408247539618E-2</v>
      </c>
      <c r="EH85">
        <f t="shared" si="122"/>
        <v>1.5024336020573754E-2</v>
      </c>
      <c r="EI85">
        <f t="shared" si="123"/>
        <v>1.4749113729389293E-2</v>
      </c>
      <c r="EJ85">
        <f t="shared" si="124"/>
        <v>1.4481698304752455E-2</v>
      </c>
      <c r="EK85">
        <f t="shared" si="125"/>
        <v>1.4218883736289758E-2</v>
      </c>
      <c r="EL85">
        <f t="shared" si="126"/>
        <v>1.4000035276788952E-2</v>
      </c>
      <c r="EM85">
        <f t="shared" si="127"/>
        <v>1.3844257332127047E-2</v>
      </c>
      <c r="EN85">
        <f t="shared" si="128"/>
        <v>1.3735178255546708E-2</v>
      </c>
      <c r="EO85">
        <f t="shared" si="129"/>
        <v>1.3634969971265006E-2</v>
      </c>
      <c r="EP85">
        <f t="shared" si="130"/>
        <v>1.3548375666660239E-2</v>
      </c>
      <c r="EQ85">
        <f t="shared" si="131"/>
        <v>1.3481181105181095E-2</v>
      </c>
      <c r="ER85">
        <f t="shared" si="132"/>
        <v>1.3431560889134353E-2</v>
      </c>
      <c r="ES85">
        <f t="shared" si="133"/>
        <v>1.3396807167361064E-2</v>
      </c>
      <c r="ET85">
        <f t="shared" si="134"/>
        <v>1.3364028291045355E-2</v>
      </c>
      <c r="EU85">
        <f t="shared" si="135"/>
        <v>1.3321382304001957E-2</v>
      </c>
      <c r="EV85">
        <f t="shared" si="136"/>
        <v>1.3315005866056044E-2</v>
      </c>
      <c r="EW85">
        <f t="shared" si="137"/>
        <v>1.33618862064229E-2</v>
      </c>
      <c r="EX85">
        <f t="shared" si="138"/>
        <v>1.3430660644268106E-2</v>
      </c>
      <c r="EY85">
        <f t="shared" si="139"/>
        <v>1.3473029085463412E-2</v>
      </c>
      <c r="EZ85">
        <f t="shared" si="140"/>
        <v>1.3498659377050696E-2</v>
      </c>
      <c r="FA85">
        <f t="shared" si="141"/>
        <v>1.3445050329007656E-2</v>
      </c>
      <c r="FB85">
        <f t="shared" si="142"/>
        <v>1.3276120981082305E-2</v>
      </c>
      <c r="FC85">
        <f t="shared" si="143"/>
        <v>1.3015943098176485E-2</v>
      </c>
      <c r="FD85">
        <f t="shared" si="144"/>
        <v>1.273276449268005E-2</v>
      </c>
      <c r="FE85">
        <f t="shared" si="145"/>
        <v>1.2422646148518153E-2</v>
      </c>
      <c r="FF85">
        <f t="shared" si="146"/>
        <v>1.2033149691801885E-2</v>
      </c>
      <c r="FG85">
        <f t="shared" si="147"/>
        <v>1.1548113414300032E-2</v>
      </c>
      <c r="FH85">
        <f t="shared" si="148"/>
        <v>1.0991801228040039E-2</v>
      </c>
      <c r="FI85">
        <f t="shared" si="149"/>
        <v>1.0407574334366156E-2</v>
      </c>
      <c r="FJ85">
        <f t="shared" si="150"/>
        <v>9.7902732271279505E-3</v>
      </c>
      <c r="FK85">
        <f t="shared" si="151"/>
        <v>9.1657345781587275E-3</v>
      </c>
      <c r="FL85">
        <f t="shared" si="152"/>
        <v>8.5523867201157833E-3</v>
      </c>
      <c r="FM85">
        <f t="shared" si="153"/>
        <v>7.9428284303833321E-3</v>
      </c>
      <c r="FN85">
        <f t="shared" si="154"/>
        <v>7.3219405768005516E-3</v>
      </c>
      <c r="FO85">
        <f t="shared" si="155"/>
        <v>6.7055930886301511E-3</v>
      </c>
      <c r="FP85">
        <f t="shared" si="156"/>
        <v>6.0630104012548303E-3</v>
      </c>
      <c r="FQ85">
        <f t="shared" si="157"/>
        <v>5.3815855282670164E-3</v>
      </c>
      <c r="FR85">
        <f t="shared" si="158"/>
        <v>4.6875572271517325E-3</v>
      </c>
      <c r="FS85">
        <f t="shared" si="159"/>
        <v>3.9741007166699937E-3</v>
      </c>
      <c r="FT85">
        <f t="shared" si="160"/>
        <v>3.3381293137274338E-3</v>
      </c>
      <c r="FU85">
        <f t="shared" si="161"/>
        <v>2.8606401483256259E-3</v>
      </c>
      <c r="FV85">
        <f t="shared" si="162"/>
        <v>2.3864744165407173E-3</v>
      </c>
      <c r="FW85">
        <f t="shared" si="163"/>
        <v>1.9037261131455722E-3</v>
      </c>
      <c r="FX85">
        <f t="shared" si="164"/>
        <v>1.5360098889443349E-3</v>
      </c>
      <c r="FY85">
        <f t="shared" si="165"/>
        <v>1.3210328381964035E-3</v>
      </c>
      <c r="FZ85">
        <f t="shared" si="166"/>
        <v>1.1183247372461896E-3</v>
      </c>
      <c r="GA85">
        <f t="shared" si="167"/>
        <v>8.7950009324295119E-4</v>
      </c>
      <c r="GB85">
        <f t="shared" si="168"/>
        <v>6.0456958102700017E-4</v>
      </c>
      <c r="GC85">
        <f t="shared" si="169"/>
        <v>4.6957199217097267E-4</v>
      </c>
      <c r="GD85">
        <f t="shared" si="170"/>
        <v>2.9613074507407099E-4</v>
      </c>
      <c r="GE85">
        <f t="shared" si="171"/>
        <v>6.1254368673949536E-4</v>
      </c>
    </row>
    <row r="86" spans="1:187">
      <c r="A86" s="15">
        <v>2034</v>
      </c>
      <c r="B86" s="18">
        <v>4134.0600000000004</v>
      </c>
      <c r="C86" s="18">
        <v>4169.05</v>
      </c>
      <c r="D86" s="18">
        <v>4192.1480000000001</v>
      </c>
      <c r="E86" s="18">
        <v>4204.7569999999996</v>
      </c>
      <c r="F86" s="18">
        <v>4192.0640000000003</v>
      </c>
      <c r="G86" s="18">
        <v>4193.6329999999998</v>
      </c>
      <c r="H86" s="18">
        <v>4188.3559999999998</v>
      </c>
      <c r="I86" s="18">
        <v>4177.5870000000004</v>
      </c>
      <c r="J86" s="18">
        <v>4162.6779999999999</v>
      </c>
      <c r="K86" s="18">
        <v>4145.4920000000002</v>
      </c>
      <c r="L86" s="18">
        <v>4127.8950000000004</v>
      </c>
      <c r="M86" s="18">
        <v>4108.6850000000004</v>
      </c>
      <c r="N86" s="18">
        <v>4088.194</v>
      </c>
      <c r="O86" s="18">
        <v>4069.3069999999998</v>
      </c>
      <c r="P86" s="18">
        <v>4053.4479999999999</v>
      </c>
      <c r="Q86" s="18">
        <v>4038.9749999999999</v>
      </c>
      <c r="R86" s="18">
        <v>4042.21</v>
      </c>
      <c r="S86" s="18">
        <v>4071.0030000000002</v>
      </c>
      <c r="T86" s="18">
        <v>4118.2389999999996</v>
      </c>
      <c r="U86" s="18">
        <v>4165.4639999999999</v>
      </c>
      <c r="V86" s="18">
        <v>4212.1909999999998</v>
      </c>
      <c r="W86" s="18">
        <v>4272.0439999999999</v>
      </c>
      <c r="X86" s="18">
        <v>4348.5990000000002</v>
      </c>
      <c r="Y86" s="18">
        <v>4433.6670000000004</v>
      </c>
      <c r="Z86" s="18">
        <v>4518.4089999999997</v>
      </c>
      <c r="AA86" s="18">
        <v>4608.0990000000002</v>
      </c>
      <c r="AB86" s="18">
        <v>4669.5870000000004</v>
      </c>
      <c r="AC86" s="18">
        <v>4686.5829999999996</v>
      </c>
      <c r="AD86" s="18">
        <v>4674.8159999999998</v>
      </c>
      <c r="AE86" s="18">
        <v>4666.6310000000003</v>
      </c>
      <c r="AF86" s="18">
        <v>4655.9520000000002</v>
      </c>
      <c r="AG86" s="18">
        <v>4652.2690000000002</v>
      </c>
      <c r="AH86" s="18">
        <v>4663.6970000000001</v>
      </c>
      <c r="AI86" s="18">
        <v>4685.3710000000001</v>
      </c>
      <c r="AJ86" s="18">
        <v>4700.0140000000001</v>
      </c>
      <c r="AK86" s="18">
        <v>4705.9229999999998</v>
      </c>
      <c r="AL86" s="18">
        <v>4729.1440000000002</v>
      </c>
      <c r="AM86" s="18">
        <v>4779.2560000000003</v>
      </c>
      <c r="AN86" s="18">
        <v>4842.7079999999996</v>
      </c>
      <c r="AO86" s="18">
        <v>4898.9939999999997</v>
      </c>
      <c r="AP86" s="18">
        <v>4955.3639999999996</v>
      </c>
      <c r="AQ86" s="18">
        <v>4977.5320000000002</v>
      </c>
      <c r="AR86" s="18">
        <v>4947.3559999999998</v>
      </c>
      <c r="AS86" s="18">
        <v>4881.3010000000004</v>
      </c>
      <c r="AT86" s="18">
        <v>4815.0640000000003</v>
      </c>
      <c r="AU86" s="18">
        <v>4742.8090000000002</v>
      </c>
      <c r="AV86" s="18">
        <v>4667.9189999999999</v>
      </c>
      <c r="AW86" s="18">
        <v>4596.0870000000004</v>
      </c>
      <c r="AX86" s="18">
        <v>4525.33</v>
      </c>
      <c r="AY86" s="18">
        <v>4449.3379999999997</v>
      </c>
      <c r="AZ86" s="18">
        <v>4371.0259999999998</v>
      </c>
      <c r="BA86" s="18">
        <v>4291.5690000000004</v>
      </c>
      <c r="BB86" s="18">
        <v>4211.47</v>
      </c>
      <c r="BC86" s="18">
        <v>4132.6869999999999</v>
      </c>
      <c r="BD86" s="18">
        <v>4056.047</v>
      </c>
      <c r="BE86" s="18">
        <v>3980.64</v>
      </c>
      <c r="BF86" s="18">
        <v>3917.5349999999999</v>
      </c>
      <c r="BG86" s="18">
        <v>3872.1030000000001</v>
      </c>
      <c r="BH86" s="18">
        <v>3839.7289999999998</v>
      </c>
      <c r="BI86" s="18">
        <v>3809.74</v>
      </c>
      <c r="BJ86" s="18">
        <v>3783.4430000000002</v>
      </c>
      <c r="BK86" s="18">
        <v>3762.5540000000001</v>
      </c>
      <c r="BL86" s="18">
        <v>3746.5880000000002</v>
      </c>
      <c r="BM86" s="18">
        <v>3734.72</v>
      </c>
      <c r="BN86" s="18">
        <v>3723.2489999999998</v>
      </c>
      <c r="BO86" s="18">
        <v>3708.8820000000001</v>
      </c>
      <c r="BP86" s="18">
        <v>3704.3620000000001</v>
      </c>
      <c r="BQ86" s="18">
        <v>3714.3470000000002</v>
      </c>
      <c r="BR86" s="18">
        <v>3730.1280000000002</v>
      </c>
      <c r="BS86" s="18">
        <v>3738.3850000000002</v>
      </c>
      <c r="BT86" s="18">
        <v>3741.8310000000001</v>
      </c>
      <c r="BU86" s="18">
        <v>3722.7579999999998</v>
      </c>
      <c r="BV86" s="18">
        <v>3670.9969999999998</v>
      </c>
      <c r="BW86" s="18">
        <v>3593.3980000000001</v>
      </c>
      <c r="BX86" s="18">
        <v>3509.31</v>
      </c>
      <c r="BY86" s="18">
        <v>3417.6610000000001</v>
      </c>
      <c r="BZ86" s="18">
        <v>3303.6529999999998</v>
      </c>
      <c r="CA86" s="18">
        <v>3162.7530000000002</v>
      </c>
      <c r="CB86" s="18">
        <v>3001.8649999999998</v>
      </c>
      <c r="CC86" s="18">
        <v>2833.451</v>
      </c>
      <c r="CD86" s="18">
        <v>2656.248</v>
      </c>
      <c r="CE86" s="18">
        <v>2476.8249999999998</v>
      </c>
      <c r="CF86" s="18">
        <v>2300.1190000000001</v>
      </c>
      <c r="CG86" s="18">
        <v>2124.547</v>
      </c>
      <c r="CH86" s="18">
        <v>1946.443</v>
      </c>
      <c r="CI86" s="18">
        <v>1769.973</v>
      </c>
      <c r="CJ86" s="18">
        <v>1588.2909999999999</v>
      </c>
      <c r="CK86" s="18">
        <v>1398.7539999999999</v>
      </c>
      <c r="CL86" s="18">
        <v>1207.8889999999999</v>
      </c>
      <c r="CM86" s="18">
        <v>1007.914</v>
      </c>
      <c r="CN86" s="18">
        <v>836.37300000000005</v>
      </c>
      <c r="CO86" s="18">
        <v>716.97500000000002</v>
      </c>
      <c r="CP86" s="18">
        <v>587.81700000000001</v>
      </c>
      <c r="CQ86" s="18">
        <v>447.22300000000001</v>
      </c>
      <c r="CR86" s="18">
        <v>351.40499999999997</v>
      </c>
      <c r="CS86" s="18">
        <v>303.12299999999999</v>
      </c>
      <c r="CT86" s="18">
        <v>253.48400000000001</v>
      </c>
      <c r="CU86" s="18">
        <v>195.691</v>
      </c>
      <c r="CV86" s="18">
        <v>129.745</v>
      </c>
      <c r="CW86" s="18">
        <v>86.224000000000004</v>
      </c>
      <c r="CX86" s="18">
        <v>175.72900000000001</v>
      </c>
      <c r="CY86" s="3">
        <f t="shared" si="172"/>
        <v>356952.97200000018</v>
      </c>
      <c r="CZ86" s="21">
        <f t="shared" si="88"/>
        <v>282593.43000000011</v>
      </c>
      <c r="DA86">
        <f t="shared" si="89"/>
        <v>1.4573017497257449E-2</v>
      </c>
      <c r="DB86">
        <f t="shared" si="90"/>
        <v>1.4740130370334507E-2</v>
      </c>
      <c r="DC86">
        <f t="shared" si="91"/>
        <v>1.4905480994374137E-2</v>
      </c>
      <c r="DD86">
        <f t="shared" si="92"/>
        <v>1.5117279973564842E-2</v>
      </c>
      <c r="DE86">
        <f t="shared" si="93"/>
        <v>1.5388181529910297E-2</v>
      </c>
      <c r="DF86">
        <f t="shared" si="94"/>
        <v>1.5689207636568191E-2</v>
      </c>
      <c r="DG86">
        <f t="shared" si="95"/>
        <v>1.5989080142450578E-2</v>
      </c>
      <c r="DH86">
        <f t="shared" si="96"/>
        <v>1.6306461901821279E-2</v>
      </c>
      <c r="DI86">
        <f t="shared" si="97"/>
        <v>1.6524046578152925E-2</v>
      </c>
      <c r="DJ86">
        <f t="shared" si="98"/>
        <v>1.6584189519197236E-2</v>
      </c>
      <c r="DK86">
        <f t="shared" si="99"/>
        <v>1.6542550193045881E-2</v>
      </c>
      <c r="DL86">
        <f t="shared" si="100"/>
        <v>1.6513586320814316E-2</v>
      </c>
      <c r="DM86">
        <f t="shared" si="101"/>
        <v>1.6475797048784886E-2</v>
      </c>
      <c r="DN86">
        <f t="shared" si="102"/>
        <v>1.6462764190943852E-2</v>
      </c>
      <c r="DO86">
        <f t="shared" si="103"/>
        <v>1.6503203913834794E-2</v>
      </c>
      <c r="DP86">
        <f t="shared" si="104"/>
        <v>1.6579900672142302E-2</v>
      </c>
      <c r="DQ86">
        <f t="shared" si="105"/>
        <v>1.6631717163417416E-2</v>
      </c>
      <c r="DR86">
        <f t="shared" si="106"/>
        <v>1.6652627062136577E-2</v>
      </c>
      <c r="DS86">
        <f t="shared" si="107"/>
        <v>1.6734798116148697E-2</v>
      </c>
      <c r="DT86">
        <f t="shared" si="108"/>
        <v>1.6912127079529056E-2</v>
      </c>
      <c r="DU86">
        <f t="shared" si="109"/>
        <v>1.7136661669735202E-2</v>
      </c>
      <c r="DV86">
        <f t="shared" si="110"/>
        <v>1.7335838274796404E-2</v>
      </c>
      <c r="DW86">
        <f t="shared" si="111"/>
        <v>1.7535312126683193E-2</v>
      </c>
      <c r="DX86">
        <f t="shared" si="112"/>
        <v>1.7613756979417385E-2</v>
      </c>
      <c r="DY86">
        <f t="shared" si="113"/>
        <v>1.7506974595976978E-2</v>
      </c>
      <c r="DZ86">
        <f t="shared" si="114"/>
        <v>1.7273228892830235E-2</v>
      </c>
      <c r="EA86">
        <f t="shared" si="115"/>
        <v>1.7038839154894715E-2</v>
      </c>
      <c r="EB86">
        <f t="shared" si="116"/>
        <v>1.6783153805097303E-2</v>
      </c>
      <c r="EC86">
        <f t="shared" si="117"/>
        <v>1.6518144105473358E-2</v>
      </c>
      <c r="ED86">
        <f t="shared" si="118"/>
        <v>1.6263955605761955E-2</v>
      </c>
      <c r="EE86">
        <f t="shared" si="119"/>
        <v>1.6013571157687558E-2</v>
      </c>
      <c r="EF86">
        <f t="shared" si="120"/>
        <v>1.5744661862804092E-2</v>
      </c>
      <c r="EG86">
        <f t="shared" si="121"/>
        <v>1.5467542893690055E-2</v>
      </c>
      <c r="EH86">
        <f t="shared" si="122"/>
        <v>1.5186372167251017E-2</v>
      </c>
      <c r="EI86">
        <f t="shared" si="123"/>
        <v>1.4902929625787828E-2</v>
      </c>
      <c r="EJ86">
        <f t="shared" si="124"/>
        <v>1.4624143951258875E-2</v>
      </c>
      <c r="EK86">
        <f t="shared" si="125"/>
        <v>1.4352941609435147E-2</v>
      </c>
      <c r="EL86">
        <f t="shared" si="126"/>
        <v>1.4086102426372751E-2</v>
      </c>
      <c r="EM86">
        <f t="shared" si="127"/>
        <v>1.3862795748648503E-2</v>
      </c>
      <c r="EN86">
        <f t="shared" si="128"/>
        <v>1.3702027679836713E-2</v>
      </c>
      <c r="EO86">
        <f t="shared" si="129"/>
        <v>1.3587467337793374E-2</v>
      </c>
      <c r="EP86">
        <f t="shared" si="130"/>
        <v>1.3481346682405172E-2</v>
      </c>
      <c r="EQ86">
        <f t="shared" si="131"/>
        <v>1.3388290732732176E-2</v>
      </c>
      <c r="ER86">
        <f t="shared" si="132"/>
        <v>1.3314371816782855E-2</v>
      </c>
      <c r="ES86">
        <f t="shared" si="133"/>
        <v>1.3257873688004702E-2</v>
      </c>
      <c r="ET86">
        <f t="shared" si="134"/>
        <v>1.3215876957932101E-2</v>
      </c>
      <c r="EU86">
        <f t="shared" si="135"/>
        <v>1.3175285072975683E-2</v>
      </c>
      <c r="EV86">
        <f t="shared" si="136"/>
        <v>1.3124445249841792E-2</v>
      </c>
      <c r="EW86">
        <f t="shared" si="137"/>
        <v>1.3108450539702917E-2</v>
      </c>
      <c r="EX86">
        <f t="shared" si="138"/>
        <v>1.3143783986768548E-2</v>
      </c>
      <c r="EY86">
        <f t="shared" si="139"/>
        <v>1.3199627464799867E-2</v>
      </c>
      <c r="EZ86">
        <f t="shared" si="140"/>
        <v>1.3228846120024796E-2</v>
      </c>
      <c r="FA86">
        <f t="shared" si="141"/>
        <v>1.3241040317179344E-2</v>
      </c>
      <c r="FB86">
        <f t="shared" si="142"/>
        <v>1.3173547594507057E-2</v>
      </c>
      <c r="FC86">
        <f t="shared" si="143"/>
        <v>1.2990383392848158E-2</v>
      </c>
      <c r="FD86">
        <f t="shared" si="144"/>
        <v>1.2715787483098947E-2</v>
      </c>
      <c r="FE86">
        <f t="shared" si="145"/>
        <v>1.2418229256072933E-2</v>
      </c>
      <c r="FF86">
        <f t="shared" si="146"/>
        <v>1.2093915276091162E-2</v>
      </c>
      <c r="FG86">
        <f t="shared" si="147"/>
        <v>1.1690480560712252E-2</v>
      </c>
      <c r="FH86">
        <f t="shared" si="148"/>
        <v>1.1191884397312418E-2</v>
      </c>
      <c r="FI86">
        <f t="shared" si="149"/>
        <v>1.0622557644032979E-2</v>
      </c>
      <c r="FJ86">
        <f t="shared" si="150"/>
        <v>1.0026598990641782E-2</v>
      </c>
      <c r="FK86">
        <f t="shared" si="151"/>
        <v>9.3995391187969204E-3</v>
      </c>
      <c r="FL86">
        <f t="shared" si="152"/>
        <v>8.7646234379900444E-3</v>
      </c>
      <c r="FM86">
        <f t="shared" si="153"/>
        <v>8.1393222765299231E-3</v>
      </c>
      <c r="FN86">
        <f t="shared" si="154"/>
        <v>7.5180339472152597E-3</v>
      </c>
      <c r="FO86">
        <f t="shared" si="155"/>
        <v>6.8877857493006801E-3</v>
      </c>
      <c r="FP86">
        <f t="shared" si="156"/>
        <v>6.2633197098743562E-3</v>
      </c>
      <c r="FQ86">
        <f t="shared" si="157"/>
        <v>5.6204102126507305E-3</v>
      </c>
      <c r="FR86">
        <f t="shared" si="158"/>
        <v>4.9497045985817832E-3</v>
      </c>
      <c r="FS86">
        <f t="shared" si="159"/>
        <v>4.2742996537463718E-3</v>
      </c>
      <c r="FT86">
        <f t="shared" si="160"/>
        <v>3.5666575829452212E-3</v>
      </c>
      <c r="FU86">
        <f t="shared" si="161"/>
        <v>2.9596335626061784E-3</v>
      </c>
      <c r="FV86">
        <f t="shared" si="162"/>
        <v>2.5371255092519304E-3</v>
      </c>
      <c r="FW86">
        <f t="shared" si="163"/>
        <v>2.0800802056863098E-3</v>
      </c>
      <c r="FX86">
        <f t="shared" si="164"/>
        <v>1.5825668700082654E-3</v>
      </c>
      <c r="FY86">
        <f t="shared" si="165"/>
        <v>1.2435002469802635E-3</v>
      </c>
      <c r="FZ86">
        <f t="shared" si="166"/>
        <v>1.0726470180145373E-3</v>
      </c>
      <c r="GA86">
        <f t="shared" si="167"/>
        <v>8.9699183735446331E-4</v>
      </c>
      <c r="GB86">
        <f t="shared" si="168"/>
        <v>6.9248248269607659E-4</v>
      </c>
      <c r="GC86">
        <f t="shared" si="169"/>
        <v>4.5912249269206278E-4</v>
      </c>
      <c r="GD86">
        <f t="shared" si="170"/>
        <v>3.0511678916243725E-4</v>
      </c>
      <c r="GE86">
        <f t="shared" si="171"/>
        <v>6.2184389778630013E-4</v>
      </c>
    </row>
    <row r="87" spans="1:187">
      <c r="A87" s="15">
        <v>2035</v>
      </c>
      <c r="B87" s="18">
        <v>4136.143</v>
      </c>
      <c r="C87" s="18">
        <v>4167.1970000000001</v>
      </c>
      <c r="D87" s="18">
        <v>4188.6540000000005</v>
      </c>
      <c r="E87" s="18">
        <v>4201.57</v>
      </c>
      <c r="F87" s="18">
        <v>4207.0039999999999</v>
      </c>
      <c r="G87" s="18">
        <v>4206.0129999999999</v>
      </c>
      <c r="H87" s="18">
        <v>4199.6530000000002</v>
      </c>
      <c r="I87" s="18">
        <v>4188.9840000000004</v>
      </c>
      <c r="J87" s="18">
        <v>4175.0619999999999</v>
      </c>
      <c r="K87" s="18">
        <v>4158.9440000000004</v>
      </c>
      <c r="L87" s="18">
        <v>4142.326</v>
      </c>
      <c r="M87" s="18">
        <v>4126.9030000000002</v>
      </c>
      <c r="N87" s="18">
        <v>4110.5429999999997</v>
      </c>
      <c r="O87" s="18">
        <v>4093.0279999999998</v>
      </c>
      <c r="P87" s="18">
        <v>4077.328</v>
      </c>
      <c r="Q87" s="18">
        <v>4065.35</v>
      </c>
      <c r="R87" s="18">
        <v>4055.172</v>
      </c>
      <c r="S87" s="18">
        <v>4062.7460000000001</v>
      </c>
      <c r="T87" s="18">
        <v>4095.7280000000001</v>
      </c>
      <c r="U87" s="18">
        <v>4146.8739999999998</v>
      </c>
      <c r="V87" s="18">
        <v>4197.9219999999996</v>
      </c>
      <c r="W87" s="18">
        <v>4248.4859999999999</v>
      </c>
      <c r="X87" s="18">
        <v>4310.674</v>
      </c>
      <c r="Y87" s="18">
        <v>4387.3670000000002</v>
      </c>
      <c r="Z87" s="18">
        <v>4471.0339999999997</v>
      </c>
      <c r="AA87" s="18">
        <v>4554.2479999999996</v>
      </c>
      <c r="AB87" s="18">
        <v>4642.076</v>
      </c>
      <c r="AC87" s="18">
        <v>4701.4740000000002</v>
      </c>
      <c r="AD87" s="18">
        <v>4716.3689999999997</v>
      </c>
      <c r="AE87" s="18">
        <v>4702.4539999999997</v>
      </c>
      <c r="AF87" s="18">
        <v>4691.82</v>
      </c>
      <c r="AG87" s="18">
        <v>4678.4459999999999</v>
      </c>
      <c r="AH87" s="18">
        <v>4672.241</v>
      </c>
      <c r="AI87" s="18">
        <v>4681.5</v>
      </c>
      <c r="AJ87" s="18">
        <v>4701.2439999999997</v>
      </c>
      <c r="AK87" s="18">
        <v>4713.8980000000001</v>
      </c>
      <c r="AL87" s="18">
        <v>4717.8149999999996</v>
      </c>
      <c r="AM87" s="18">
        <v>4739.143</v>
      </c>
      <c r="AN87" s="18">
        <v>4787.473</v>
      </c>
      <c r="AO87" s="18">
        <v>4849.2420000000002</v>
      </c>
      <c r="AP87" s="18">
        <v>4903.8969999999999</v>
      </c>
      <c r="AQ87" s="18">
        <v>4958.6769999999997</v>
      </c>
      <c r="AR87" s="18">
        <v>4979.3739999999998</v>
      </c>
      <c r="AS87" s="18">
        <v>4947.8729999999996</v>
      </c>
      <c r="AT87" s="18">
        <v>4880.5959999999995</v>
      </c>
      <c r="AU87" s="18">
        <v>4813.1589999999997</v>
      </c>
      <c r="AV87" s="18">
        <v>4739.7340000000004</v>
      </c>
      <c r="AW87" s="18">
        <v>4663.6580000000004</v>
      </c>
      <c r="AX87" s="18">
        <v>4590.5919999999996</v>
      </c>
      <c r="AY87" s="18">
        <v>4518.5609999999997</v>
      </c>
      <c r="AZ87" s="18">
        <v>4441.2969999999996</v>
      </c>
      <c r="BA87" s="18">
        <v>4361.6989999999996</v>
      </c>
      <c r="BB87" s="18">
        <v>4280.9179999999997</v>
      </c>
      <c r="BC87" s="18">
        <v>4199.4530000000004</v>
      </c>
      <c r="BD87" s="18">
        <v>4119.2560000000003</v>
      </c>
      <c r="BE87" s="18">
        <v>4041.1489999999999</v>
      </c>
      <c r="BF87" s="18">
        <v>3964.2159999999999</v>
      </c>
      <c r="BG87" s="18">
        <v>3899.5279999999998</v>
      </c>
      <c r="BH87" s="18">
        <v>3852.4569999999999</v>
      </c>
      <c r="BI87" s="18">
        <v>3818.3719999999998</v>
      </c>
      <c r="BJ87" s="18">
        <v>3786.5639999999999</v>
      </c>
      <c r="BK87" s="18">
        <v>3758.3150000000001</v>
      </c>
      <c r="BL87" s="18">
        <v>3735.4279999999999</v>
      </c>
      <c r="BM87" s="18">
        <v>3717.4459999999999</v>
      </c>
      <c r="BN87" s="18">
        <v>3703.482</v>
      </c>
      <c r="BO87" s="18">
        <v>3689.7570000000001</v>
      </c>
      <c r="BP87" s="18">
        <v>3673.0140000000001</v>
      </c>
      <c r="BQ87" s="18">
        <v>3665.7689999999998</v>
      </c>
      <c r="BR87" s="18">
        <v>3672.5619999999999</v>
      </c>
      <c r="BS87" s="18">
        <v>3684.7930000000001</v>
      </c>
      <c r="BT87" s="18">
        <v>3689.3989999999999</v>
      </c>
      <c r="BU87" s="18">
        <v>3689.0889999999999</v>
      </c>
      <c r="BV87" s="18">
        <v>3666.018</v>
      </c>
      <c r="BW87" s="18">
        <v>3609.9850000000001</v>
      </c>
      <c r="BX87" s="18">
        <v>3527.9279999999999</v>
      </c>
      <c r="BY87" s="18">
        <v>3439.3620000000001</v>
      </c>
      <c r="BZ87" s="18">
        <v>3343.2449999999999</v>
      </c>
      <c r="CA87" s="18">
        <v>3224.7220000000002</v>
      </c>
      <c r="CB87" s="18">
        <v>3079.2750000000001</v>
      </c>
      <c r="CC87" s="18">
        <v>2913.8879999999999</v>
      </c>
      <c r="CD87" s="18">
        <v>2741.297</v>
      </c>
      <c r="CE87" s="18">
        <v>2560.4250000000002</v>
      </c>
      <c r="CF87" s="18">
        <v>2377.145</v>
      </c>
      <c r="CG87" s="18">
        <v>2196.1570000000002</v>
      </c>
      <c r="CH87" s="18">
        <v>2016.37</v>
      </c>
      <c r="CI87" s="18">
        <v>1834.7049999999999</v>
      </c>
      <c r="CJ87" s="18">
        <v>1655.029</v>
      </c>
      <c r="CK87" s="18">
        <v>1472.3040000000001</v>
      </c>
      <c r="CL87" s="18">
        <v>1284.7850000000001</v>
      </c>
      <c r="CM87" s="18">
        <v>1098.1500000000001</v>
      </c>
      <c r="CN87" s="18">
        <v>898.75900000000001</v>
      </c>
      <c r="CO87" s="18">
        <v>734.452</v>
      </c>
      <c r="CP87" s="18">
        <v>629.87199999999996</v>
      </c>
      <c r="CQ87" s="18">
        <v>504.84399999999999</v>
      </c>
      <c r="CR87" s="18">
        <v>359.36900000000003</v>
      </c>
      <c r="CS87" s="18">
        <v>271.09500000000003</v>
      </c>
      <c r="CT87" s="18">
        <v>234.95099999999999</v>
      </c>
      <c r="CU87" s="18">
        <v>192.65</v>
      </c>
      <c r="CV87" s="18">
        <v>144.19200000000001</v>
      </c>
      <c r="CW87" s="18">
        <v>89.575999999999993</v>
      </c>
      <c r="CX87" s="18">
        <v>180.215</v>
      </c>
      <c r="CY87" s="3">
        <f t="shared" si="172"/>
        <v>358690.99699999992</v>
      </c>
      <c r="CZ87" s="21">
        <f t="shared" si="88"/>
        <v>284128.37699999998</v>
      </c>
      <c r="DA87">
        <f t="shared" si="89"/>
        <v>1.4415061400220508E-2</v>
      </c>
      <c r="DB87">
        <f t="shared" si="90"/>
        <v>1.459507157921083E-2</v>
      </c>
      <c r="DC87">
        <f t="shared" si="91"/>
        <v>1.4774736843690905E-2</v>
      </c>
      <c r="DD87">
        <f t="shared" si="92"/>
        <v>1.4952698652834667E-2</v>
      </c>
      <c r="DE87">
        <f t="shared" si="93"/>
        <v>1.5171571546336606E-2</v>
      </c>
      <c r="DF87">
        <f t="shared" si="94"/>
        <v>1.5441495306890802E-2</v>
      </c>
      <c r="DG87">
        <f t="shared" si="95"/>
        <v>1.5735964310245577E-2</v>
      </c>
      <c r="DH87">
        <f t="shared" si="96"/>
        <v>1.6028838963874418E-2</v>
      </c>
      <c r="DI87">
        <f t="shared" si="97"/>
        <v>1.6337952755771382E-2</v>
      </c>
      <c r="DJ87">
        <f t="shared" si="98"/>
        <v>1.6547006144338763E-2</v>
      </c>
      <c r="DK87">
        <f t="shared" si="99"/>
        <v>1.6599429630360363E-2</v>
      </c>
      <c r="DL87">
        <f t="shared" si="100"/>
        <v>1.6550455289441223E-2</v>
      </c>
      <c r="DM87">
        <f t="shared" si="101"/>
        <v>1.6513028545543693E-2</v>
      </c>
      <c r="DN87">
        <f t="shared" si="102"/>
        <v>1.6465958273502546E-2</v>
      </c>
      <c r="DO87">
        <f t="shared" si="103"/>
        <v>1.6444119553746653E-2</v>
      </c>
      <c r="DP87">
        <f t="shared" si="104"/>
        <v>1.647670693589328E-2</v>
      </c>
      <c r="DQ87">
        <f t="shared" si="105"/>
        <v>1.654619665110043E-2</v>
      </c>
      <c r="DR87">
        <f t="shared" si="106"/>
        <v>1.6590732857352016E-2</v>
      </c>
      <c r="DS87">
        <f t="shared" si="107"/>
        <v>1.6604518879154404E-2</v>
      </c>
      <c r="DT87">
        <f t="shared" si="108"/>
        <v>1.6679583539098597E-2</v>
      </c>
      <c r="DU87">
        <f t="shared" si="109"/>
        <v>1.6849682705223069E-2</v>
      </c>
      <c r="DV87">
        <f t="shared" si="110"/>
        <v>1.7067080913216917E-2</v>
      </c>
      <c r="DW87">
        <f t="shared" si="111"/>
        <v>1.7259441143395546E-2</v>
      </c>
      <c r="DX87">
        <f t="shared" si="112"/>
        <v>1.7452241315551526E-2</v>
      </c>
      <c r="DY87">
        <f t="shared" si="113"/>
        <v>1.7525085148394032E-2</v>
      </c>
      <c r="DZ87">
        <f t="shared" si="114"/>
        <v>1.7414216250564794E-2</v>
      </c>
      <c r="EA87">
        <f t="shared" si="115"/>
        <v>1.7177432439280781E-2</v>
      </c>
      <c r="EB87">
        <f t="shared" si="116"/>
        <v>1.6940085502265761E-2</v>
      </c>
      <c r="EC87">
        <f t="shared" si="117"/>
        <v>1.6681663584767532E-2</v>
      </c>
      <c r="ED87">
        <f t="shared" si="118"/>
        <v>1.6413911377813561E-2</v>
      </c>
      <c r="EE87">
        <f t="shared" si="119"/>
        <v>1.615675297367429E-2</v>
      </c>
      <c r="EF87">
        <f t="shared" si="120"/>
        <v>1.5903237289107523E-2</v>
      </c>
      <c r="EG87">
        <f t="shared" si="121"/>
        <v>1.5631303873600771E-2</v>
      </c>
      <c r="EH87">
        <f t="shared" si="122"/>
        <v>1.5351155861492849E-2</v>
      </c>
      <c r="EI87">
        <f t="shared" si="123"/>
        <v>1.5066844238511241E-2</v>
      </c>
      <c r="EJ87">
        <f t="shared" si="124"/>
        <v>1.4780125253029552E-2</v>
      </c>
      <c r="EK87">
        <f t="shared" si="125"/>
        <v>1.4497869038966145E-2</v>
      </c>
      <c r="EL87">
        <f t="shared" si="126"/>
        <v>1.4222968654764112E-2</v>
      </c>
      <c r="EM87">
        <f t="shared" si="127"/>
        <v>1.3952200205613396E-2</v>
      </c>
      <c r="EN87">
        <f t="shared" si="128"/>
        <v>1.3724528472564359E-2</v>
      </c>
      <c r="EO87">
        <f t="shared" si="129"/>
        <v>1.3558860402035803E-2</v>
      </c>
      <c r="EP87">
        <f t="shared" si="130"/>
        <v>1.3438897023650686E-2</v>
      </c>
      <c r="EQ87">
        <f t="shared" si="131"/>
        <v>1.3326947628325066E-2</v>
      </c>
      <c r="ER87">
        <f t="shared" si="132"/>
        <v>1.3227524260978693E-2</v>
      </c>
      <c r="ES87">
        <f t="shared" si="133"/>
        <v>1.3146972644692931E-2</v>
      </c>
      <c r="ET87">
        <f t="shared" si="134"/>
        <v>1.3083684351598575E-2</v>
      </c>
      <c r="EU87">
        <f t="shared" si="135"/>
        <v>1.303453755342431E-2</v>
      </c>
      <c r="EV87">
        <f t="shared" si="136"/>
        <v>1.298623192431075E-2</v>
      </c>
      <c r="EW87">
        <f t="shared" si="137"/>
        <v>1.2927304336095935E-2</v>
      </c>
      <c r="EX87">
        <f t="shared" si="138"/>
        <v>1.2901805299088447E-2</v>
      </c>
      <c r="EY87">
        <f t="shared" si="139"/>
        <v>1.2925713505905819E-2</v>
      </c>
      <c r="EZ87">
        <f t="shared" si="140"/>
        <v>1.2968760948506035E-2</v>
      </c>
      <c r="FA87">
        <f t="shared" si="141"/>
        <v>1.2984971930487605E-2</v>
      </c>
      <c r="FB87">
        <f t="shared" si="142"/>
        <v>1.2983880874383767E-2</v>
      </c>
      <c r="FC87">
        <f t="shared" si="143"/>
        <v>1.2902681663507339E-2</v>
      </c>
      <c r="FD87">
        <f t="shared" si="144"/>
        <v>1.2705471512970351E-2</v>
      </c>
      <c r="FE87">
        <f t="shared" si="145"/>
        <v>1.2416668962283906E-2</v>
      </c>
      <c r="FF87">
        <f t="shared" si="146"/>
        <v>1.2104957752952639E-2</v>
      </c>
      <c r="FG87">
        <f t="shared" si="147"/>
        <v>1.1766670528653321E-2</v>
      </c>
      <c r="FH87">
        <f t="shared" si="148"/>
        <v>1.1349524584797106E-2</v>
      </c>
      <c r="FI87">
        <f t="shared" si="149"/>
        <v>1.0837618658554475E-2</v>
      </c>
      <c r="FJ87">
        <f t="shared" si="150"/>
        <v>1.0255533188084202E-2</v>
      </c>
      <c r="FK87">
        <f t="shared" si="151"/>
        <v>9.6480929815750162E-3</v>
      </c>
      <c r="FL87">
        <f t="shared" si="152"/>
        <v>9.0115074989500273E-3</v>
      </c>
      <c r="FM87">
        <f t="shared" si="153"/>
        <v>8.366446974073273E-3</v>
      </c>
      <c r="FN87">
        <f t="shared" si="154"/>
        <v>7.7294532252932986E-3</v>
      </c>
      <c r="FO87">
        <f t="shared" si="155"/>
        <v>7.0966864390317481E-3</v>
      </c>
      <c r="FP87">
        <f t="shared" si="156"/>
        <v>6.4573099645024194E-3</v>
      </c>
      <c r="FQ87">
        <f t="shared" si="157"/>
        <v>5.824933846716761E-3</v>
      </c>
      <c r="FR87">
        <f t="shared" si="158"/>
        <v>5.1818266642194638E-3</v>
      </c>
      <c r="FS87">
        <f t="shared" si="159"/>
        <v>4.5218468270066536E-3</v>
      </c>
      <c r="FT87">
        <f t="shared" si="160"/>
        <v>3.8649782594576965E-3</v>
      </c>
      <c r="FU87">
        <f t="shared" si="161"/>
        <v>3.1632144930036328E-3</v>
      </c>
      <c r="FV87">
        <f t="shared" si="162"/>
        <v>2.5849301212177061E-3</v>
      </c>
      <c r="FW87">
        <f t="shared" si="163"/>
        <v>2.2168570652835568E-3</v>
      </c>
      <c r="FX87">
        <f t="shared" si="164"/>
        <v>1.7768165409257945E-3</v>
      </c>
      <c r="FY87">
        <f t="shared" si="165"/>
        <v>1.2648120676802376E-3</v>
      </c>
      <c r="FZ87">
        <f t="shared" si="166"/>
        <v>9.5412856280807201E-4</v>
      </c>
      <c r="GA87">
        <f t="shared" si="167"/>
        <v>8.2691846017196656E-4</v>
      </c>
      <c r="GB87">
        <f t="shared" si="168"/>
        <v>6.7803857549927167E-4</v>
      </c>
      <c r="GC87">
        <f t="shared" si="169"/>
        <v>5.074889087899869E-4</v>
      </c>
      <c r="GD87">
        <f t="shared" si="170"/>
        <v>3.1526594050829354E-4</v>
      </c>
      <c r="GE87">
        <f t="shared" si="171"/>
        <v>6.342731475920127E-4</v>
      </c>
    </row>
    <row r="88" spans="1:187">
      <c r="A88" s="15">
        <v>2036</v>
      </c>
      <c r="B88" s="18">
        <v>4142.2640000000001</v>
      </c>
      <c r="C88" s="18">
        <v>4151.3029999999999</v>
      </c>
      <c r="D88" s="18">
        <v>4176.8379999999997</v>
      </c>
      <c r="E88" s="18">
        <v>4194.3950000000004</v>
      </c>
      <c r="F88" s="18">
        <v>4204.8900000000003</v>
      </c>
      <c r="G88" s="18">
        <v>4209.241</v>
      </c>
      <c r="H88" s="18">
        <v>4208.3339999999998</v>
      </c>
      <c r="I88" s="18">
        <v>4203.0590000000002</v>
      </c>
      <c r="J88" s="18">
        <v>4194.4740000000002</v>
      </c>
      <c r="K88" s="18">
        <v>4183.5529999999999</v>
      </c>
      <c r="L88" s="18">
        <v>4171.1279999999997</v>
      </c>
      <c r="M88" s="18">
        <v>4158.5940000000001</v>
      </c>
      <c r="N88" s="18">
        <v>4147.5219999999999</v>
      </c>
      <c r="O88" s="18">
        <v>4135.5739999999996</v>
      </c>
      <c r="P88" s="18">
        <v>4122.3379999999997</v>
      </c>
      <c r="Q88" s="18">
        <v>4110.6530000000002</v>
      </c>
      <c r="R88" s="18">
        <v>4102.6009999999997</v>
      </c>
      <c r="S88" s="18">
        <v>4096.3590000000004</v>
      </c>
      <c r="T88" s="18">
        <v>4106.3739999999998</v>
      </c>
      <c r="U88" s="18">
        <v>4139.6059999999998</v>
      </c>
      <c r="V88" s="18">
        <v>4189.4620000000004</v>
      </c>
      <c r="W88" s="18">
        <v>4239.0889999999999</v>
      </c>
      <c r="X88" s="18">
        <v>4287.9049999999997</v>
      </c>
      <c r="Y88" s="18">
        <v>4348.0569999999998</v>
      </c>
      <c r="Z88" s="18">
        <v>4422.6120000000001</v>
      </c>
      <c r="AA88" s="18">
        <v>4504.0349999999999</v>
      </c>
      <c r="AB88" s="18">
        <v>4584.7120000000004</v>
      </c>
      <c r="AC88" s="18">
        <v>4669.7529999999997</v>
      </c>
      <c r="AD88" s="18">
        <v>4726.5680000000002</v>
      </c>
      <c r="AE88" s="18">
        <v>4739.2939999999999</v>
      </c>
      <c r="AF88" s="18">
        <v>4723.491</v>
      </c>
      <c r="AG88" s="18">
        <v>4710.8950000000004</v>
      </c>
      <c r="AH88" s="18">
        <v>4695.5410000000002</v>
      </c>
      <c r="AI88" s="18">
        <v>4687.4960000000001</v>
      </c>
      <c r="AJ88" s="18">
        <v>4695.0950000000003</v>
      </c>
      <c r="AK88" s="18">
        <v>4713.3130000000001</v>
      </c>
      <c r="AL88" s="18">
        <v>4724.4790000000003</v>
      </c>
      <c r="AM88" s="18">
        <v>4726.96</v>
      </c>
      <c r="AN88" s="18">
        <v>4746.8710000000001</v>
      </c>
      <c r="AO88" s="18">
        <v>4793.7780000000002</v>
      </c>
      <c r="AP88" s="18">
        <v>4854.1260000000002</v>
      </c>
      <c r="AQ88" s="18">
        <v>4907.3909999999996</v>
      </c>
      <c r="AR88" s="18">
        <v>4960.8010000000004</v>
      </c>
      <c r="AS88" s="18">
        <v>4980.13</v>
      </c>
      <c r="AT88" s="18">
        <v>4947.2550000000001</v>
      </c>
      <c r="AU88" s="18">
        <v>4878.5950000000003</v>
      </c>
      <c r="AV88" s="18">
        <v>4809.7749999999996</v>
      </c>
      <c r="AW88" s="18">
        <v>4734.9709999999995</v>
      </c>
      <c r="AX88" s="18">
        <v>4657.4639999999999</v>
      </c>
      <c r="AY88" s="18">
        <v>4582.8919999999998</v>
      </c>
      <c r="AZ88" s="18">
        <v>4509.3029999999999</v>
      </c>
      <c r="BA88" s="18">
        <v>4430.4650000000001</v>
      </c>
      <c r="BB88" s="18">
        <v>4349.2529999999997</v>
      </c>
      <c r="BC88" s="18">
        <v>4266.9030000000002</v>
      </c>
      <c r="BD88" s="18">
        <v>4183.9520000000002</v>
      </c>
      <c r="BE88" s="18">
        <v>4102.3019999999997</v>
      </c>
      <c r="BF88" s="18">
        <v>4022.6619999999998</v>
      </c>
      <c r="BG88" s="18">
        <v>3944.1019999999999</v>
      </c>
      <c r="BH88" s="18">
        <v>3877.779</v>
      </c>
      <c r="BI88" s="18">
        <v>3829.0770000000002</v>
      </c>
      <c r="BJ88" s="18">
        <v>3793.3119999999999</v>
      </c>
      <c r="BK88" s="18">
        <v>3759.654</v>
      </c>
      <c r="BL88" s="18">
        <v>3729.3629999999998</v>
      </c>
      <c r="BM88" s="18">
        <v>3704.2820000000002</v>
      </c>
      <c r="BN88" s="18">
        <v>3683.9470000000001</v>
      </c>
      <c r="BO88" s="18">
        <v>3667.41</v>
      </c>
      <c r="BP88" s="18">
        <v>3650.877</v>
      </c>
      <c r="BQ88" s="18">
        <v>3631.14</v>
      </c>
      <c r="BR88" s="18">
        <v>3620.299</v>
      </c>
      <c r="BS88" s="18">
        <v>3622.701</v>
      </c>
      <c r="BT88" s="18">
        <v>3629.9360000000001</v>
      </c>
      <c r="BU88" s="18">
        <v>3629.4409999999998</v>
      </c>
      <c r="BV88" s="18">
        <v>3623.9580000000001</v>
      </c>
      <c r="BW88" s="18">
        <v>3595.241</v>
      </c>
      <c r="BX88" s="18">
        <v>3532.9830000000002</v>
      </c>
      <c r="BY88" s="18">
        <v>3444.3760000000002</v>
      </c>
      <c r="BZ88" s="18">
        <v>3349.4349999999999</v>
      </c>
      <c r="CA88" s="18">
        <v>3247.1860000000001</v>
      </c>
      <c r="CB88" s="18">
        <v>3122.6669999999999</v>
      </c>
      <c r="CC88" s="18">
        <v>2971.4140000000002</v>
      </c>
      <c r="CD88" s="18">
        <v>2800.6080000000002</v>
      </c>
      <c r="CE88" s="18">
        <v>2623.2550000000001</v>
      </c>
      <c r="CF88" s="18">
        <v>2438.3780000000002</v>
      </c>
      <c r="CG88" s="18">
        <v>2252.0140000000001</v>
      </c>
      <c r="CH88" s="18">
        <v>2069.0250000000001</v>
      </c>
      <c r="CI88" s="18">
        <v>1888.425</v>
      </c>
      <c r="CJ88" s="18">
        <v>1703.3620000000001</v>
      </c>
      <c r="CK88" s="18">
        <v>1529.5730000000001</v>
      </c>
      <c r="CL88" s="18">
        <v>1357.32</v>
      </c>
      <c r="CM88" s="18">
        <v>1172.412</v>
      </c>
      <c r="CN88" s="18">
        <v>979.39200000000005</v>
      </c>
      <c r="CO88" s="18">
        <v>791.83799999999997</v>
      </c>
      <c r="CP88" s="18">
        <v>650.529</v>
      </c>
      <c r="CQ88" s="18">
        <v>555.31899999999996</v>
      </c>
      <c r="CR88" s="18">
        <v>442.03199999999998</v>
      </c>
      <c r="CS88" s="18">
        <v>310.67</v>
      </c>
      <c r="CT88" s="18">
        <v>247.33699999999999</v>
      </c>
      <c r="CU88" s="18">
        <v>202.43899999999999</v>
      </c>
      <c r="CV88" s="18">
        <v>151.12299999999999</v>
      </c>
      <c r="CW88" s="18">
        <v>93.388999999999996</v>
      </c>
      <c r="CX88" s="18">
        <v>186.09399999999999</v>
      </c>
      <c r="CY88" s="3">
        <f t="shared" si="172"/>
        <v>360371.85999999993</v>
      </c>
      <c r="CZ88" s="21">
        <f t="shared" si="88"/>
        <v>285458.74000000011</v>
      </c>
      <c r="DA88">
        <f t="shared" si="89"/>
        <v>1.4385175244590508E-2</v>
      </c>
      <c r="DB88">
        <f t="shared" si="90"/>
        <v>1.4501591368335747E-2</v>
      </c>
      <c r="DC88">
        <f t="shared" si="91"/>
        <v>1.4676243579019506E-2</v>
      </c>
      <c r="DD88">
        <f t="shared" si="92"/>
        <v>1.4850093572191898E-2</v>
      </c>
      <c r="DE88">
        <f t="shared" si="93"/>
        <v>1.5021102524308761E-2</v>
      </c>
      <c r="DF88">
        <f t="shared" si="94"/>
        <v>1.5231822994804778E-2</v>
      </c>
      <c r="DG88">
        <f t="shared" si="95"/>
        <v>1.5492999093319051E-2</v>
      </c>
      <c r="DH88">
        <f t="shared" si="96"/>
        <v>1.5778234710907776E-2</v>
      </c>
      <c r="DI88">
        <f t="shared" si="97"/>
        <v>1.6060856991101408E-2</v>
      </c>
      <c r="DJ88">
        <f t="shared" si="98"/>
        <v>1.6358766944743041E-2</v>
      </c>
      <c r="DK88">
        <f t="shared" si="99"/>
        <v>1.6557797459625857E-2</v>
      </c>
      <c r="DL88">
        <f t="shared" si="100"/>
        <v>1.6602378333204996E-2</v>
      </c>
      <c r="DM88">
        <f t="shared" si="101"/>
        <v>1.6547018318654381E-2</v>
      </c>
      <c r="DN88">
        <f t="shared" si="102"/>
        <v>1.6502892852396107E-2</v>
      </c>
      <c r="DO88">
        <f t="shared" si="103"/>
        <v>1.6449105744669085E-2</v>
      </c>
      <c r="DP88">
        <f t="shared" si="104"/>
        <v>1.6420923037774211E-2</v>
      </c>
      <c r="DQ88">
        <f t="shared" si="105"/>
        <v>1.6447543347245203E-2</v>
      </c>
      <c r="DR88">
        <f t="shared" si="106"/>
        <v>1.6511363428564137E-2</v>
      </c>
      <c r="DS88">
        <f t="shared" si="107"/>
        <v>1.6550479414292933E-2</v>
      </c>
      <c r="DT88">
        <f t="shared" si="108"/>
        <v>1.6559170687854917E-2</v>
      </c>
      <c r="DU88">
        <f t="shared" si="109"/>
        <v>1.6628921573744768E-2</v>
      </c>
      <c r="DV88">
        <f t="shared" si="110"/>
        <v>1.6793243044511436E-2</v>
      </c>
      <c r="DW88">
        <f t="shared" si="111"/>
        <v>1.7004650129121984E-2</v>
      </c>
      <c r="DX88">
        <f t="shared" si="112"/>
        <v>1.719124452101203E-2</v>
      </c>
      <c r="DY88">
        <f t="shared" si="113"/>
        <v>1.7378346867221506E-2</v>
      </c>
      <c r="DZ88">
        <f t="shared" si="114"/>
        <v>1.7446058929567188E-2</v>
      </c>
      <c r="EA88">
        <f t="shared" si="115"/>
        <v>1.7330893424387702E-2</v>
      </c>
      <c r="EB88">
        <f t="shared" si="116"/>
        <v>1.7090368296307897E-2</v>
      </c>
      <c r="EC88">
        <f t="shared" si="117"/>
        <v>1.6849282666910104E-2</v>
      </c>
      <c r="ED88">
        <f t="shared" si="118"/>
        <v>1.6587234288219718E-2</v>
      </c>
      <c r="EE88">
        <f t="shared" si="119"/>
        <v>1.6315716940388646E-2</v>
      </c>
      <c r="EF88">
        <f t="shared" si="120"/>
        <v>1.6054481288609337E-2</v>
      </c>
      <c r="EG88">
        <f t="shared" si="121"/>
        <v>1.5796689216802395E-2</v>
      </c>
      <c r="EH88">
        <f t="shared" si="122"/>
        <v>1.5520509198632343E-2</v>
      </c>
      <c r="EI88">
        <f t="shared" si="123"/>
        <v>1.5236012742156706E-2</v>
      </c>
      <c r="EJ88">
        <f t="shared" si="124"/>
        <v>1.4947529720056911E-2</v>
      </c>
      <c r="EK88">
        <f t="shared" si="125"/>
        <v>1.4656941314881438E-2</v>
      </c>
      <c r="EL88">
        <f t="shared" si="126"/>
        <v>1.4370910486047819E-2</v>
      </c>
      <c r="EM88">
        <f t="shared" si="127"/>
        <v>1.4091920955021375E-2</v>
      </c>
      <c r="EN88">
        <f t="shared" si="128"/>
        <v>1.3816714807891321E-2</v>
      </c>
      <c r="EO88">
        <f t="shared" si="129"/>
        <v>1.3584376502187316E-2</v>
      </c>
      <c r="EP88">
        <f t="shared" si="130"/>
        <v>1.3413766907259518E-2</v>
      </c>
      <c r="EQ88">
        <f t="shared" si="131"/>
        <v>1.3288477347023946E-2</v>
      </c>
      <c r="ER88">
        <f t="shared" si="132"/>
        <v>1.3170568888519576E-2</v>
      </c>
      <c r="ES88">
        <f t="shared" si="133"/>
        <v>1.3064455479625526E-2</v>
      </c>
      <c r="ET88">
        <f t="shared" si="134"/>
        <v>1.2976593394898327E-2</v>
      </c>
      <c r="EU88">
        <f t="shared" si="135"/>
        <v>1.290535718051582E-2</v>
      </c>
      <c r="EV88">
        <f t="shared" si="136"/>
        <v>1.2847425866168955E-2</v>
      </c>
      <c r="EW88">
        <f t="shared" si="137"/>
        <v>1.278950856435504E-2</v>
      </c>
      <c r="EX88">
        <f t="shared" si="138"/>
        <v>1.2720367223648499E-2</v>
      </c>
      <c r="EY88">
        <f t="shared" si="139"/>
        <v>1.2682389756221858E-2</v>
      </c>
      <c r="EZ88">
        <f t="shared" si="140"/>
        <v>1.269080428225809E-2</v>
      </c>
      <c r="FA88">
        <f t="shared" si="141"/>
        <v>1.271614945123067E-2</v>
      </c>
      <c r="FB88">
        <f t="shared" si="142"/>
        <v>1.2714415400278158E-2</v>
      </c>
      <c r="FC88">
        <f t="shared" si="143"/>
        <v>1.2695207720737501E-2</v>
      </c>
      <c r="FD88">
        <f t="shared" si="144"/>
        <v>1.2594608243559118E-2</v>
      </c>
      <c r="FE88">
        <f t="shared" si="145"/>
        <v>1.2376510174465139E-2</v>
      </c>
      <c r="FF88">
        <f t="shared" si="146"/>
        <v>1.2066108047698939E-2</v>
      </c>
      <c r="FG88">
        <f t="shared" si="147"/>
        <v>1.1733517075007053E-2</v>
      </c>
      <c r="FH88">
        <f t="shared" si="148"/>
        <v>1.1375325204616257E-2</v>
      </c>
      <c r="FI88">
        <f t="shared" si="149"/>
        <v>1.0939118557028588E-2</v>
      </c>
      <c r="FJ88">
        <f t="shared" si="150"/>
        <v>1.0409259145472298E-2</v>
      </c>
      <c r="FK88">
        <f t="shared" si="151"/>
        <v>9.810902969725149E-3</v>
      </c>
      <c r="FL88">
        <f t="shared" si="152"/>
        <v>9.189611780672749E-3</v>
      </c>
      <c r="FM88">
        <f t="shared" si="153"/>
        <v>8.5419630171421589E-3</v>
      </c>
      <c r="FN88">
        <f t="shared" si="154"/>
        <v>7.8891050944875588E-3</v>
      </c>
      <c r="FO88">
        <f t="shared" si="155"/>
        <v>7.2480702465091782E-3</v>
      </c>
      <c r="FP88">
        <f t="shared" si="156"/>
        <v>6.6154043838349431E-3</v>
      </c>
      <c r="FQ88">
        <f t="shared" si="157"/>
        <v>5.967104037522198E-3</v>
      </c>
      <c r="FR88">
        <f t="shared" si="158"/>
        <v>5.3582980153278875E-3</v>
      </c>
      <c r="FS88">
        <f t="shared" si="159"/>
        <v>4.754872805786221E-3</v>
      </c>
      <c r="FT88">
        <f t="shared" si="160"/>
        <v>4.1071154451252732E-3</v>
      </c>
      <c r="FU88">
        <f t="shared" si="161"/>
        <v>3.4309406676425449E-3</v>
      </c>
      <c r="FV88">
        <f t="shared" si="162"/>
        <v>2.7739140164354387E-3</v>
      </c>
      <c r="FW88">
        <f t="shared" si="163"/>
        <v>2.2788897617918432E-3</v>
      </c>
      <c r="FX88">
        <f t="shared" si="164"/>
        <v>1.9453564462590977E-3</v>
      </c>
      <c r="FY88">
        <f t="shared" si="165"/>
        <v>1.5484969911938931E-3</v>
      </c>
      <c r="FZ88">
        <f t="shared" si="166"/>
        <v>1.0883184028627041E-3</v>
      </c>
      <c r="GA88">
        <f t="shared" si="167"/>
        <v>8.6645446553852191E-4</v>
      </c>
      <c r="GB88">
        <f t="shared" si="168"/>
        <v>7.0917078944578789E-4</v>
      </c>
      <c r="GC88">
        <f t="shared" si="169"/>
        <v>5.2940400423542801E-4</v>
      </c>
      <c r="GD88">
        <f t="shared" si="170"/>
        <v>3.2715410990744216E-4</v>
      </c>
      <c r="GE88">
        <f t="shared" si="171"/>
        <v>6.5191207668050357E-4</v>
      </c>
    </row>
    <row r="89" spans="1:187">
      <c r="A89" s="15">
        <v>2037</v>
      </c>
      <c r="B89" s="18">
        <v>4147.5280000000002</v>
      </c>
      <c r="C89" s="18">
        <v>4171.1390000000001</v>
      </c>
      <c r="D89" s="18">
        <v>4165.2910000000002</v>
      </c>
      <c r="E89" s="18">
        <v>4185.2960000000003</v>
      </c>
      <c r="F89" s="18">
        <v>4198.9449999999997</v>
      </c>
      <c r="G89" s="18">
        <v>4207.0140000000001</v>
      </c>
      <c r="H89" s="18">
        <v>4210.2780000000002</v>
      </c>
      <c r="I89" s="18">
        <v>4209.4560000000001</v>
      </c>
      <c r="J89" s="18">
        <v>4205.2690000000002</v>
      </c>
      <c r="K89" s="18">
        <v>4198.7730000000001</v>
      </c>
      <c r="L89" s="18">
        <v>4190.8580000000002</v>
      </c>
      <c r="M89" s="18">
        <v>4182.13</v>
      </c>
      <c r="N89" s="18">
        <v>4173.6899999999996</v>
      </c>
      <c r="O89" s="18">
        <v>4166.9740000000002</v>
      </c>
      <c r="P89" s="18">
        <v>4159.4449999999997</v>
      </c>
      <c r="Q89" s="18">
        <v>4150.4949999999999</v>
      </c>
      <c r="R89" s="18">
        <v>4142.8320000000003</v>
      </c>
      <c r="S89" s="18">
        <v>4138.7120000000004</v>
      </c>
      <c r="T89" s="18">
        <v>4136.41</v>
      </c>
      <c r="U89" s="18">
        <v>4148.8630000000003</v>
      </c>
      <c r="V89" s="18">
        <v>4182.3370000000004</v>
      </c>
      <c r="W89" s="18">
        <v>4230.8879999999999</v>
      </c>
      <c r="X89" s="18">
        <v>4279.0780000000004</v>
      </c>
      <c r="Y89" s="18">
        <v>4326.1319999999996</v>
      </c>
      <c r="Z89" s="18">
        <v>4384.2280000000001</v>
      </c>
      <c r="AA89" s="18">
        <v>4456.6220000000003</v>
      </c>
      <c r="AB89" s="18">
        <v>4535.7759999999998</v>
      </c>
      <c r="AC89" s="18">
        <v>4613.8909999999996</v>
      </c>
      <c r="AD89" s="18">
        <v>4696.12</v>
      </c>
      <c r="AE89" s="18">
        <v>4750.3320000000003</v>
      </c>
      <c r="AF89" s="18">
        <v>4760.884</v>
      </c>
      <c r="AG89" s="18">
        <v>4743.1970000000001</v>
      </c>
      <c r="AH89" s="18">
        <v>4728.6400000000003</v>
      </c>
      <c r="AI89" s="18">
        <v>4711.308</v>
      </c>
      <c r="AJ89" s="18">
        <v>4701.4229999999998</v>
      </c>
      <c r="AK89" s="18">
        <v>4707.3590000000004</v>
      </c>
      <c r="AL89" s="18">
        <v>4724.0429999999997</v>
      </c>
      <c r="AM89" s="18">
        <v>4733.7179999999998</v>
      </c>
      <c r="AN89" s="18">
        <v>4734.7610000000004</v>
      </c>
      <c r="AO89" s="18">
        <v>4753.2489999999998</v>
      </c>
      <c r="AP89" s="18">
        <v>4798.7190000000001</v>
      </c>
      <c r="AQ89" s="18">
        <v>4857.6270000000004</v>
      </c>
      <c r="AR89" s="18">
        <v>4909.4859999999999</v>
      </c>
      <c r="AS89" s="18">
        <v>4961.51</v>
      </c>
      <c r="AT89" s="18">
        <v>4979.4639999999999</v>
      </c>
      <c r="AU89" s="18">
        <v>4945.2240000000002</v>
      </c>
      <c r="AV89" s="18">
        <v>4875.1989999999996</v>
      </c>
      <c r="AW89" s="18">
        <v>4805.0150000000003</v>
      </c>
      <c r="AX89" s="18">
        <v>4728.8509999999997</v>
      </c>
      <c r="AY89" s="18">
        <v>4649.9350000000004</v>
      </c>
      <c r="AZ89" s="18">
        <v>4573.8770000000004</v>
      </c>
      <c r="BA89" s="18">
        <v>4498.75</v>
      </c>
      <c r="BB89" s="18">
        <v>4418.3580000000002</v>
      </c>
      <c r="BC89" s="18">
        <v>4335.5550000000003</v>
      </c>
      <c r="BD89" s="18">
        <v>4251.6559999999999</v>
      </c>
      <c r="BE89" s="18">
        <v>4167.241</v>
      </c>
      <c r="BF89" s="18">
        <v>4084.1610000000001</v>
      </c>
      <c r="BG89" s="18">
        <v>4003.009</v>
      </c>
      <c r="BH89" s="18">
        <v>3922.8440000000001</v>
      </c>
      <c r="BI89" s="18">
        <v>3854.902</v>
      </c>
      <c r="BJ89" s="18">
        <v>3804.5839999999998</v>
      </c>
      <c r="BK89" s="18">
        <v>3767.1460000000002</v>
      </c>
      <c r="BL89" s="18">
        <v>3731.6460000000002</v>
      </c>
      <c r="BM89" s="18">
        <v>3699.319</v>
      </c>
      <c r="BN89" s="18">
        <v>3672.049</v>
      </c>
      <c r="BO89" s="18">
        <v>3649.3649999999998</v>
      </c>
      <c r="BP89" s="18">
        <v>3630.2579999999998</v>
      </c>
      <c r="BQ89" s="18">
        <v>3610.92</v>
      </c>
      <c r="BR89" s="18">
        <v>3588.1930000000002</v>
      </c>
      <c r="BS89" s="18">
        <v>3573.7559999999999</v>
      </c>
      <c r="BT89" s="18">
        <v>3571.761</v>
      </c>
      <c r="BU89" s="18">
        <v>3573.9949999999999</v>
      </c>
      <c r="BV89" s="18">
        <v>3568.395</v>
      </c>
      <c r="BW89" s="18">
        <v>3557.7359999999999</v>
      </c>
      <c r="BX89" s="18">
        <v>3523.375</v>
      </c>
      <c r="BY89" s="18">
        <v>3454.9050000000002</v>
      </c>
      <c r="BZ89" s="18">
        <v>3359.7660000000001</v>
      </c>
      <c r="CA89" s="18">
        <v>3258.473</v>
      </c>
      <c r="CB89" s="18">
        <v>3150.114</v>
      </c>
      <c r="CC89" s="18">
        <v>3019.6309999999999</v>
      </c>
      <c r="CD89" s="18">
        <v>2862.61</v>
      </c>
      <c r="CE89" s="18">
        <v>2686.4279999999999</v>
      </c>
      <c r="CF89" s="18">
        <v>2504.3589999999999</v>
      </c>
      <c r="CG89" s="18">
        <v>2315.5279999999998</v>
      </c>
      <c r="CH89" s="18">
        <v>2126.1320000000001</v>
      </c>
      <c r="CI89" s="18">
        <v>1941.191</v>
      </c>
      <c r="CJ89" s="18">
        <v>1759.829</v>
      </c>
      <c r="CK89" s="18">
        <v>1571.4190000000001</v>
      </c>
      <c r="CL89" s="18">
        <v>1403.569</v>
      </c>
      <c r="CM89" s="18">
        <v>1241.8489999999999</v>
      </c>
      <c r="CN89" s="18">
        <v>1059.605</v>
      </c>
      <c r="CO89" s="18">
        <v>860.25</v>
      </c>
      <c r="CP89" s="18">
        <v>684.596</v>
      </c>
      <c r="CQ89" s="18">
        <v>566.34500000000003</v>
      </c>
      <c r="CR89" s="18">
        <v>480.541</v>
      </c>
      <c r="CS89" s="18">
        <v>379.03899999999999</v>
      </c>
      <c r="CT89" s="18">
        <v>261.839</v>
      </c>
      <c r="CU89" s="18">
        <v>212.96</v>
      </c>
      <c r="CV89" s="18">
        <v>158.60900000000001</v>
      </c>
      <c r="CW89" s="18">
        <v>97.623999999999995</v>
      </c>
      <c r="CX89" s="18">
        <v>193.14400000000001</v>
      </c>
      <c r="CY89" s="3">
        <f t="shared" si="172"/>
        <v>361997.61999999994</v>
      </c>
      <c r="CZ89" s="21">
        <f t="shared" si="88"/>
        <v>286793.49499999994</v>
      </c>
      <c r="DA89">
        <f t="shared" si="89"/>
        <v>1.4422956141316945E-2</v>
      </c>
      <c r="DB89">
        <f t="shared" si="90"/>
        <v>1.4466377628265248E-2</v>
      </c>
      <c r="DC89">
        <f t="shared" si="91"/>
        <v>1.458309575675697E-2</v>
      </c>
      <c r="DD89">
        <f t="shared" si="92"/>
        <v>1.4752384812633218E-2</v>
      </c>
      <c r="DE89">
        <f t="shared" si="93"/>
        <v>1.4920415123083602E-2</v>
      </c>
      <c r="DF89">
        <f t="shared" si="94"/>
        <v>1.5084484395296346E-2</v>
      </c>
      <c r="DG89">
        <f t="shared" si="95"/>
        <v>1.5287055238125262E-2</v>
      </c>
      <c r="DH89">
        <f t="shared" si="96"/>
        <v>1.5539480768209199E-2</v>
      </c>
      <c r="DI89">
        <f t="shared" si="97"/>
        <v>1.5815477265270612E-2</v>
      </c>
      <c r="DJ89">
        <f t="shared" si="98"/>
        <v>1.6087850946549541E-2</v>
      </c>
      <c r="DK89">
        <f t="shared" si="99"/>
        <v>1.6374569444122158E-2</v>
      </c>
      <c r="DL89">
        <f t="shared" si="100"/>
        <v>1.6563597441427328E-2</v>
      </c>
      <c r="DM89">
        <f t="shared" si="101"/>
        <v>1.6600390465620573E-2</v>
      </c>
      <c r="DN89">
        <f t="shared" si="102"/>
        <v>1.6538718913411899E-2</v>
      </c>
      <c r="DO89">
        <f t="shared" si="103"/>
        <v>1.6487961137333331E-2</v>
      </c>
      <c r="DP89">
        <f t="shared" si="104"/>
        <v>1.6427527409573921E-2</v>
      </c>
      <c r="DQ89">
        <f t="shared" si="105"/>
        <v>1.6393060100613512E-2</v>
      </c>
      <c r="DR89">
        <f t="shared" si="106"/>
        <v>1.6413757920136933E-2</v>
      </c>
      <c r="DS89">
        <f t="shared" si="107"/>
        <v>1.6471932182422759E-2</v>
      </c>
      <c r="DT89">
        <f t="shared" si="108"/>
        <v>1.6505667257201914E-2</v>
      </c>
      <c r="DU89">
        <f t="shared" si="109"/>
        <v>1.6509304020302141E-2</v>
      </c>
      <c r="DV89">
        <f t="shared" si="110"/>
        <v>1.6573768522887874E-2</v>
      </c>
      <c r="DW89">
        <f t="shared" si="111"/>
        <v>1.6732314657276315E-2</v>
      </c>
      <c r="DX89">
        <f t="shared" si="112"/>
        <v>1.6937716805606073E-2</v>
      </c>
      <c r="DY89">
        <f t="shared" si="113"/>
        <v>1.7118540293251772E-2</v>
      </c>
      <c r="DZ89">
        <f t="shared" si="114"/>
        <v>1.7299939107754174E-2</v>
      </c>
      <c r="EA89">
        <f t="shared" si="115"/>
        <v>1.7362541643421867E-2</v>
      </c>
      <c r="EB89">
        <f t="shared" si="116"/>
        <v>1.7243152603583289E-2</v>
      </c>
      <c r="EC89">
        <f t="shared" si="117"/>
        <v>1.6998987372429771E-2</v>
      </c>
      <c r="ED89">
        <f t="shared" si="118"/>
        <v>1.6754267735396164E-2</v>
      </c>
      <c r="EE89">
        <f t="shared" si="119"/>
        <v>1.6488696858344018E-2</v>
      </c>
      <c r="EF89">
        <f t="shared" si="120"/>
        <v>1.6213530226688026E-2</v>
      </c>
      <c r="EG89">
        <f t="shared" si="121"/>
        <v>1.5948328953555944E-2</v>
      </c>
      <c r="EH89">
        <f t="shared" si="122"/>
        <v>1.568637391862741E-2</v>
      </c>
      <c r="EI89">
        <f t="shared" si="123"/>
        <v>1.5406060726726041E-2</v>
      </c>
      <c r="EJ89">
        <f t="shared" si="124"/>
        <v>1.5117340789057999E-2</v>
      </c>
      <c r="EK89">
        <f t="shared" si="125"/>
        <v>1.4824799286329701E-2</v>
      </c>
      <c r="EL89">
        <f t="shared" si="126"/>
        <v>1.4530458579613185E-2</v>
      </c>
      <c r="EM89">
        <f t="shared" si="127"/>
        <v>1.4240772790191775E-2</v>
      </c>
      <c r="EN89">
        <f t="shared" si="128"/>
        <v>1.3957809607920155E-2</v>
      </c>
      <c r="EO89">
        <f t="shared" si="129"/>
        <v>1.3678287926300424E-2</v>
      </c>
      <c r="EP89">
        <f t="shared" si="130"/>
        <v>1.344138576085905E-2</v>
      </c>
      <c r="EQ89">
        <f t="shared" si="131"/>
        <v>1.326593547737197E-2</v>
      </c>
      <c r="ER89">
        <f t="shared" si="132"/>
        <v>1.3135395557001741E-2</v>
      </c>
      <c r="ES89">
        <f t="shared" si="133"/>
        <v>1.3011613112075646E-2</v>
      </c>
      <c r="ET89">
        <f t="shared" si="134"/>
        <v>1.2898894376945337E-2</v>
      </c>
      <c r="EU89">
        <f t="shared" si="135"/>
        <v>1.2803808538265489E-2</v>
      </c>
      <c r="EV89">
        <f t="shared" si="136"/>
        <v>1.272471329937243E-2</v>
      </c>
      <c r="EW89">
        <f t="shared" si="137"/>
        <v>1.2658090449366714E-2</v>
      </c>
      <c r="EX89">
        <f t="shared" si="138"/>
        <v>1.2590662141761622E-2</v>
      </c>
      <c r="EY89">
        <f t="shared" si="139"/>
        <v>1.2511416969202879E-2</v>
      </c>
      <c r="EZ89">
        <f t="shared" si="140"/>
        <v>1.2461077612656454E-2</v>
      </c>
      <c r="FA89">
        <f t="shared" si="141"/>
        <v>1.2454121387934551E-2</v>
      </c>
      <c r="FB89">
        <f t="shared" si="142"/>
        <v>1.2461910964891309E-2</v>
      </c>
      <c r="FC89">
        <f t="shared" si="143"/>
        <v>1.2442384720057896E-2</v>
      </c>
      <c r="FD89">
        <f t="shared" si="144"/>
        <v>1.2405218605115157E-2</v>
      </c>
      <c r="FE89">
        <f t="shared" si="145"/>
        <v>1.2285407658915001E-2</v>
      </c>
      <c r="FF89">
        <f t="shared" si="146"/>
        <v>1.204666444753219E-2</v>
      </c>
      <c r="FG89">
        <f t="shared" si="147"/>
        <v>1.1714930981959687E-2</v>
      </c>
      <c r="FH89">
        <f t="shared" si="148"/>
        <v>1.1361739568047039E-2</v>
      </c>
      <c r="FI89">
        <f t="shared" si="149"/>
        <v>1.0983910217349947E-2</v>
      </c>
      <c r="FJ89">
        <f t="shared" si="150"/>
        <v>1.0528938252243136E-2</v>
      </c>
      <c r="FK89">
        <f t="shared" si="151"/>
        <v>9.9814328076025596E-3</v>
      </c>
      <c r="FL89">
        <f t="shared" si="152"/>
        <v>9.3671162241668014E-3</v>
      </c>
      <c r="FM89">
        <f t="shared" si="153"/>
        <v>8.7322726758499187E-3</v>
      </c>
      <c r="FN89">
        <f t="shared" si="154"/>
        <v>8.0738511868966908E-3</v>
      </c>
      <c r="FO89">
        <f t="shared" si="155"/>
        <v>7.4134596393129505E-3</v>
      </c>
      <c r="FP89">
        <f t="shared" si="156"/>
        <v>6.7686019168600757E-3</v>
      </c>
      <c r="FQ89">
        <f t="shared" si="157"/>
        <v>6.136223556953411E-3</v>
      </c>
      <c r="FR89">
        <f t="shared" si="158"/>
        <v>5.4792700231921249E-3</v>
      </c>
      <c r="FS89">
        <f t="shared" si="159"/>
        <v>4.8940057026049359E-3</v>
      </c>
      <c r="FT89">
        <f t="shared" si="160"/>
        <v>4.330115646451466E-3</v>
      </c>
      <c r="FU89">
        <f t="shared" si="161"/>
        <v>3.6946619029835396E-3</v>
      </c>
      <c r="FV89">
        <f t="shared" si="162"/>
        <v>2.9995450210612349E-3</v>
      </c>
      <c r="FW89">
        <f t="shared" si="163"/>
        <v>2.3870694835669134E-3</v>
      </c>
      <c r="FX89">
        <f t="shared" si="164"/>
        <v>1.9747484161033715E-3</v>
      </c>
      <c r="FY89">
        <f t="shared" si="165"/>
        <v>1.6755645033022805E-3</v>
      </c>
      <c r="FZ89">
        <f t="shared" si="166"/>
        <v>1.3216443420378139E-3</v>
      </c>
      <c r="GA89">
        <f t="shared" si="167"/>
        <v>9.1298793230997117E-4</v>
      </c>
      <c r="GB89">
        <f t="shared" si="168"/>
        <v>7.4255519637919285E-4</v>
      </c>
      <c r="GC89">
        <f t="shared" si="169"/>
        <v>5.5304252978262305E-4</v>
      </c>
      <c r="GD89">
        <f t="shared" si="170"/>
        <v>3.4039823671732868E-4</v>
      </c>
      <c r="GE89">
        <f t="shared" si="171"/>
        <v>6.7346018430438964E-4</v>
      </c>
    </row>
    <row r="90" spans="1:187">
      <c r="A90" s="15">
        <v>2038</v>
      </c>
      <c r="B90" s="18">
        <v>4151.1220000000003</v>
      </c>
      <c r="C90" s="18">
        <v>4171.2950000000001</v>
      </c>
      <c r="D90" s="18">
        <v>4186.7060000000001</v>
      </c>
      <c r="E90" s="18">
        <v>4178.183</v>
      </c>
      <c r="F90" s="18">
        <v>4192.6509999999998</v>
      </c>
      <c r="G90" s="18">
        <v>4202.3879999999999</v>
      </c>
      <c r="H90" s="18">
        <v>4208.027</v>
      </c>
      <c r="I90" s="18">
        <v>4210.2039999999997</v>
      </c>
      <c r="J90" s="18">
        <v>4209.4679999999998</v>
      </c>
      <c r="K90" s="18">
        <v>4206.3680000000004</v>
      </c>
      <c r="L90" s="18">
        <v>4201.9639999999999</v>
      </c>
      <c r="M90" s="18">
        <v>4197.058</v>
      </c>
      <c r="N90" s="18">
        <v>4192.0320000000002</v>
      </c>
      <c r="O90" s="18">
        <v>4187.6859999999997</v>
      </c>
      <c r="P90" s="18">
        <v>4185.3310000000001</v>
      </c>
      <c r="Q90" s="18">
        <v>4182.2240000000002</v>
      </c>
      <c r="R90" s="18">
        <v>4177.5630000000001</v>
      </c>
      <c r="S90" s="18">
        <v>4173.9250000000002</v>
      </c>
      <c r="T90" s="18">
        <v>4173.7380000000003</v>
      </c>
      <c r="U90" s="18">
        <v>4175.3789999999999</v>
      </c>
      <c r="V90" s="18">
        <v>4190.2669999999998</v>
      </c>
      <c r="W90" s="18">
        <v>4223.9750000000004</v>
      </c>
      <c r="X90" s="18">
        <v>4271.2049999999999</v>
      </c>
      <c r="Y90" s="18">
        <v>4317.9459999999999</v>
      </c>
      <c r="Z90" s="18">
        <v>4363.2259999999997</v>
      </c>
      <c r="AA90" s="18">
        <v>4419.25</v>
      </c>
      <c r="AB90" s="18">
        <v>4489.4629999999997</v>
      </c>
      <c r="AC90" s="18">
        <v>4566.3270000000002</v>
      </c>
      <c r="AD90" s="18">
        <v>4641.8580000000002</v>
      </c>
      <c r="AE90" s="18">
        <v>4721.25</v>
      </c>
      <c r="AF90" s="18">
        <v>4772.8469999999998</v>
      </c>
      <c r="AG90" s="18">
        <v>4781.2219999999998</v>
      </c>
      <c r="AH90" s="18">
        <v>4761.6530000000002</v>
      </c>
      <c r="AI90" s="18">
        <v>4745.1409999999996</v>
      </c>
      <c r="AJ90" s="18">
        <v>4725.8329999999996</v>
      </c>
      <c r="AK90" s="18">
        <v>4714.1120000000001</v>
      </c>
      <c r="AL90" s="18">
        <v>4718.3829999999998</v>
      </c>
      <c r="AM90" s="18">
        <v>4733.5280000000002</v>
      </c>
      <c r="AN90" s="18">
        <v>4741.7079999999996</v>
      </c>
      <c r="AO90" s="18">
        <v>4741.3119999999999</v>
      </c>
      <c r="AP90" s="18">
        <v>4758.3720000000003</v>
      </c>
      <c r="AQ90" s="18">
        <v>4802.3919999999998</v>
      </c>
      <c r="AR90" s="18">
        <v>4859.8450000000003</v>
      </c>
      <c r="AS90" s="18">
        <v>4910.2860000000001</v>
      </c>
      <c r="AT90" s="18">
        <v>4960.9070000000002</v>
      </c>
      <c r="AU90" s="18">
        <v>4977.482</v>
      </c>
      <c r="AV90" s="18">
        <v>4941.8850000000002</v>
      </c>
      <c r="AW90" s="18">
        <v>4870.5150000000003</v>
      </c>
      <c r="AX90" s="18">
        <v>4798.9840000000004</v>
      </c>
      <c r="AY90" s="18">
        <v>4721.4799999999996</v>
      </c>
      <c r="AZ90" s="18">
        <v>4641.174</v>
      </c>
      <c r="BA90" s="18">
        <v>4563.6499999999996</v>
      </c>
      <c r="BB90" s="18">
        <v>4487.0029999999997</v>
      </c>
      <c r="BC90" s="18">
        <v>4405.08</v>
      </c>
      <c r="BD90" s="18">
        <v>4320.7049999999999</v>
      </c>
      <c r="BE90" s="18">
        <v>4235.2809999999999</v>
      </c>
      <c r="BF90" s="18">
        <v>4149.4219999999996</v>
      </c>
      <c r="BG90" s="18">
        <v>4064.933</v>
      </c>
      <c r="BH90" s="18">
        <v>3982.29</v>
      </c>
      <c r="BI90" s="18">
        <v>3900.5410000000002</v>
      </c>
      <c r="BJ90" s="18">
        <v>3830.9969999999998</v>
      </c>
      <c r="BK90" s="18">
        <v>3779.0749999999998</v>
      </c>
      <c r="BL90" s="18">
        <v>3739.973</v>
      </c>
      <c r="BM90" s="18">
        <v>3702.64</v>
      </c>
      <c r="BN90" s="18">
        <v>3668.2849999999999</v>
      </c>
      <c r="BO90" s="18">
        <v>3638.8330000000001</v>
      </c>
      <c r="BP90" s="18">
        <v>3613.806</v>
      </c>
      <c r="BQ90" s="18">
        <v>3592.1329999999998</v>
      </c>
      <c r="BR90" s="18">
        <v>3569.9949999999999</v>
      </c>
      <c r="BS90" s="18">
        <v>3544.2829999999999</v>
      </c>
      <c r="BT90" s="18">
        <v>3526.252</v>
      </c>
      <c r="BU90" s="18">
        <v>3519.86</v>
      </c>
      <c r="BV90" s="18">
        <v>3517.09</v>
      </c>
      <c r="BW90" s="18">
        <v>3506.3850000000002</v>
      </c>
      <c r="BX90" s="18">
        <v>3490.55</v>
      </c>
      <c r="BY90" s="18">
        <v>3450.5540000000001</v>
      </c>
      <c r="BZ90" s="18">
        <v>3375.8850000000002</v>
      </c>
      <c r="CA90" s="18">
        <v>3274.24</v>
      </c>
      <c r="CB90" s="18">
        <v>3166.6179999999999</v>
      </c>
      <c r="CC90" s="18">
        <v>3052.1770000000001</v>
      </c>
      <c r="CD90" s="18">
        <v>2915.761</v>
      </c>
      <c r="CE90" s="18">
        <v>2753.0129999999999</v>
      </c>
      <c r="CF90" s="18">
        <v>2571.5010000000002</v>
      </c>
      <c r="CG90" s="18">
        <v>2384.7640000000001</v>
      </c>
      <c r="CH90" s="18">
        <v>2192.0250000000001</v>
      </c>
      <c r="CI90" s="18">
        <v>1999.646</v>
      </c>
      <c r="CJ90" s="18">
        <v>1812.8019999999999</v>
      </c>
      <c r="CK90" s="18">
        <v>1630.7249999999999</v>
      </c>
      <c r="CL90" s="18">
        <v>1439.018</v>
      </c>
      <c r="CM90" s="18">
        <v>1277.1559999999999</v>
      </c>
      <c r="CN90" s="18">
        <v>1126.0119999999999</v>
      </c>
      <c r="CO90" s="18">
        <v>946.48400000000004</v>
      </c>
      <c r="CP90" s="18">
        <v>740.84500000000003</v>
      </c>
      <c r="CQ90" s="18">
        <v>577.14099999999996</v>
      </c>
      <c r="CR90" s="18">
        <v>481.98599999999999</v>
      </c>
      <c r="CS90" s="18">
        <v>405.613</v>
      </c>
      <c r="CT90" s="18">
        <v>315.92599999999999</v>
      </c>
      <c r="CU90" s="18">
        <v>212.92500000000001</v>
      </c>
      <c r="CV90" s="18">
        <v>167.12700000000001</v>
      </c>
      <c r="CW90" s="18">
        <v>102.483</v>
      </c>
      <c r="CX90" s="18">
        <v>201.36799999999999</v>
      </c>
      <c r="CY90" s="3">
        <f t="shared" si="172"/>
        <v>363569.99699999986</v>
      </c>
      <c r="CZ90" s="21">
        <f t="shared" si="88"/>
        <v>288155.80199999997</v>
      </c>
      <c r="DA90">
        <f t="shared" si="89"/>
        <v>1.4484310123313084E-2</v>
      </c>
      <c r="DB90">
        <f t="shared" si="90"/>
        <v>1.4490004959192181E-2</v>
      </c>
      <c r="DC90">
        <f t="shared" si="91"/>
        <v>1.4541671453139785E-2</v>
      </c>
      <c r="DD90">
        <f t="shared" si="92"/>
        <v>1.4658649836937869E-2</v>
      </c>
      <c r="DE90">
        <f t="shared" si="93"/>
        <v>1.4822554223634895E-2</v>
      </c>
      <c r="DF90">
        <f t="shared" si="94"/>
        <v>1.4984761611706157E-2</v>
      </c>
      <c r="DG90">
        <f t="shared" si="95"/>
        <v>1.5141898825969155E-2</v>
      </c>
      <c r="DH90">
        <f t="shared" si="96"/>
        <v>1.5336321425171237E-2</v>
      </c>
      <c r="DI90">
        <f t="shared" si="97"/>
        <v>1.5579984747279183E-2</v>
      </c>
      <c r="DJ90">
        <f t="shared" si="98"/>
        <v>1.584672933290443E-2</v>
      </c>
      <c r="DK90">
        <f t="shared" si="99"/>
        <v>1.6108847948860666E-2</v>
      </c>
      <c r="DL90">
        <f t="shared" si="100"/>
        <v>1.6384365566236285E-2</v>
      </c>
      <c r="DM90">
        <f t="shared" si="101"/>
        <v>1.6563424948840697E-2</v>
      </c>
      <c r="DN90">
        <f t="shared" si="102"/>
        <v>1.6592489086858644E-2</v>
      </c>
      <c r="DO90">
        <f t="shared" si="103"/>
        <v>1.6524577908724535E-2</v>
      </c>
      <c r="DP90">
        <f t="shared" si="104"/>
        <v>1.6467275574760073E-2</v>
      </c>
      <c r="DQ90">
        <f t="shared" si="105"/>
        <v>1.640027015662867E-2</v>
      </c>
      <c r="DR90">
        <f t="shared" si="106"/>
        <v>1.63595942447829E-2</v>
      </c>
      <c r="DS90">
        <f t="shared" si="107"/>
        <v>1.6374416087585841E-2</v>
      </c>
      <c r="DT90">
        <f t="shared" si="108"/>
        <v>1.6426974460156802E-2</v>
      </c>
      <c r="DU90">
        <f t="shared" si="109"/>
        <v>1.6455361880931343E-2</v>
      </c>
      <c r="DV90">
        <f t="shared" si="110"/>
        <v>1.6453987624375513E-2</v>
      </c>
      <c r="DW90">
        <f t="shared" si="111"/>
        <v>1.6513191707311175E-2</v>
      </c>
      <c r="DX90">
        <f t="shared" si="112"/>
        <v>1.6665956287078336E-2</v>
      </c>
      <c r="DY90">
        <f t="shared" si="113"/>
        <v>1.6865338009053869E-2</v>
      </c>
      <c r="DZ90">
        <f t="shared" si="114"/>
        <v>1.7040385673025595E-2</v>
      </c>
      <c r="EA90">
        <f t="shared" si="115"/>
        <v>1.7216057999068158E-2</v>
      </c>
      <c r="EB90">
        <f t="shared" si="116"/>
        <v>1.7273578964757407E-2</v>
      </c>
      <c r="EC90">
        <f t="shared" si="117"/>
        <v>1.7150045099560415E-2</v>
      </c>
      <c r="ED90">
        <f t="shared" si="118"/>
        <v>1.6902366588474941E-2</v>
      </c>
      <c r="EE90">
        <f t="shared" si="119"/>
        <v>1.6654129351870557E-2</v>
      </c>
      <c r="EF90">
        <f t="shared" si="120"/>
        <v>1.6385163745549013E-2</v>
      </c>
      <c r="EG90">
        <f t="shared" si="121"/>
        <v>1.61064742329915E-2</v>
      </c>
      <c r="EH90">
        <f t="shared" si="122"/>
        <v>1.5837439219773198E-2</v>
      </c>
      <c r="EI90">
        <f t="shared" si="123"/>
        <v>1.5571447698977793E-2</v>
      </c>
      <c r="EJ90">
        <f t="shared" si="124"/>
        <v>1.528714663881729E-2</v>
      </c>
      <c r="EK90">
        <f t="shared" si="125"/>
        <v>1.4994336293114099E-2</v>
      </c>
      <c r="EL90">
        <f t="shared" si="126"/>
        <v>1.4697885555675886E-2</v>
      </c>
      <c r="EM90">
        <f t="shared" si="127"/>
        <v>1.4399925218233156E-2</v>
      </c>
      <c r="EN90">
        <f t="shared" si="128"/>
        <v>1.4106719253218439E-2</v>
      </c>
      <c r="EO90">
        <f t="shared" si="129"/>
        <v>1.3819919544774602E-2</v>
      </c>
      <c r="EP90">
        <f t="shared" si="130"/>
        <v>1.3536222324615906E-2</v>
      </c>
      <c r="EQ90">
        <f t="shared" si="131"/>
        <v>1.3294880663204554E-2</v>
      </c>
      <c r="ER90">
        <f t="shared" si="132"/>
        <v>1.3114693418527801E-2</v>
      </c>
      <c r="ES90">
        <f t="shared" si="133"/>
        <v>1.2978995994673745E-2</v>
      </c>
      <c r="ET90">
        <f t="shared" si="134"/>
        <v>1.2849437610838043E-2</v>
      </c>
      <c r="EU90">
        <f t="shared" si="135"/>
        <v>1.2730213913929799E-2</v>
      </c>
      <c r="EV90">
        <f t="shared" si="136"/>
        <v>1.2628005317762092E-2</v>
      </c>
      <c r="EW90">
        <f t="shared" si="137"/>
        <v>1.2541152997502374E-2</v>
      </c>
      <c r="EX90">
        <f t="shared" si="138"/>
        <v>1.2465940213829185E-2</v>
      </c>
      <c r="EY90">
        <f t="shared" si="139"/>
        <v>1.2389113719806343E-2</v>
      </c>
      <c r="EZ90">
        <f t="shared" si="140"/>
        <v>1.2299884213332621E-2</v>
      </c>
      <c r="FA90">
        <f t="shared" si="141"/>
        <v>1.2237310425559296E-2</v>
      </c>
      <c r="FB90">
        <f t="shared" si="142"/>
        <v>1.2215127981355033E-2</v>
      </c>
      <c r="FC90">
        <f t="shared" si="143"/>
        <v>1.2205515126153874E-2</v>
      </c>
      <c r="FD90">
        <f t="shared" si="144"/>
        <v>1.2168365084663471E-2</v>
      </c>
      <c r="FE90">
        <f t="shared" si="145"/>
        <v>1.2113412174154316E-2</v>
      </c>
      <c r="FF90">
        <f t="shared" si="146"/>
        <v>1.1974612262015119E-2</v>
      </c>
      <c r="FG90">
        <f t="shared" si="147"/>
        <v>1.1715485083309204E-2</v>
      </c>
      <c r="FH90">
        <f t="shared" si="148"/>
        <v>1.136274188225438E-2</v>
      </c>
      <c r="FI90">
        <f t="shared" si="149"/>
        <v>1.0989256430103046E-2</v>
      </c>
      <c r="FJ90">
        <f t="shared" si="150"/>
        <v>1.059210669650164E-2</v>
      </c>
      <c r="FK90">
        <f t="shared" si="151"/>
        <v>1.0118696135085977E-2</v>
      </c>
      <c r="FL90">
        <f t="shared" si="152"/>
        <v>9.5539044533970562E-3</v>
      </c>
      <c r="FM90">
        <f t="shared" si="153"/>
        <v>8.923995221168584E-3</v>
      </c>
      <c r="FN90">
        <f t="shared" si="154"/>
        <v>8.2759534371617486E-3</v>
      </c>
      <c r="FO90">
        <f t="shared" si="155"/>
        <v>7.6070826434374563E-3</v>
      </c>
      <c r="FP90">
        <f t="shared" si="156"/>
        <v>6.9394611738548308E-3</v>
      </c>
      <c r="FQ90">
        <f t="shared" si="157"/>
        <v>6.2910480629503347E-3</v>
      </c>
      <c r="FR90">
        <f t="shared" si="158"/>
        <v>5.6591780858884118E-3</v>
      </c>
      <c r="FS90">
        <f t="shared" si="159"/>
        <v>4.9938886880368984E-3</v>
      </c>
      <c r="FT90">
        <f t="shared" si="160"/>
        <v>4.4321717318744121E-3</v>
      </c>
      <c r="FU90">
        <f t="shared" si="161"/>
        <v>3.9076499316852212E-3</v>
      </c>
      <c r="FV90">
        <f t="shared" si="162"/>
        <v>3.2846258636152681E-3</v>
      </c>
      <c r="FW90">
        <f t="shared" si="163"/>
        <v>2.5709876214812435E-3</v>
      </c>
      <c r="FX90">
        <f t="shared" si="164"/>
        <v>2.0028782901272278E-3</v>
      </c>
      <c r="FY90">
        <f t="shared" si="165"/>
        <v>1.6726576270707887E-3</v>
      </c>
      <c r="FZ90">
        <f t="shared" si="166"/>
        <v>1.4076169807609844E-3</v>
      </c>
      <c r="GA90">
        <f t="shared" si="167"/>
        <v>1.0963721632785309E-3</v>
      </c>
      <c r="GB90">
        <f t="shared" si="168"/>
        <v>7.3892317462342829E-4</v>
      </c>
      <c r="GC90">
        <f t="shared" si="169"/>
        <v>5.799883217343652E-4</v>
      </c>
      <c r="GD90">
        <f t="shared" si="170"/>
        <v>3.5565135002903745E-4</v>
      </c>
      <c r="GE90">
        <f t="shared" si="171"/>
        <v>6.9881639933108133E-4</v>
      </c>
    </row>
    <row r="91" spans="1:187">
      <c r="A91" s="15">
        <v>2039</v>
      </c>
      <c r="B91" s="18">
        <v>4151.9639999999999</v>
      </c>
      <c r="C91" s="18">
        <v>4169.5240000000003</v>
      </c>
      <c r="D91" s="18">
        <v>4183.2629999999999</v>
      </c>
      <c r="E91" s="18">
        <v>4193.5659999999998</v>
      </c>
      <c r="F91" s="18">
        <v>4190.0339999999997</v>
      </c>
      <c r="G91" s="18">
        <v>4198.9639999999999</v>
      </c>
      <c r="H91" s="18">
        <v>4204.7860000000001</v>
      </c>
      <c r="I91" s="18">
        <v>4207.9970000000003</v>
      </c>
      <c r="J91" s="18">
        <v>4209.085</v>
      </c>
      <c r="K91" s="18">
        <v>4208.4350000000004</v>
      </c>
      <c r="L91" s="18">
        <v>4206.424</v>
      </c>
      <c r="M91" s="18">
        <v>4204.1120000000001</v>
      </c>
      <c r="N91" s="18">
        <v>4202.2160000000003</v>
      </c>
      <c r="O91" s="18">
        <v>4200.8900000000003</v>
      </c>
      <c r="P91" s="18">
        <v>4200.6400000000003</v>
      </c>
      <c r="Q91" s="18">
        <v>4202.6450000000004</v>
      </c>
      <c r="R91" s="18">
        <v>4203.9579999999996</v>
      </c>
      <c r="S91" s="18">
        <v>4203.5870000000004</v>
      </c>
      <c r="T91" s="18">
        <v>4203.9719999999998</v>
      </c>
      <c r="U91" s="18">
        <v>4207.7179999999998</v>
      </c>
      <c r="V91" s="18">
        <v>4213.3</v>
      </c>
      <c r="W91" s="18">
        <v>4230.6189999999997</v>
      </c>
      <c r="X91" s="18">
        <v>4264.5519999999997</v>
      </c>
      <c r="Y91" s="18">
        <v>4310.4520000000002</v>
      </c>
      <c r="Z91" s="18">
        <v>4355.732</v>
      </c>
      <c r="AA91" s="18">
        <v>4399.2259999999997</v>
      </c>
      <c r="AB91" s="18">
        <v>4453.1639999999998</v>
      </c>
      <c r="AC91" s="18">
        <v>4521.1790000000001</v>
      </c>
      <c r="AD91" s="18">
        <v>4595.7340000000004</v>
      </c>
      <c r="AE91" s="18">
        <v>4668.6639999999998</v>
      </c>
      <c r="AF91" s="18">
        <v>4745.201</v>
      </c>
      <c r="AG91" s="18">
        <v>4794.1689999999999</v>
      </c>
      <c r="AH91" s="18">
        <v>4800.3639999999996</v>
      </c>
      <c r="AI91" s="18">
        <v>4778.92</v>
      </c>
      <c r="AJ91" s="18">
        <v>4760.4560000000001</v>
      </c>
      <c r="AK91" s="18">
        <v>4739.1790000000001</v>
      </c>
      <c r="AL91" s="18">
        <v>4725.6239999999998</v>
      </c>
      <c r="AM91" s="18">
        <v>4728.2290000000003</v>
      </c>
      <c r="AN91" s="18">
        <v>4741.8320000000003</v>
      </c>
      <c r="AO91" s="18">
        <v>4748.5159999999996</v>
      </c>
      <c r="AP91" s="18">
        <v>4746.68</v>
      </c>
      <c r="AQ91" s="18">
        <v>4762.308</v>
      </c>
      <c r="AR91" s="18">
        <v>4804.87</v>
      </c>
      <c r="AS91" s="18">
        <v>4860.8540000000003</v>
      </c>
      <c r="AT91" s="18">
        <v>4909.8620000000001</v>
      </c>
      <c r="AU91" s="18">
        <v>4959.0709999999999</v>
      </c>
      <c r="AV91" s="18">
        <v>4974.2619999999997</v>
      </c>
      <c r="AW91" s="18">
        <v>4937.3180000000002</v>
      </c>
      <c r="AX91" s="18">
        <v>4864.62</v>
      </c>
      <c r="AY91" s="18">
        <v>4791.76</v>
      </c>
      <c r="AZ91" s="18">
        <v>4712.9359999999997</v>
      </c>
      <c r="BA91" s="18">
        <v>4631.2610000000004</v>
      </c>
      <c r="BB91" s="18">
        <v>4552.2889999999998</v>
      </c>
      <c r="BC91" s="18">
        <v>4474.143</v>
      </c>
      <c r="BD91" s="18">
        <v>4390.7060000000001</v>
      </c>
      <c r="BE91" s="18">
        <v>4304.7830000000004</v>
      </c>
      <c r="BF91" s="18">
        <v>4217.8530000000001</v>
      </c>
      <c r="BG91" s="18">
        <v>4130.5720000000001</v>
      </c>
      <c r="BH91" s="18">
        <v>4044.6959999999999</v>
      </c>
      <c r="BI91" s="18">
        <v>3960.5819999999999</v>
      </c>
      <c r="BJ91" s="18">
        <v>3877.2689999999998</v>
      </c>
      <c r="BK91" s="18">
        <v>3806.1410000000001</v>
      </c>
      <c r="BL91" s="18">
        <v>3752.627</v>
      </c>
      <c r="BM91" s="18">
        <v>3711.873</v>
      </c>
      <c r="BN91" s="18">
        <v>3672.7159999999999</v>
      </c>
      <c r="BO91" s="18">
        <v>3636.3420000000001</v>
      </c>
      <c r="BP91" s="18">
        <v>3604.7139999999999</v>
      </c>
      <c r="BQ91" s="18">
        <v>3577.35</v>
      </c>
      <c r="BR91" s="18">
        <v>3553.1190000000001</v>
      </c>
      <c r="BS91" s="18">
        <v>3528.1869999999999</v>
      </c>
      <c r="BT91" s="18">
        <v>3499.4960000000001</v>
      </c>
      <c r="BU91" s="18">
        <v>3477.877</v>
      </c>
      <c r="BV91" s="18">
        <v>3467.09</v>
      </c>
      <c r="BW91" s="18">
        <v>3459.3180000000002</v>
      </c>
      <c r="BX91" s="18">
        <v>3443.511</v>
      </c>
      <c r="BY91" s="18">
        <v>3422.5059999999999</v>
      </c>
      <c r="BZ91" s="18">
        <v>3376.884</v>
      </c>
      <c r="CA91" s="18">
        <v>3296.038</v>
      </c>
      <c r="CB91" s="18">
        <v>3187.9110000000001</v>
      </c>
      <c r="CC91" s="18">
        <v>3073.9879999999998</v>
      </c>
      <c r="CD91" s="18">
        <v>2953.4949999999999</v>
      </c>
      <c r="CE91" s="18">
        <v>2811.181</v>
      </c>
      <c r="CF91" s="18">
        <v>2642.7460000000001</v>
      </c>
      <c r="CG91" s="18">
        <v>2455.9499999999998</v>
      </c>
      <c r="CH91" s="18">
        <v>2264.5920000000001</v>
      </c>
      <c r="CI91" s="18">
        <v>2067.9969999999998</v>
      </c>
      <c r="CJ91" s="18">
        <v>1872.683</v>
      </c>
      <c r="CK91" s="18">
        <v>1683.9849999999999</v>
      </c>
      <c r="CL91" s="18">
        <v>1501.241</v>
      </c>
      <c r="CM91" s="18">
        <v>1306.2840000000001</v>
      </c>
      <c r="CN91" s="18">
        <v>1150.4469999999999</v>
      </c>
      <c r="CO91" s="18">
        <v>1009.9160000000001</v>
      </c>
      <c r="CP91" s="18">
        <v>833.149</v>
      </c>
      <c r="CQ91" s="18">
        <v>621.28200000000004</v>
      </c>
      <c r="CR91" s="18">
        <v>469.565</v>
      </c>
      <c r="CS91" s="18">
        <v>397.52499999999998</v>
      </c>
      <c r="CT91" s="18">
        <v>330.6</v>
      </c>
      <c r="CU91" s="18">
        <v>252.74799999999999</v>
      </c>
      <c r="CV91" s="18">
        <v>163.96600000000001</v>
      </c>
      <c r="CW91" s="18">
        <v>108.22499999999999</v>
      </c>
      <c r="CX91" s="18">
        <v>210.684</v>
      </c>
      <c r="CY91" s="3">
        <f t="shared" si="172"/>
        <v>365093.53599999991</v>
      </c>
      <c r="CZ91" s="21">
        <f t="shared" si="88"/>
        <v>289551.44599999988</v>
      </c>
      <c r="DA91">
        <f t="shared" si="89"/>
        <v>1.451891212451414E-2</v>
      </c>
      <c r="DB91">
        <f t="shared" si="90"/>
        <v>1.4531849376431715E-2</v>
      </c>
      <c r="DC91">
        <f t="shared" si="91"/>
        <v>1.4551127470453047E-2</v>
      </c>
      <c r="DD91">
        <f t="shared" si="92"/>
        <v>1.4610940675461179E-2</v>
      </c>
      <c r="DE91">
        <f t="shared" si="93"/>
        <v>1.4728132284996434E-2</v>
      </c>
      <c r="DF91">
        <f t="shared" si="94"/>
        <v>1.4886653337590315E-2</v>
      </c>
      <c r="DG91">
        <f t="shared" si="95"/>
        <v>1.5043033147207981E-2</v>
      </c>
      <c r="DH91">
        <f t="shared" si="96"/>
        <v>1.519324479560707E-2</v>
      </c>
      <c r="DI91">
        <f t="shared" si="97"/>
        <v>1.5379526027302248E-2</v>
      </c>
      <c r="DJ91">
        <f t="shared" si="98"/>
        <v>1.5614423835410588E-2</v>
      </c>
      <c r="DK91">
        <f t="shared" si="99"/>
        <v>1.5871908303300278E-2</v>
      </c>
      <c r="DL91">
        <f t="shared" si="100"/>
        <v>1.6123780642421665E-2</v>
      </c>
      <c r="DM91">
        <f t="shared" si="101"/>
        <v>1.6388110180599831E-2</v>
      </c>
      <c r="DN91">
        <f t="shared" si="102"/>
        <v>1.6557226932308263E-2</v>
      </c>
      <c r="DO91">
        <f t="shared" si="103"/>
        <v>1.6578622093981882E-2</v>
      </c>
      <c r="DP91">
        <f t="shared" si="104"/>
        <v>1.6504562715946521E-2</v>
      </c>
      <c r="DQ91">
        <f t="shared" si="105"/>
        <v>1.6440795118667795E-2</v>
      </c>
      <c r="DR91">
        <f t="shared" si="106"/>
        <v>1.636731249478893E-2</v>
      </c>
      <c r="DS91">
        <f t="shared" si="107"/>
        <v>1.6320498706817031E-2</v>
      </c>
      <c r="DT91">
        <f t="shared" si="108"/>
        <v>1.6329495380934835E-2</v>
      </c>
      <c r="DU91">
        <f t="shared" si="109"/>
        <v>1.6376474942556504E-2</v>
      </c>
      <c r="DV91">
        <f t="shared" si="110"/>
        <v>1.6399558923287164E-2</v>
      </c>
      <c r="DW91">
        <f t="shared" si="111"/>
        <v>1.6393218081183412E-2</v>
      </c>
      <c r="DX91">
        <f t="shared" si="112"/>
        <v>1.6447191218654809E-2</v>
      </c>
      <c r="DY91">
        <f t="shared" si="113"/>
        <v>1.659418409535417E-2</v>
      </c>
      <c r="DZ91">
        <f t="shared" si="114"/>
        <v>1.6787531428870857E-2</v>
      </c>
      <c r="EA91">
        <f t="shared" si="115"/>
        <v>1.695678632528743E-2</v>
      </c>
      <c r="EB91">
        <f t="shared" si="116"/>
        <v>1.7126735398862426E-2</v>
      </c>
      <c r="EC91">
        <f t="shared" si="117"/>
        <v>1.7179199305397363E-2</v>
      </c>
      <c r="ED91">
        <f t="shared" si="118"/>
        <v>1.705160885295666E-2</v>
      </c>
      <c r="EE91">
        <f t="shared" si="119"/>
        <v>1.6800537753142501E-2</v>
      </c>
      <c r="EF91">
        <f t="shared" si="120"/>
        <v>1.6548907167260363E-2</v>
      </c>
      <c r="EG91">
        <f t="shared" si="121"/>
        <v>1.6276679205394131E-2</v>
      </c>
      <c r="EH91">
        <f t="shared" si="122"/>
        <v>1.5994604979455023E-2</v>
      </c>
      <c r="EI91">
        <f t="shared" si="123"/>
        <v>1.5721865882168663E-2</v>
      </c>
      <c r="EJ91">
        <f t="shared" si="124"/>
        <v>1.5451979473105452E-2</v>
      </c>
      <c r="EK91">
        <f t="shared" si="125"/>
        <v>1.5163819972772653E-2</v>
      </c>
      <c r="EL91">
        <f t="shared" si="126"/>
        <v>1.4867074778828775E-2</v>
      </c>
      <c r="EM91">
        <f t="shared" si="127"/>
        <v>1.4566851791857401E-2</v>
      </c>
      <c r="EN91">
        <f t="shared" si="128"/>
        <v>1.4265416585072077E-2</v>
      </c>
      <c r="EO91">
        <f t="shared" si="129"/>
        <v>1.3968833711160266E-2</v>
      </c>
      <c r="EP91">
        <f t="shared" si="130"/>
        <v>1.3678336111642148E-2</v>
      </c>
      <c r="EQ91">
        <f t="shared" si="131"/>
        <v>1.3390604859904589E-2</v>
      </c>
      <c r="ER91">
        <f t="shared" si="132"/>
        <v>1.3144955939885038E-2</v>
      </c>
      <c r="ES91">
        <f t="shared" si="133"/>
        <v>1.2960139042096173E-2</v>
      </c>
      <c r="ET91">
        <f t="shared" si="134"/>
        <v>1.2819390306204865E-2</v>
      </c>
      <c r="EU91">
        <f t="shared" si="135"/>
        <v>1.268415699778616E-2</v>
      </c>
      <c r="EV91">
        <f t="shared" si="136"/>
        <v>1.2558535107436491E-2</v>
      </c>
      <c r="EW91">
        <f t="shared" si="137"/>
        <v>1.2449304086707969E-2</v>
      </c>
      <c r="EX91">
        <f t="shared" si="138"/>
        <v>1.2354799291867467E-2</v>
      </c>
      <c r="EY91">
        <f t="shared" si="139"/>
        <v>1.2271114681292255E-2</v>
      </c>
      <c r="EZ91">
        <f t="shared" si="140"/>
        <v>1.2185009084706837E-2</v>
      </c>
      <c r="FA91">
        <f t="shared" si="141"/>
        <v>1.2085921339173701E-2</v>
      </c>
      <c r="FB91">
        <f t="shared" si="142"/>
        <v>1.2011257578040212E-2</v>
      </c>
      <c r="FC91">
        <f t="shared" si="143"/>
        <v>1.1974003403871799E-2</v>
      </c>
      <c r="FD91">
        <f t="shared" si="144"/>
        <v>1.1947161887079651E-2</v>
      </c>
      <c r="FE91">
        <f t="shared" si="145"/>
        <v>1.1892570552039313E-2</v>
      </c>
      <c r="FF91">
        <f t="shared" si="146"/>
        <v>1.1820027312175817E-2</v>
      </c>
      <c r="FG91">
        <f t="shared" si="147"/>
        <v>1.166246636530353E-2</v>
      </c>
      <c r="FH91">
        <f t="shared" si="148"/>
        <v>1.138325518844068E-2</v>
      </c>
      <c r="FI91">
        <f t="shared" si="149"/>
        <v>1.1009825867006726E-2</v>
      </c>
      <c r="FJ91">
        <f t="shared" si="150"/>
        <v>1.0616379377362879E-2</v>
      </c>
      <c r="FK91">
        <f t="shared" si="151"/>
        <v>1.0200242619406575E-2</v>
      </c>
      <c r="FL91">
        <f t="shared" si="152"/>
        <v>9.7087444695406599E-3</v>
      </c>
      <c r="FM91">
        <f t="shared" si="153"/>
        <v>9.1270343716397858E-3</v>
      </c>
      <c r="FN91">
        <f t="shared" si="154"/>
        <v>8.4819123990836527E-3</v>
      </c>
      <c r="FO91">
        <f t="shared" si="155"/>
        <v>7.821035022563835E-3</v>
      </c>
      <c r="FP91">
        <f t="shared" si="156"/>
        <v>7.142071050130417E-3</v>
      </c>
      <c r="FQ91">
        <f t="shared" si="157"/>
        <v>6.4675311619752738E-3</v>
      </c>
      <c r="FR91">
        <f t="shared" si="158"/>
        <v>5.8158404085469515E-3</v>
      </c>
      <c r="FS91">
        <f t="shared" si="159"/>
        <v>5.1847124949256883E-3</v>
      </c>
      <c r="FT91">
        <f t="shared" si="160"/>
        <v>4.5114055482907197E-3</v>
      </c>
      <c r="FU91">
        <f t="shared" si="161"/>
        <v>3.9732041262194231E-3</v>
      </c>
      <c r="FV91">
        <f t="shared" si="162"/>
        <v>3.4878637767189755E-3</v>
      </c>
      <c r="FW91">
        <f t="shared" si="163"/>
        <v>2.8773781361119515E-3</v>
      </c>
      <c r="FX91">
        <f t="shared" si="164"/>
        <v>2.1456705141096074E-3</v>
      </c>
      <c r="FY91">
        <f t="shared" si="165"/>
        <v>1.6216979969770214E-3</v>
      </c>
      <c r="FZ91">
        <f t="shared" si="166"/>
        <v>1.3728993776118117E-3</v>
      </c>
      <c r="GA91">
        <f t="shared" si="167"/>
        <v>1.1417660128003649E-3</v>
      </c>
      <c r="GB91">
        <f t="shared" si="168"/>
        <v>8.7289496734200417E-4</v>
      </c>
      <c r="GC91">
        <f t="shared" si="169"/>
        <v>5.662758803836195E-4</v>
      </c>
      <c r="GD91">
        <f t="shared" si="170"/>
        <v>3.7376777596890345E-4</v>
      </c>
      <c r="GE91">
        <f t="shared" si="171"/>
        <v>7.2762199225902009E-4</v>
      </c>
    </row>
    <row r="92" spans="1:187">
      <c r="A92" s="15">
        <v>2040</v>
      </c>
      <c r="B92" s="18">
        <v>4149.3050000000003</v>
      </c>
      <c r="C92" s="18">
        <v>4165.38</v>
      </c>
      <c r="D92" s="18">
        <v>4178.2160000000003</v>
      </c>
      <c r="E92" s="18">
        <v>4188.1629999999996</v>
      </c>
      <c r="F92" s="18">
        <v>4195.5730000000003</v>
      </c>
      <c r="G92" s="18">
        <v>4200.799</v>
      </c>
      <c r="H92" s="18">
        <v>4204.1909999999998</v>
      </c>
      <c r="I92" s="18">
        <v>4206.1019999999999</v>
      </c>
      <c r="J92" s="18">
        <v>4206.8829999999998</v>
      </c>
      <c r="K92" s="18">
        <v>4206.8850000000002</v>
      </c>
      <c r="L92" s="18">
        <v>4206.32</v>
      </c>
      <c r="M92" s="18">
        <v>4205.3980000000001</v>
      </c>
      <c r="N92" s="18">
        <v>4205.1760000000004</v>
      </c>
      <c r="O92" s="18">
        <v>4206.2870000000003</v>
      </c>
      <c r="P92" s="18">
        <v>4208.6610000000001</v>
      </c>
      <c r="Q92" s="18">
        <v>4212.5020000000004</v>
      </c>
      <c r="R92" s="18">
        <v>4218.8620000000001</v>
      </c>
      <c r="S92" s="18">
        <v>4224.5929999999998</v>
      </c>
      <c r="T92" s="18">
        <v>4228.5079999999998</v>
      </c>
      <c r="U92" s="18">
        <v>4232.9139999999998</v>
      </c>
      <c r="V92" s="18">
        <v>4240.5879999999997</v>
      </c>
      <c r="W92" s="18">
        <v>4250.1049999999996</v>
      </c>
      <c r="X92" s="18">
        <v>4269.8490000000002</v>
      </c>
      <c r="Y92" s="18">
        <v>4303.9970000000003</v>
      </c>
      <c r="Z92" s="18">
        <v>4348.5559999999996</v>
      </c>
      <c r="AA92" s="18">
        <v>4392.3639999999996</v>
      </c>
      <c r="AB92" s="18">
        <v>4434.0619999999999</v>
      </c>
      <c r="AC92" s="18">
        <v>4485.9030000000002</v>
      </c>
      <c r="AD92" s="18">
        <v>4551.7039999999997</v>
      </c>
      <c r="AE92" s="18">
        <v>4623.933</v>
      </c>
      <c r="AF92" s="18">
        <v>4694.2449999999999</v>
      </c>
      <c r="AG92" s="18">
        <v>4767.9080000000004</v>
      </c>
      <c r="AH92" s="18">
        <v>4814.2370000000001</v>
      </c>
      <c r="AI92" s="18">
        <v>4818.2529999999997</v>
      </c>
      <c r="AJ92" s="18">
        <v>4794.9399999999996</v>
      </c>
      <c r="AK92" s="18">
        <v>4774.5290000000005</v>
      </c>
      <c r="AL92" s="18">
        <v>4751.2920000000004</v>
      </c>
      <c r="AM92" s="18">
        <v>4735.9080000000004</v>
      </c>
      <c r="AN92" s="18">
        <v>4736.8469999999998</v>
      </c>
      <c r="AO92" s="18">
        <v>4748.9070000000002</v>
      </c>
      <c r="AP92" s="18">
        <v>4754.0919999999996</v>
      </c>
      <c r="AQ92" s="18">
        <v>4750.82</v>
      </c>
      <c r="AR92" s="18">
        <v>4765.0119999999997</v>
      </c>
      <c r="AS92" s="18">
        <v>4806.1040000000003</v>
      </c>
      <c r="AT92" s="18">
        <v>4860.607</v>
      </c>
      <c r="AU92" s="18">
        <v>4908.1719999999996</v>
      </c>
      <c r="AV92" s="18">
        <v>4955.9570000000003</v>
      </c>
      <c r="AW92" s="18">
        <v>4969.7619999999997</v>
      </c>
      <c r="AX92" s="18">
        <v>4931.4809999999998</v>
      </c>
      <c r="AY92" s="18">
        <v>4857.4740000000002</v>
      </c>
      <c r="AZ92" s="18">
        <v>4783.3050000000003</v>
      </c>
      <c r="BA92" s="18">
        <v>4703.183</v>
      </c>
      <c r="BB92" s="18">
        <v>4620.16</v>
      </c>
      <c r="BC92" s="18">
        <v>4539.7610000000004</v>
      </c>
      <c r="BD92" s="18">
        <v>4460.1350000000002</v>
      </c>
      <c r="BE92" s="18">
        <v>4375.2089999999998</v>
      </c>
      <c r="BF92" s="18">
        <v>4287.7579999999998</v>
      </c>
      <c r="BG92" s="18">
        <v>4199.3450000000003</v>
      </c>
      <c r="BH92" s="18">
        <v>4110.665</v>
      </c>
      <c r="BI92" s="18">
        <v>4023.4250000000002</v>
      </c>
      <c r="BJ92" s="18">
        <v>3937.8629999999998</v>
      </c>
      <c r="BK92" s="18">
        <v>3853.0079999999998</v>
      </c>
      <c r="BL92" s="18">
        <v>3780.3139999999999</v>
      </c>
      <c r="BM92" s="18">
        <v>3725.2249999999999</v>
      </c>
      <c r="BN92" s="18">
        <v>3682.828</v>
      </c>
      <c r="BO92" s="18">
        <v>3641.857</v>
      </c>
      <c r="BP92" s="18">
        <v>3603.4749999999999</v>
      </c>
      <c r="BQ92" s="18">
        <v>3569.6819999999998</v>
      </c>
      <c r="BR92" s="18">
        <v>3539.99</v>
      </c>
      <c r="BS92" s="18">
        <v>3513.2089999999998</v>
      </c>
      <c r="BT92" s="18">
        <v>3485.491</v>
      </c>
      <c r="BU92" s="18">
        <v>3453.8319999999999</v>
      </c>
      <c r="BV92" s="18">
        <v>3428.6350000000002</v>
      </c>
      <c r="BW92" s="18">
        <v>3413.4589999999998</v>
      </c>
      <c r="BX92" s="18">
        <v>3400.6880000000001</v>
      </c>
      <c r="BY92" s="18">
        <v>3379.7860000000001</v>
      </c>
      <c r="BZ92" s="18">
        <v>3353.6190000000001</v>
      </c>
      <c r="CA92" s="18">
        <v>3302.386</v>
      </c>
      <c r="CB92" s="18">
        <v>3215.3870000000002</v>
      </c>
      <c r="CC92" s="18">
        <v>3100.8110000000001</v>
      </c>
      <c r="CD92" s="18">
        <v>2980.6219999999998</v>
      </c>
      <c r="CE92" s="18">
        <v>2854.1089999999999</v>
      </c>
      <c r="CF92" s="18">
        <v>2705.9389999999999</v>
      </c>
      <c r="CG92" s="18">
        <v>2531.8649999999998</v>
      </c>
      <c r="CH92" s="18">
        <v>2339.8380000000002</v>
      </c>
      <c r="CI92" s="18">
        <v>2143.9140000000002</v>
      </c>
      <c r="CJ92" s="18">
        <v>1943.5150000000001</v>
      </c>
      <c r="CK92" s="18">
        <v>1745.3209999999999</v>
      </c>
      <c r="CL92" s="18">
        <v>1554.818</v>
      </c>
      <c r="CM92" s="18">
        <v>1371.454</v>
      </c>
      <c r="CN92" s="18">
        <v>1173.3040000000001</v>
      </c>
      <c r="CO92" s="18">
        <v>1023.529</v>
      </c>
      <c r="CP92" s="18">
        <v>893.63900000000001</v>
      </c>
      <c r="CQ92" s="18">
        <v>719.678</v>
      </c>
      <c r="CR92" s="18">
        <v>501.64400000000001</v>
      </c>
      <c r="CS92" s="18">
        <v>361.947</v>
      </c>
      <c r="CT92" s="18">
        <v>313.02199999999999</v>
      </c>
      <c r="CU92" s="18">
        <v>255.55600000000001</v>
      </c>
      <c r="CV92" s="18">
        <v>189.55</v>
      </c>
      <c r="CW92" s="18">
        <v>115.004</v>
      </c>
      <c r="CX92" s="18">
        <v>221.065</v>
      </c>
      <c r="CY92" s="3">
        <f t="shared" si="172"/>
        <v>366572.14999999979</v>
      </c>
      <c r="CZ92" s="21">
        <f t="shared" si="88"/>
        <v>290982.85399999999</v>
      </c>
      <c r="DA92">
        <f t="shared" si="89"/>
        <v>1.4531811554779787E-2</v>
      </c>
      <c r="DB92">
        <f t="shared" si="90"/>
        <v>1.4546953340419158E-2</v>
      </c>
      <c r="DC92">
        <f t="shared" si="91"/>
        <v>1.4573326028343924E-2</v>
      </c>
      <c r="DD92">
        <f t="shared" si="92"/>
        <v>1.4606032422790106E-2</v>
      </c>
      <c r="DE92">
        <f t="shared" si="93"/>
        <v>1.4673885217992948E-2</v>
      </c>
      <c r="DF92">
        <f t="shared" si="94"/>
        <v>1.4791239211640973E-2</v>
      </c>
      <c r="DG92">
        <f t="shared" si="95"/>
        <v>1.4944371945709212E-2</v>
      </c>
      <c r="DH92">
        <f t="shared" si="96"/>
        <v>1.5094923771694121E-2</v>
      </c>
      <c r="DI92">
        <f t="shared" si="97"/>
        <v>1.5238224311319732E-2</v>
      </c>
      <c r="DJ92">
        <f t="shared" si="98"/>
        <v>1.541638257489907E-2</v>
      </c>
      <c r="DK92">
        <f t="shared" si="99"/>
        <v>1.5642516173822393E-2</v>
      </c>
      <c r="DL92">
        <f t="shared" si="100"/>
        <v>1.5890740421427029E-2</v>
      </c>
      <c r="DM92">
        <f t="shared" si="101"/>
        <v>1.6132376651993387E-2</v>
      </c>
      <c r="DN92">
        <f t="shared" si="102"/>
        <v>1.6385529025019462E-2</v>
      </c>
      <c r="DO92">
        <f t="shared" si="103"/>
        <v>1.654474459172086E-2</v>
      </c>
      <c r="DP92">
        <f t="shared" si="104"/>
        <v>1.6558546092203769E-2</v>
      </c>
      <c r="DQ92">
        <f t="shared" si="105"/>
        <v>1.6478427969505032E-2</v>
      </c>
      <c r="DR92">
        <f t="shared" si="106"/>
        <v>1.6408282943021792E-2</v>
      </c>
      <c r="DS92">
        <f t="shared" si="107"/>
        <v>1.6328426004097136E-2</v>
      </c>
      <c r="DT92">
        <f t="shared" si="108"/>
        <v>1.6275556909617777E-2</v>
      </c>
      <c r="DU92">
        <f t="shared" si="109"/>
        <v>1.6278783903879091E-2</v>
      </c>
      <c r="DV92">
        <f t="shared" si="110"/>
        <v>1.6320229644871103E-2</v>
      </c>
      <c r="DW92">
        <f t="shared" si="111"/>
        <v>1.6338048564194782E-2</v>
      </c>
      <c r="DX92">
        <f t="shared" si="112"/>
        <v>1.6326803915394959E-2</v>
      </c>
      <c r="DY92">
        <f t="shared" si="113"/>
        <v>1.6375576548575608E-2</v>
      </c>
      <c r="DZ92">
        <f t="shared" si="114"/>
        <v>1.65167944912658E-2</v>
      </c>
      <c r="EA92">
        <f t="shared" si="115"/>
        <v>1.6704101060195115E-2</v>
      </c>
      <c r="EB92">
        <f t="shared" si="116"/>
        <v>1.68675642998539E-2</v>
      </c>
      <c r="EC92">
        <f t="shared" si="117"/>
        <v>1.7031783597806077E-2</v>
      </c>
      <c r="ED92">
        <f t="shared" si="118"/>
        <v>1.7079226255716083E-2</v>
      </c>
      <c r="EE92">
        <f t="shared" si="119"/>
        <v>1.6947668676038211E-2</v>
      </c>
      <c r="EF92">
        <f t="shared" si="120"/>
        <v>1.669333410277157E-2</v>
      </c>
      <c r="EG92">
        <f t="shared" si="121"/>
        <v>1.6438442795670704E-2</v>
      </c>
      <c r="EH92">
        <f t="shared" si="122"/>
        <v>1.616309323847652E-2</v>
      </c>
      <c r="EI92">
        <f t="shared" si="123"/>
        <v>1.5877774021695452E-2</v>
      </c>
      <c r="EJ92">
        <f t="shared" si="124"/>
        <v>1.5601472518377322E-2</v>
      </c>
      <c r="EK92">
        <f t="shared" si="125"/>
        <v>1.5327827528971863E-2</v>
      </c>
      <c r="EL92">
        <f t="shared" si="126"/>
        <v>1.5035968407953E-2</v>
      </c>
      <c r="EM92">
        <f t="shared" si="127"/>
        <v>1.4735431799703222E-2</v>
      </c>
      <c r="EN92">
        <f t="shared" si="128"/>
        <v>1.4431589154734184E-2</v>
      </c>
      <c r="EO92">
        <f t="shared" si="129"/>
        <v>1.4126828929927259E-2</v>
      </c>
      <c r="EP92">
        <f t="shared" si="130"/>
        <v>1.3827017450313414E-2</v>
      </c>
      <c r="EQ92">
        <f t="shared" si="131"/>
        <v>1.3532972633500942E-2</v>
      </c>
      <c r="ER92">
        <f t="shared" si="132"/>
        <v>1.3241357513113127E-2</v>
      </c>
      <c r="ES92">
        <f t="shared" si="133"/>
        <v>1.2991535233206558E-2</v>
      </c>
      <c r="ET92">
        <f t="shared" si="134"/>
        <v>1.280221479991395E-2</v>
      </c>
      <c r="EU92">
        <f t="shared" si="135"/>
        <v>1.2656512056892534E-2</v>
      </c>
      <c r="EV92">
        <f t="shared" si="136"/>
        <v>1.2515709946263706E-2</v>
      </c>
      <c r="EW92">
        <f t="shared" si="137"/>
        <v>1.2383805267096596E-2</v>
      </c>
      <c r="EX92">
        <f t="shared" si="138"/>
        <v>1.226767127660381E-2</v>
      </c>
      <c r="EY92">
        <f t="shared" si="139"/>
        <v>1.2165630900025469E-2</v>
      </c>
      <c r="EZ92">
        <f t="shared" si="140"/>
        <v>1.2073594549320077E-2</v>
      </c>
      <c r="FA92">
        <f t="shared" si="141"/>
        <v>1.1978338077610579E-2</v>
      </c>
      <c r="FB92">
        <f t="shared" si="142"/>
        <v>1.1869537852563642E-2</v>
      </c>
      <c r="FC92">
        <f t="shared" si="143"/>
        <v>1.1782945121570635E-2</v>
      </c>
      <c r="FD92">
        <f t="shared" si="144"/>
        <v>1.1730790845841384E-2</v>
      </c>
      <c r="FE92">
        <f t="shared" si="145"/>
        <v>1.1686901661910293E-2</v>
      </c>
      <c r="FF92">
        <f t="shared" si="146"/>
        <v>1.1615069250781354E-2</v>
      </c>
      <c r="FG92">
        <f t="shared" si="147"/>
        <v>1.1525142990040232E-2</v>
      </c>
      <c r="FH92">
        <f t="shared" si="148"/>
        <v>1.1349074196653526E-2</v>
      </c>
      <c r="FI92">
        <f t="shared" si="149"/>
        <v>1.1050090944533799E-2</v>
      </c>
      <c r="FJ92">
        <f t="shared" si="150"/>
        <v>1.0656335785338061E-2</v>
      </c>
      <c r="FK92">
        <f t="shared" si="151"/>
        <v>1.0243290829775145E-2</v>
      </c>
      <c r="FL92">
        <f t="shared" si="152"/>
        <v>9.8085126349059734E-3</v>
      </c>
      <c r="FM92">
        <f t="shared" si="153"/>
        <v>9.2993073743101017E-3</v>
      </c>
      <c r="FN92">
        <f t="shared" si="154"/>
        <v>8.7010796862965669E-3</v>
      </c>
      <c r="FO92">
        <f t="shared" si="155"/>
        <v>8.0411542049140822E-3</v>
      </c>
      <c r="FP92">
        <f t="shared" si="156"/>
        <v>7.3678361818528331E-3</v>
      </c>
      <c r="FQ92">
        <f t="shared" si="157"/>
        <v>6.6791392457783792E-3</v>
      </c>
      <c r="FR92">
        <f t="shared" si="158"/>
        <v>5.9980200757808223E-3</v>
      </c>
      <c r="FS92">
        <f t="shared" si="159"/>
        <v>5.3433320163943409E-3</v>
      </c>
      <c r="FT92">
        <f t="shared" si="160"/>
        <v>4.7131780486282535E-3</v>
      </c>
      <c r="FU92">
        <f t="shared" si="161"/>
        <v>4.0322100902893754E-3</v>
      </c>
      <c r="FV92">
        <f t="shared" si="162"/>
        <v>3.517489040780389E-3</v>
      </c>
      <c r="FW92">
        <f t="shared" si="163"/>
        <v>3.0711053511077325E-3</v>
      </c>
      <c r="FX92">
        <f t="shared" si="164"/>
        <v>2.4732660021267094E-3</v>
      </c>
      <c r="FY92">
        <f t="shared" si="165"/>
        <v>1.7239641205801081E-3</v>
      </c>
      <c r="FZ92">
        <f t="shared" si="166"/>
        <v>1.2438774141654409E-3</v>
      </c>
      <c r="GA92">
        <f t="shared" si="167"/>
        <v>1.0757403596020816E-3</v>
      </c>
      <c r="GB92">
        <f t="shared" si="168"/>
        <v>8.7825106011229104E-4</v>
      </c>
      <c r="GC92">
        <f t="shared" si="169"/>
        <v>6.5141295232467547E-4</v>
      </c>
      <c r="GD92">
        <f t="shared" si="170"/>
        <v>3.9522603623923496E-4</v>
      </c>
      <c r="GE92">
        <f t="shared" si="171"/>
        <v>7.597183028523048E-4</v>
      </c>
    </row>
    <row r="93" spans="1:187">
      <c r="A93" s="15">
        <v>2041</v>
      </c>
      <c r="B93" s="18">
        <v>4147.5829999999996</v>
      </c>
      <c r="C93" s="18">
        <v>4159.6869999999999</v>
      </c>
      <c r="D93" s="18">
        <v>4173.53</v>
      </c>
      <c r="E93" s="18">
        <v>4184.5110000000004</v>
      </c>
      <c r="F93" s="18">
        <v>4193.0510000000004</v>
      </c>
      <c r="G93" s="18">
        <v>4199.5680000000002</v>
      </c>
      <c r="H93" s="18">
        <v>4204.2449999999999</v>
      </c>
      <c r="I93" s="18">
        <v>4207.2579999999998</v>
      </c>
      <c r="J93" s="18">
        <v>4210.2280000000001</v>
      </c>
      <c r="K93" s="18">
        <v>4214.05</v>
      </c>
      <c r="L93" s="18">
        <v>4218.4279999999999</v>
      </c>
      <c r="M93" s="18">
        <v>4222.2160000000003</v>
      </c>
      <c r="N93" s="18">
        <v>4225.7060000000001</v>
      </c>
      <c r="O93" s="18">
        <v>4229.9589999999998</v>
      </c>
      <c r="P93" s="18">
        <v>4235.4059999999999</v>
      </c>
      <c r="Q93" s="18">
        <v>4241.8469999999998</v>
      </c>
      <c r="R93" s="18">
        <v>4249.6670000000004</v>
      </c>
      <c r="S93" s="18">
        <v>4260.0169999999998</v>
      </c>
      <c r="T93" s="18">
        <v>4268.2250000000004</v>
      </c>
      <c r="U93" s="18">
        <v>4272.4030000000002</v>
      </c>
      <c r="V93" s="18">
        <v>4275.5150000000003</v>
      </c>
      <c r="W93" s="18">
        <v>4281.7619999999997</v>
      </c>
      <c r="X93" s="18">
        <v>4289.518</v>
      </c>
      <c r="Y93" s="18">
        <v>4307.2169999999996</v>
      </c>
      <c r="Z93" s="18">
        <v>4339.2340000000004</v>
      </c>
      <c r="AA93" s="18">
        <v>4381.5640000000003</v>
      </c>
      <c r="AB93" s="18">
        <v>4422.8459999999995</v>
      </c>
      <c r="AC93" s="18">
        <v>4461.7709999999997</v>
      </c>
      <c r="AD93" s="18">
        <v>4511.0159999999996</v>
      </c>
      <c r="AE93" s="18">
        <v>4574.5860000000002</v>
      </c>
      <c r="AF93" s="18">
        <v>4644.84</v>
      </c>
      <c r="AG93" s="18">
        <v>4713.1109999999999</v>
      </c>
      <c r="AH93" s="18">
        <v>4784.7139999999999</v>
      </c>
      <c r="AI93" s="18">
        <v>4829.1580000000004</v>
      </c>
      <c r="AJ93" s="18">
        <v>4831.5219999999999</v>
      </c>
      <c r="AK93" s="18">
        <v>4806.7290000000003</v>
      </c>
      <c r="AL93" s="18">
        <v>4784.8670000000002</v>
      </c>
      <c r="AM93" s="18">
        <v>4760.2190000000001</v>
      </c>
      <c r="AN93" s="18">
        <v>4743.4790000000003</v>
      </c>
      <c r="AO93" s="18">
        <v>4743.1030000000001</v>
      </c>
      <c r="AP93" s="18">
        <v>4753.8680000000004</v>
      </c>
      <c r="AQ93" s="18">
        <v>4757.7860000000001</v>
      </c>
      <c r="AR93" s="18">
        <v>4753.2759999999998</v>
      </c>
      <c r="AS93" s="18">
        <v>4766.1450000000004</v>
      </c>
      <c r="AT93" s="18">
        <v>4805.7730000000001</v>
      </c>
      <c r="AU93" s="18">
        <v>4858.7160000000003</v>
      </c>
      <c r="AV93" s="18">
        <v>4904.732</v>
      </c>
      <c r="AW93" s="18">
        <v>4950.9660000000003</v>
      </c>
      <c r="AX93" s="18">
        <v>4963.1909999999998</v>
      </c>
      <c r="AY93" s="18">
        <v>4923.3029999999999</v>
      </c>
      <c r="AZ93" s="18">
        <v>4847.674</v>
      </c>
      <c r="BA93" s="18">
        <v>4771.8729999999996</v>
      </c>
      <c r="BB93" s="18">
        <v>4690.1009999999997</v>
      </c>
      <c r="BC93" s="18">
        <v>4605.4709999999995</v>
      </c>
      <c r="BD93" s="18">
        <v>4523.5309999999999</v>
      </c>
      <c r="BE93" s="18">
        <v>4442.4070000000002</v>
      </c>
      <c r="BF93" s="18">
        <v>4355.9409999999998</v>
      </c>
      <c r="BG93" s="18">
        <v>4266.8819999999996</v>
      </c>
      <c r="BH93" s="18">
        <v>4176.96</v>
      </c>
      <c r="BI93" s="18">
        <v>4086.9270000000001</v>
      </c>
      <c r="BJ93" s="18">
        <v>3998.3919999999998</v>
      </c>
      <c r="BK93" s="18">
        <v>3911.4</v>
      </c>
      <c r="BL93" s="18">
        <v>3824.97</v>
      </c>
      <c r="BM93" s="18">
        <v>3750.5720000000001</v>
      </c>
      <c r="BN93" s="18">
        <v>3693.6210000000001</v>
      </c>
      <c r="BO93" s="18">
        <v>3649.1590000000001</v>
      </c>
      <c r="BP93" s="18">
        <v>3605.8649999999998</v>
      </c>
      <c r="BQ93" s="18">
        <v>3564.8649999999998</v>
      </c>
      <c r="BR93" s="18">
        <v>3528.125</v>
      </c>
      <c r="BS93" s="18">
        <v>3495.1170000000002</v>
      </c>
      <c r="BT93" s="18">
        <v>3464.6120000000001</v>
      </c>
      <c r="BU93" s="18">
        <v>3432.8780000000002</v>
      </c>
      <c r="BV93" s="18">
        <v>3397.0210000000002</v>
      </c>
      <c r="BW93" s="18">
        <v>3366.6570000000002</v>
      </c>
      <c r="BX93" s="18">
        <v>3345.0079999999998</v>
      </c>
      <c r="BY93" s="18">
        <v>3324.8719999999998</v>
      </c>
      <c r="BZ93" s="18">
        <v>3296.6930000000002</v>
      </c>
      <c r="CA93" s="18">
        <v>3263.4259999999999</v>
      </c>
      <c r="CB93" s="18">
        <v>3204.6060000000002</v>
      </c>
      <c r="CC93" s="18">
        <v>3109.395</v>
      </c>
      <c r="CD93" s="18">
        <v>2986.4670000000001</v>
      </c>
      <c r="CE93" s="18">
        <v>2858.5160000000001</v>
      </c>
      <c r="CF93" s="18">
        <v>2724.81</v>
      </c>
      <c r="CG93" s="18">
        <v>2570.7919999999999</v>
      </c>
      <c r="CH93" s="18">
        <v>2392.7240000000002</v>
      </c>
      <c r="CI93" s="18">
        <v>2198.3879999999999</v>
      </c>
      <c r="CJ93" s="18">
        <v>1997.229</v>
      </c>
      <c r="CK93" s="18">
        <v>1801.5709999999999</v>
      </c>
      <c r="CL93" s="18">
        <v>1613.95</v>
      </c>
      <c r="CM93" s="18">
        <v>1423</v>
      </c>
      <c r="CN93" s="18">
        <v>1228.2739999999999</v>
      </c>
      <c r="CO93" s="18">
        <v>1039.47</v>
      </c>
      <c r="CP93" s="18">
        <v>907.97400000000005</v>
      </c>
      <c r="CQ93" s="18">
        <v>788.83399999999995</v>
      </c>
      <c r="CR93" s="18">
        <v>630.86300000000006</v>
      </c>
      <c r="CS93" s="18">
        <v>434.06299999999999</v>
      </c>
      <c r="CT93" s="18">
        <v>336.72399999999999</v>
      </c>
      <c r="CU93" s="18">
        <v>275.54599999999999</v>
      </c>
      <c r="CV93" s="18">
        <v>204.32300000000001</v>
      </c>
      <c r="CW93" s="18">
        <v>123.05800000000001</v>
      </c>
      <c r="CX93" s="18">
        <v>232.71600000000001</v>
      </c>
      <c r="CY93" s="3">
        <f t="shared" si="172"/>
        <v>368006.42499999987</v>
      </c>
      <c r="CZ93" s="21">
        <f t="shared" si="88"/>
        <v>292229.46799999994</v>
      </c>
      <c r="DA93">
        <f t="shared" si="89"/>
        <v>1.4605731000406848E-2</v>
      </c>
      <c r="DB93">
        <f t="shared" si="90"/>
        <v>1.4620027984309922E-2</v>
      </c>
      <c r="DC93">
        <f t="shared" si="91"/>
        <v>1.4630677149917001E-2</v>
      </c>
      <c r="DD93">
        <f t="shared" si="92"/>
        <v>1.4652054186403956E-2</v>
      </c>
      <c r="DE93">
        <f t="shared" si="93"/>
        <v>1.4678594973180463E-2</v>
      </c>
      <c r="DF93">
        <f t="shared" si="94"/>
        <v>1.4739160391586521E-2</v>
      </c>
      <c r="DG93">
        <f t="shared" si="95"/>
        <v>1.4848721553296607E-2</v>
      </c>
      <c r="DH93">
        <f t="shared" si="96"/>
        <v>1.4993573474937858E-2</v>
      </c>
      <c r="DI93">
        <f t="shared" si="97"/>
        <v>1.5134839173713995E-2</v>
      </c>
      <c r="DJ93">
        <f t="shared" si="98"/>
        <v>1.5268039293012027E-2</v>
      </c>
      <c r="DK93">
        <f t="shared" si="99"/>
        <v>1.5436554126019901E-2</v>
      </c>
      <c r="DL93">
        <f t="shared" si="100"/>
        <v>1.5654088656110482E-2</v>
      </c>
      <c r="DM93">
        <f t="shared" si="101"/>
        <v>1.5894495622871273E-2</v>
      </c>
      <c r="DN93">
        <f t="shared" si="102"/>
        <v>1.61281168263291E-2</v>
      </c>
      <c r="DO93">
        <f t="shared" si="103"/>
        <v>1.6373140028438204E-2</v>
      </c>
      <c r="DP93">
        <f t="shared" si="104"/>
        <v>1.6525225991240559E-2</v>
      </c>
      <c r="DQ93">
        <f t="shared" si="105"/>
        <v>1.6533315524497348E-2</v>
      </c>
      <c r="DR93">
        <f t="shared" si="106"/>
        <v>1.6448474662384156E-2</v>
      </c>
      <c r="DS93">
        <f t="shared" si="107"/>
        <v>1.6373663589600764E-2</v>
      </c>
      <c r="DT93">
        <f t="shared" si="108"/>
        <v>1.6289318912903066E-2</v>
      </c>
      <c r="DU93">
        <f t="shared" si="109"/>
        <v>1.6232035162176053E-2</v>
      </c>
      <c r="DV93">
        <f t="shared" si="110"/>
        <v>1.6230748502064143E-2</v>
      </c>
      <c r="DW93">
        <f t="shared" si="111"/>
        <v>1.6267585991704307E-2</v>
      </c>
      <c r="DX93">
        <f t="shared" si="112"/>
        <v>1.6280993263827866E-2</v>
      </c>
      <c r="DY93">
        <f t="shared" si="113"/>
        <v>1.6265560186421724E-2</v>
      </c>
      <c r="DZ93">
        <f t="shared" si="114"/>
        <v>1.6309597497539165E-2</v>
      </c>
      <c r="EA93">
        <f t="shared" si="115"/>
        <v>1.6445203260610258E-2</v>
      </c>
      <c r="EB93">
        <f t="shared" si="116"/>
        <v>1.6626372532697494E-2</v>
      </c>
      <c r="EC93">
        <f t="shared" si="117"/>
        <v>1.6783837829797511E-2</v>
      </c>
      <c r="ED93">
        <f t="shared" si="118"/>
        <v>1.6942049116004967E-2</v>
      </c>
      <c r="EE93">
        <f t="shared" si="119"/>
        <v>1.6983882679483923E-2</v>
      </c>
      <c r="EF93">
        <f t="shared" si="120"/>
        <v>1.6847387204633316E-2</v>
      </c>
      <c r="EG93">
        <f t="shared" si="121"/>
        <v>1.6588587157815315E-2</v>
      </c>
      <c r="EH93">
        <f t="shared" si="122"/>
        <v>1.6329198532435477E-2</v>
      </c>
      <c r="EI93">
        <f t="shared" si="123"/>
        <v>1.6049377333842325E-2</v>
      </c>
      <c r="EJ93">
        <f t="shared" si="124"/>
        <v>1.5759776149611306E-2</v>
      </c>
      <c r="EK93">
        <f t="shared" si="125"/>
        <v>1.5479380060329853E-2</v>
      </c>
      <c r="EL93">
        <f t="shared" si="126"/>
        <v>1.5201776297248712E-2</v>
      </c>
      <c r="EM93">
        <f t="shared" si="127"/>
        <v>1.490589237906699E-2</v>
      </c>
      <c r="EN93">
        <f t="shared" si="128"/>
        <v>1.4601135296868831E-2</v>
      </c>
      <c r="EO93">
        <f t="shared" si="129"/>
        <v>1.4293425055956372E-2</v>
      </c>
      <c r="EP93">
        <f t="shared" si="130"/>
        <v>1.3985334976553429E-2</v>
      </c>
      <c r="EQ93">
        <f t="shared" si="131"/>
        <v>1.3682371005787824E-2</v>
      </c>
      <c r="ER93">
        <f t="shared" si="132"/>
        <v>1.3384687132236783E-2</v>
      </c>
      <c r="ES93">
        <f t="shared" si="133"/>
        <v>1.308892640491684E-2</v>
      </c>
      <c r="ET93">
        <f t="shared" si="134"/>
        <v>1.2834338801177987E-2</v>
      </c>
      <c r="EU93">
        <f t="shared" si="135"/>
        <v>1.2639454279812742E-2</v>
      </c>
      <c r="EV93">
        <f t="shared" si="136"/>
        <v>1.2487306721579498E-2</v>
      </c>
      <c r="EW93">
        <f t="shared" si="137"/>
        <v>1.2339156022417289E-2</v>
      </c>
      <c r="EX93">
        <f t="shared" si="138"/>
        <v>1.2198855318725081E-2</v>
      </c>
      <c r="EY93">
        <f t="shared" si="139"/>
        <v>1.2073132200343331E-2</v>
      </c>
      <c r="EZ93">
        <f t="shared" si="140"/>
        <v>1.1960179867965954E-2</v>
      </c>
      <c r="FA93">
        <f t="shared" si="141"/>
        <v>1.1855792722450567E-2</v>
      </c>
      <c r="FB93">
        <f t="shared" si="142"/>
        <v>1.1747199977792798E-2</v>
      </c>
      <c r="FC93">
        <f t="shared" si="143"/>
        <v>1.1624498457493004E-2</v>
      </c>
      <c r="FD93">
        <f t="shared" si="144"/>
        <v>1.1520593809519582E-2</v>
      </c>
      <c r="FE93">
        <f t="shared" si="145"/>
        <v>1.1446511616001713E-2</v>
      </c>
      <c r="FF93">
        <f t="shared" si="146"/>
        <v>1.1377606860646924E-2</v>
      </c>
      <c r="FG93">
        <f t="shared" si="147"/>
        <v>1.1281179213589784E-2</v>
      </c>
      <c r="FH93">
        <f t="shared" si="148"/>
        <v>1.1167340591401278E-2</v>
      </c>
      <c r="FI93">
        <f t="shared" si="149"/>
        <v>1.0966060411128698E-2</v>
      </c>
      <c r="FJ93">
        <f t="shared" si="150"/>
        <v>1.0640251379439943E-2</v>
      </c>
      <c r="FK93">
        <f t="shared" si="151"/>
        <v>1.0219595650086871E-2</v>
      </c>
      <c r="FL93">
        <f t="shared" si="152"/>
        <v>9.7817513735473129E-3</v>
      </c>
      <c r="FM93">
        <f t="shared" si="153"/>
        <v>9.3242136689651051E-3</v>
      </c>
      <c r="FN93">
        <f t="shared" si="154"/>
        <v>8.7971689425927445E-3</v>
      </c>
      <c r="FO93">
        <f t="shared" si="155"/>
        <v>8.1878258766155659E-3</v>
      </c>
      <c r="FP93">
        <f t="shared" si="156"/>
        <v>7.5228142289880239E-3</v>
      </c>
      <c r="FQ93">
        <f t="shared" si="157"/>
        <v>6.8344544910850687E-3</v>
      </c>
      <c r="FR93">
        <f t="shared" si="158"/>
        <v>6.1649190012555482E-3</v>
      </c>
      <c r="FS93">
        <f t="shared" si="159"/>
        <v>5.5228858713180845E-3</v>
      </c>
      <c r="FT93">
        <f t="shared" si="160"/>
        <v>4.8694610086344892E-3</v>
      </c>
      <c r="FU93">
        <f t="shared" si="161"/>
        <v>4.2031147933376803E-3</v>
      </c>
      <c r="FV93">
        <f t="shared" si="162"/>
        <v>3.5570334748034386E-3</v>
      </c>
      <c r="FW93">
        <f t="shared" si="163"/>
        <v>3.1070583203470781E-3</v>
      </c>
      <c r="FX93">
        <f t="shared" si="164"/>
        <v>2.6993650072278134E-3</v>
      </c>
      <c r="FY93">
        <f t="shared" si="165"/>
        <v>2.1587932398384963E-3</v>
      </c>
      <c r="FZ93">
        <f t="shared" si="166"/>
        <v>1.4853498621158906E-3</v>
      </c>
      <c r="GA93">
        <f t="shared" si="167"/>
        <v>1.1522588817086718E-3</v>
      </c>
      <c r="GB93">
        <f t="shared" si="168"/>
        <v>9.4290969998959875E-4</v>
      </c>
      <c r="GC93">
        <f t="shared" si="169"/>
        <v>6.9918684586593456E-4</v>
      </c>
      <c r="GD93">
        <f t="shared" si="170"/>
        <v>4.2110058524282717E-4</v>
      </c>
      <c r="GE93">
        <f t="shared" si="171"/>
        <v>7.9634679415698103E-4</v>
      </c>
    </row>
    <row r="94" spans="1:187">
      <c r="A94" s="15">
        <v>2042</v>
      </c>
      <c r="B94" s="18">
        <v>4142.8519999999999</v>
      </c>
      <c r="C94" s="18">
        <v>4160.3559999999998</v>
      </c>
      <c r="D94" s="18">
        <v>4169.4040000000005</v>
      </c>
      <c r="E94" s="18">
        <v>4181.01</v>
      </c>
      <c r="F94" s="18">
        <v>4190.134</v>
      </c>
      <c r="G94" s="18">
        <v>4197.2629999999999</v>
      </c>
      <c r="H94" s="18">
        <v>4202.8869999999997</v>
      </c>
      <c r="I94" s="18">
        <v>4207.0110000000004</v>
      </c>
      <c r="J94" s="18">
        <v>4209.6469999999999</v>
      </c>
      <c r="K94" s="18">
        <v>4213.6750000000002</v>
      </c>
      <c r="L94" s="18">
        <v>4220.5389999999998</v>
      </c>
      <c r="M94" s="18">
        <v>4229.2929999999997</v>
      </c>
      <c r="N94" s="18">
        <v>4237.4369999999999</v>
      </c>
      <c r="O94" s="18">
        <v>4245.3440000000001</v>
      </c>
      <c r="P94" s="18">
        <v>4254.0720000000001</v>
      </c>
      <c r="Q94" s="18">
        <v>4263.857</v>
      </c>
      <c r="R94" s="18">
        <v>4274.366</v>
      </c>
      <c r="S94" s="18">
        <v>4286.1670000000004</v>
      </c>
      <c r="T94" s="18">
        <v>4300.509</v>
      </c>
      <c r="U94" s="18">
        <v>4311.1930000000002</v>
      </c>
      <c r="V94" s="18">
        <v>4315.6350000000002</v>
      </c>
      <c r="W94" s="18">
        <v>4317.4520000000002</v>
      </c>
      <c r="X94" s="18">
        <v>4322.2669999999998</v>
      </c>
      <c r="Y94" s="18">
        <v>4328.26</v>
      </c>
      <c r="Z94" s="18">
        <v>4343.91</v>
      </c>
      <c r="AA94" s="18">
        <v>4373.79</v>
      </c>
      <c r="AB94" s="18">
        <v>4413.8829999999998</v>
      </c>
      <c r="AC94" s="18">
        <v>4452.6289999999999</v>
      </c>
      <c r="AD94" s="18">
        <v>4488.7740000000003</v>
      </c>
      <c r="AE94" s="18">
        <v>4535.4120000000003</v>
      </c>
      <c r="AF94" s="18">
        <v>4596.741</v>
      </c>
      <c r="AG94" s="18">
        <v>4665.0079999999998</v>
      </c>
      <c r="AH94" s="18">
        <v>4731.2259999999997</v>
      </c>
      <c r="AI94" s="18">
        <v>4800.7550000000001</v>
      </c>
      <c r="AJ94" s="18">
        <v>4843.3040000000001</v>
      </c>
      <c r="AK94" s="18">
        <v>4844.0159999999996</v>
      </c>
      <c r="AL94" s="18">
        <v>4817.7439999999997</v>
      </c>
      <c r="AM94" s="18">
        <v>4794.4350000000004</v>
      </c>
      <c r="AN94" s="18">
        <v>4768.38</v>
      </c>
      <c r="AO94" s="18">
        <v>4750.2860000000001</v>
      </c>
      <c r="AP94" s="18">
        <v>4748.5929999999998</v>
      </c>
      <c r="AQ94" s="18">
        <v>4758.0630000000001</v>
      </c>
      <c r="AR94" s="18">
        <v>4760.7110000000002</v>
      </c>
      <c r="AS94" s="18">
        <v>4754.9610000000002</v>
      </c>
      <c r="AT94" s="18">
        <v>4766.5039999999999</v>
      </c>
      <c r="AU94" s="18">
        <v>4804.6610000000001</v>
      </c>
      <c r="AV94" s="18">
        <v>4856.0349999999999</v>
      </c>
      <c r="AW94" s="18">
        <v>4900.4930000000004</v>
      </c>
      <c r="AX94" s="18">
        <v>4945.1679999999997</v>
      </c>
      <c r="AY94" s="18">
        <v>4955.8119999999999</v>
      </c>
      <c r="AZ94" s="18">
        <v>4914.3220000000001</v>
      </c>
      <c r="BA94" s="18">
        <v>4837.0810000000001</v>
      </c>
      <c r="BB94" s="18">
        <v>4759.6580000000004</v>
      </c>
      <c r="BC94" s="18">
        <v>4676.2510000000002</v>
      </c>
      <c r="BD94" s="18">
        <v>4590.0240000000003</v>
      </c>
      <c r="BE94" s="18">
        <v>4506.5559999999996</v>
      </c>
      <c r="BF94" s="18">
        <v>4423.9449999999997</v>
      </c>
      <c r="BG94" s="18">
        <v>4335.951</v>
      </c>
      <c r="BH94" s="18">
        <v>4245.299</v>
      </c>
      <c r="BI94" s="18">
        <v>4153.8810000000003</v>
      </c>
      <c r="BJ94" s="18">
        <v>4062.509</v>
      </c>
      <c r="BK94" s="18">
        <v>3972.6930000000002</v>
      </c>
      <c r="BL94" s="18">
        <v>3884.2829999999999</v>
      </c>
      <c r="BM94" s="18">
        <v>3796.2910000000002</v>
      </c>
      <c r="BN94" s="18">
        <v>3720.1990000000001</v>
      </c>
      <c r="BO94" s="18">
        <v>3661.3939999999998</v>
      </c>
      <c r="BP94" s="18">
        <v>3614.8719999999998</v>
      </c>
      <c r="BQ94" s="18">
        <v>3569.261</v>
      </c>
      <c r="BR94" s="18">
        <v>3525.6489999999999</v>
      </c>
      <c r="BS94" s="18">
        <v>3485.9659999999999</v>
      </c>
      <c r="BT94" s="18">
        <v>3449.6439999999998</v>
      </c>
      <c r="BU94" s="18">
        <v>3415.4189999999999</v>
      </c>
      <c r="BV94" s="18">
        <v>3379.6709999999998</v>
      </c>
      <c r="BW94" s="18">
        <v>3339.6179999999999</v>
      </c>
      <c r="BX94" s="18">
        <v>3304.0889999999999</v>
      </c>
      <c r="BY94" s="18">
        <v>3275.9690000000001</v>
      </c>
      <c r="BZ94" s="18">
        <v>3248.4650000000001</v>
      </c>
      <c r="CA94" s="18">
        <v>3213.0079999999998</v>
      </c>
      <c r="CB94" s="18">
        <v>3172.6419999999998</v>
      </c>
      <c r="CC94" s="18">
        <v>3106.239</v>
      </c>
      <c r="CD94" s="18">
        <v>3002.8240000000001</v>
      </c>
      <c r="CE94" s="18">
        <v>2871.56</v>
      </c>
      <c r="CF94" s="18">
        <v>2735.86</v>
      </c>
      <c r="CG94" s="18">
        <v>2594.9769999999999</v>
      </c>
      <c r="CH94" s="18">
        <v>2435.134</v>
      </c>
      <c r="CI94" s="18">
        <v>2253.096</v>
      </c>
      <c r="CJ94" s="18">
        <v>2056.4830000000002</v>
      </c>
      <c r="CK94" s="18">
        <v>1850.117</v>
      </c>
      <c r="CL94" s="18">
        <v>1659.2349999999999</v>
      </c>
      <c r="CM94" s="18">
        <v>1482.2260000000001</v>
      </c>
      <c r="CN94" s="18">
        <v>1290.857</v>
      </c>
      <c r="CO94" s="18">
        <v>1084.7950000000001</v>
      </c>
      <c r="CP94" s="18">
        <v>905.37300000000005</v>
      </c>
      <c r="CQ94" s="18">
        <v>792.19</v>
      </c>
      <c r="CR94" s="18">
        <v>683.82600000000002</v>
      </c>
      <c r="CS94" s="18">
        <v>541.88400000000001</v>
      </c>
      <c r="CT94" s="18">
        <v>366.363</v>
      </c>
      <c r="CU94" s="18">
        <v>298.12200000000001</v>
      </c>
      <c r="CV94" s="18">
        <v>221.13499999999999</v>
      </c>
      <c r="CW94" s="18">
        <v>132.17099999999999</v>
      </c>
      <c r="CX94" s="18">
        <v>245.554</v>
      </c>
      <c r="CY94" s="3">
        <f t="shared" si="172"/>
        <v>369396.55500000005</v>
      </c>
      <c r="CZ94" s="21">
        <f t="shared" si="88"/>
        <v>293511.2410000001</v>
      </c>
      <c r="DA94">
        <f t="shared" si="89"/>
        <v>1.4651939684994888E-2</v>
      </c>
      <c r="DB94">
        <f t="shared" si="90"/>
        <v>1.4688340335149205E-2</v>
      </c>
      <c r="DC94">
        <f t="shared" si="91"/>
        <v>1.4703474338142977E-2</v>
      </c>
      <c r="DD94">
        <f t="shared" si="92"/>
        <v>1.4709664901726878E-2</v>
      </c>
      <c r="DE94">
        <f t="shared" si="93"/>
        <v>1.4726069724872986E-2</v>
      </c>
      <c r="DF94">
        <f t="shared" si="94"/>
        <v>1.4746488022923793E-2</v>
      </c>
      <c r="DG94">
        <f t="shared" si="95"/>
        <v>1.4799807956929317E-2</v>
      </c>
      <c r="DH94">
        <f t="shared" si="96"/>
        <v>1.4901609850097695E-2</v>
      </c>
      <c r="DI94">
        <f t="shared" si="97"/>
        <v>1.5038207684863417E-2</v>
      </c>
      <c r="DJ94">
        <f t="shared" si="98"/>
        <v>1.5170216257577673E-2</v>
      </c>
      <c r="DK94">
        <f t="shared" si="99"/>
        <v>1.5293363159470948E-2</v>
      </c>
      <c r="DL94">
        <f t="shared" si="100"/>
        <v>1.5452259969831952E-2</v>
      </c>
      <c r="DM94">
        <f t="shared" si="101"/>
        <v>1.5661209377667407E-2</v>
      </c>
      <c r="DN94">
        <f t="shared" si="102"/>
        <v>1.5893796721741224E-2</v>
      </c>
      <c r="DO94">
        <f t="shared" si="103"/>
        <v>1.6119403072538535E-2</v>
      </c>
      <c r="DP94">
        <f t="shared" si="104"/>
        <v>1.6356290081578167E-2</v>
      </c>
      <c r="DQ94">
        <f t="shared" si="105"/>
        <v>1.6501255568606991E-2</v>
      </c>
      <c r="DR94">
        <f t="shared" si="106"/>
        <v>1.6503681370077402E-2</v>
      </c>
      <c r="DS94">
        <f t="shared" si="107"/>
        <v>1.6414172021438859E-2</v>
      </c>
      <c r="DT94">
        <f t="shared" si="108"/>
        <v>1.6334757686503731E-2</v>
      </c>
      <c r="DU94">
        <f t="shared" si="109"/>
        <v>1.6245987662189737E-2</v>
      </c>
      <c r="DV94">
        <f t="shared" si="110"/>
        <v>1.6184340960215551E-2</v>
      </c>
      <c r="DW94">
        <f t="shared" si="111"/>
        <v>1.6178572867674251E-2</v>
      </c>
      <c r="DX94">
        <f t="shared" si="112"/>
        <v>1.6210837390040537E-2</v>
      </c>
      <c r="DY94">
        <f t="shared" si="113"/>
        <v>1.6219859191014763E-2</v>
      </c>
      <c r="DZ94">
        <f t="shared" si="114"/>
        <v>1.6200268799926469E-2</v>
      </c>
      <c r="EA94">
        <f t="shared" si="115"/>
        <v>1.6239596084158148E-2</v>
      </c>
      <c r="EB94">
        <f t="shared" si="116"/>
        <v>1.6369597919420057E-2</v>
      </c>
      <c r="EC94">
        <f t="shared" si="117"/>
        <v>1.6544630397988737E-2</v>
      </c>
      <c r="ED94">
        <f t="shared" si="118"/>
        <v>1.6696099894858877E-2</v>
      </c>
      <c r="EE94">
        <f t="shared" si="119"/>
        <v>1.6848308716053563E-2</v>
      </c>
      <c r="EF94">
        <f t="shared" si="120"/>
        <v>1.6884573085226395E-2</v>
      </c>
      <c r="EG94">
        <f t="shared" si="121"/>
        <v>1.6743215637182354E-2</v>
      </c>
      <c r="EH94">
        <f t="shared" si="122"/>
        <v>1.6480053654912653E-2</v>
      </c>
      <c r="EI94">
        <f t="shared" si="123"/>
        <v>1.6216271594177201E-2</v>
      </c>
      <c r="EJ94">
        <f t="shared" si="124"/>
        <v>1.5932101898611776E-2</v>
      </c>
      <c r="EK94">
        <f t="shared" si="125"/>
        <v>1.5638324393851745E-2</v>
      </c>
      <c r="EL94">
        <f t="shared" si="126"/>
        <v>1.5353946869789557E-2</v>
      </c>
      <c r="EM94">
        <f t="shared" si="127"/>
        <v>1.5072489165755659E-2</v>
      </c>
      <c r="EN94">
        <f t="shared" si="128"/>
        <v>1.4772691448638584E-2</v>
      </c>
      <c r="EO94">
        <f t="shared" si="129"/>
        <v>1.4463837860301912E-2</v>
      </c>
      <c r="EP94">
        <f t="shared" si="130"/>
        <v>1.4152374491169826E-2</v>
      </c>
      <c r="EQ94">
        <f t="shared" si="131"/>
        <v>1.3841067845166444E-2</v>
      </c>
      <c r="ER94">
        <f t="shared" si="132"/>
        <v>1.3535062529342782E-2</v>
      </c>
      <c r="ES94">
        <f t="shared" si="133"/>
        <v>1.3233847490018274E-2</v>
      </c>
      <c r="ET94">
        <f t="shared" si="134"/>
        <v>1.2934056586950272E-2</v>
      </c>
      <c r="EU94">
        <f t="shared" si="135"/>
        <v>1.2674809275873692E-2</v>
      </c>
      <c r="EV94">
        <f t="shared" si="136"/>
        <v>1.2474459197969861E-2</v>
      </c>
      <c r="EW94">
        <f t="shared" si="137"/>
        <v>1.2315957602455159E-2</v>
      </c>
      <c r="EX94">
        <f t="shared" si="138"/>
        <v>1.2160559806293752E-2</v>
      </c>
      <c r="EY94">
        <f t="shared" si="139"/>
        <v>1.2011972652181995E-2</v>
      </c>
      <c r="EZ94">
        <f t="shared" si="140"/>
        <v>1.1876771697476482E-2</v>
      </c>
      <c r="FA94">
        <f t="shared" si="141"/>
        <v>1.1753021752240142E-2</v>
      </c>
      <c r="FB94">
        <f t="shared" si="142"/>
        <v>1.1636416337458089E-2</v>
      </c>
      <c r="FC94">
        <f t="shared" si="143"/>
        <v>1.1514622024306042E-2</v>
      </c>
      <c r="FD94">
        <f t="shared" si="144"/>
        <v>1.1378160470521806E-2</v>
      </c>
      <c r="FE94">
        <f t="shared" si="145"/>
        <v>1.1257112295743381E-2</v>
      </c>
      <c r="FF94">
        <f t="shared" si="146"/>
        <v>1.116130676576029E-2</v>
      </c>
      <c r="FG94">
        <f t="shared" si="147"/>
        <v>1.1067599962892048E-2</v>
      </c>
      <c r="FH94">
        <f t="shared" si="148"/>
        <v>1.0946797093880295E-2</v>
      </c>
      <c r="FI94">
        <f t="shared" si="149"/>
        <v>1.0809269141415946E-2</v>
      </c>
      <c r="FJ94">
        <f t="shared" si="150"/>
        <v>1.0583032491079274E-2</v>
      </c>
      <c r="FK94">
        <f t="shared" si="151"/>
        <v>1.0230695048575666E-2</v>
      </c>
      <c r="FL94">
        <f t="shared" si="152"/>
        <v>9.78347537973852E-3</v>
      </c>
      <c r="FM94">
        <f t="shared" si="153"/>
        <v>9.321142150054822E-3</v>
      </c>
      <c r="FN94">
        <f t="shared" si="154"/>
        <v>8.8411503121953658E-3</v>
      </c>
      <c r="FO94">
        <f t="shared" si="155"/>
        <v>8.2965612891126011E-3</v>
      </c>
      <c r="FP94">
        <f t="shared" si="156"/>
        <v>7.6763533564290281E-3</v>
      </c>
      <c r="FQ94">
        <f t="shared" si="157"/>
        <v>7.0064880411173057E-3</v>
      </c>
      <c r="FR94">
        <f t="shared" si="158"/>
        <v>6.3033940154953024E-3</v>
      </c>
      <c r="FS94">
        <f t="shared" si="159"/>
        <v>5.6530543578056673E-3</v>
      </c>
      <c r="FT94">
        <f t="shared" si="160"/>
        <v>5.0499803515191418E-3</v>
      </c>
      <c r="FU94">
        <f t="shared" si="161"/>
        <v>4.3979814728799414E-3</v>
      </c>
      <c r="FV94">
        <f t="shared" si="162"/>
        <v>3.6959231827172158E-3</v>
      </c>
      <c r="FW94">
        <f t="shared" si="163"/>
        <v>3.0846280262226814E-3</v>
      </c>
      <c r="FX94">
        <f t="shared" si="164"/>
        <v>2.6990107680407369E-3</v>
      </c>
      <c r="FY94">
        <f t="shared" si="165"/>
        <v>2.3298119611030494E-3</v>
      </c>
      <c r="FZ94">
        <f t="shared" si="166"/>
        <v>1.8462120842588099E-3</v>
      </c>
      <c r="GA94">
        <f t="shared" si="167"/>
        <v>1.2482077304834804E-3</v>
      </c>
      <c r="GB94">
        <f t="shared" si="168"/>
        <v>1.0157089690476281E-3</v>
      </c>
      <c r="GC94">
        <f t="shared" si="169"/>
        <v>7.5341237101034882E-4</v>
      </c>
      <c r="GD94">
        <f t="shared" si="170"/>
        <v>4.5030984009229122E-4</v>
      </c>
      <c r="GE94">
        <f t="shared" si="171"/>
        <v>8.3660850318165473E-4</v>
      </c>
    </row>
    <row r="95" spans="1:187">
      <c r="A95" s="15">
        <v>2043</v>
      </c>
      <c r="B95" s="18">
        <v>4136.3890000000001</v>
      </c>
      <c r="C95" s="18">
        <v>4155.9849999999997</v>
      </c>
      <c r="D95" s="18">
        <v>4171.558</v>
      </c>
      <c r="E95" s="18">
        <v>4178.3810000000003</v>
      </c>
      <c r="F95" s="18">
        <v>4187.7479999999996</v>
      </c>
      <c r="G95" s="18">
        <v>4195.0119999999997</v>
      </c>
      <c r="H95" s="18">
        <v>4200.7299999999996</v>
      </c>
      <c r="I95" s="18">
        <v>4205.4570000000003</v>
      </c>
      <c r="J95" s="18">
        <v>4209.03</v>
      </c>
      <c r="K95" s="18">
        <v>4211.2870000000003</v>
      </c>
      <c r="L95" s="18">
        <v>4216.3729999999996</v>
      </c>
      <c r="M95" s="18">
        <v>4226.2809999999999</v>
      </c>
      <c r="N95" s="18">
        <v>4239.4110000000001</v>
      </c>
      <c r="O95" s="18">
        <v>4251.9089999999997</v>
      </c>
      <c r="P95" s="18">
        <v>4264.232</v>
      </c>
      <c r="Q95" s="18">
        <v>4277.4359999999997</v>
      </c>
      <c r="R95" s="18">
        <v>4291.558</v>
      </c>
      <c r="S95" s="18">
        <v>4306.1350000000002</v>
      </c>
      <c r="T95" s="18">
        <v>4321.915</v>
      </c>
      <c r="U95" s="18">
        <v>4340.2460000000001</v>
      </c>
      <c r="V95" s="18">
        <v>4353.4059999999999</v>
      </c>
      <c r="W95" s="18">
        <v>4358.1099999999997</v>
      </c>
      <c r="X95" s="18">
        <v>4358.63</v>
      </c>
      <c r="Y95" s="18">
        <v>4362.0140000000001</v>
      </c>
      <c r="Z95" s="18">
        <v>4366.241</v>
      </c>
      <c r="AA95" s="18">
        <v>4379.8410000000003</v>
      </c>
      <c r="AB95" s="18">
        <v>4407.5770000000002</v>
      </c>
      <c r="AC95" s="18">
        <v>4445.4229999999998</v>
      </c>
      <c r="AD95" s="18">
        <v>4481.6279999999997</v>
      </c>
      <c r="AE95" s="18">
        <v>4514.9859999999999</v>
      </c>
      <c r="AF95" s="18">
        <v>4559.0060000000003</v>
      </c>
      <c r="AG95" s="18">
        <v>4618.0829999999996</v>
      </c>
      <c r="AH95" s="18">
        <v>4684.3490000000002</v>
      </c>
      <c r="AI95" s="18">
        <v>4748.5</v>
      </c>
      <c r="AJ95" s="18">
        <v>4815.9440000000004</v>
      </c>
      <c r="AK95" s="18">
        <v>4856.5910000000003</v>
      </c>
      <c r="AL95" s="18">
        <v>4855.6490000000003</v>
      </c>
      <c r="AM95" s="18">
        <v>4827.9030000000002</v>
      </c>
      <c r="AN95" s="18">
        <v>4803.1499999999996</v>
      </c>
      <c r="AO95" s="18">
        <v>4775.6930000000002</v>
      </c>
      <c r="AP95" s="18">
        <v>4756.2470000000003</v>
      </c>
      <c r="AQ95" s="18">
        <v>4753.2359999999999</v>
      </c>
      <c r="AR95" s="18">
        <v>4761.4080000000004</v>
      </c>
      <c r="AS95" s="18">
        <v>4762.7860000000001</v>
      </c>
      <c r="AT95" s="18">
        <v>4755.799</v>
      </c>
      <c r="AU95" s="18">
        <v>4766.0129999999999</v>
      </c>
      <c r="AV95" s="18">
        <v>4802.692</v>
      </c>
      <c r="AW95" s="18">
        <v>4852.4859999999999</v>
      </c>
      <c r="AX95" s="18">
        <v>4895.38</v>
      </c>
      <c r="AY95" s="18">
        <v>4938.4859999999999</v>
      </c>
      <c r="AZ95" s="18">
        <v>4947.5460000000003</v>
      </c>
      <c r="BA95" s="18">
        <v>4904.4629999999997</v>
      </c>
      <c r="BB95" s="18">
        <v>4825.6220000000003</v>
      </c>
      <c r="BC95" s="18">
        <v>4746.5910000000003</v>
      </c>
      <c r="BD95" s="18">
        <v>4661.5619999999999</v>
      </c>
      <c r="BE95" s="18">
        <v>4573.7550000000001</v>
      </c>
      <c r="BF95" s="18">
        <v>4488.7709999999997</v>
      </c>
      <c r="BG95" s="18">
        <v>4404.6890000000003</v>
      </c>
      <c r="BH95" s="18">
        <v>4315.1819999999998</v>
      </c>
      <c r="BI95" s="18">
        <v>4222.951</v>
      </c>
      <c r="BJ95" s="18">
        <v>4130.0510000000004</v>
      </c>
      <c r="BK95" s="18">
        <v>4037.3560000000002</v>
      </c>
      <c r="BL95" s="18">
        <v>3946.2739999999999</v>
      </c>
      <c r="BM95" s="18">
        <v>3856.462</v>
      </c>
      <c r="BN95" s="18">
        <v>3766.9229999999998</v>
      </c>
      <c r="BO95" s="18">
        <v>3689.15</v>
      </c>
      <c r="BP95" s="18">
        <v>3628.5010000000002</v>
      </c>
      <c r="BQ95" s="18">
        <v>3579.9270000000001</v>
      </c>
      <c r="BR95" s="18">
        <v>3532.0030000000002</v>
      </c>
      <c r="BS95" s="18">
        <v>3485.7869999999998</v>
      </c>
      <c r="BT95" s="18">
        <v>3443.1669999999999</v>
      </c>
      <c r="BU95" s="18">
        <v>3403.5369999999998</v>
      </c>
      <c r="BV95" s="18">
        <v>3365.5970000000002</v>
      </c>
      <c r="BW95" s="18">
        <v>3325.84</v>
      </c>
      <c r="BX95" s="18">
        <v>3281.598</v>
      </c>
      <c r="BY95" s="18">
        <v>3240.91</v>
      </c>
      <c r="BZ95" s="18">
        <v>3206.319</v>
      </c>
      <c r="CA95" s="18">
        <v>3171.4490000000001</v>
      </c>
      <c r="CB95" s="18">
        <v>3128.7190000000001</v>
      </c>
      <c r="CC95" s="18">
        <v>3081.2570000000001</v>
      </c>
      <c r="CD95" s="18">
        <v>3007.2809999999999</v>
      </c>
      <c r="CE95" s="18">
        <v>2895.6790000000001</v>
      </c>
      <c r="CF95" s="18">
        <v>2756.0970000000002</v>
      </c>
      <c r="CG95" s="18">
        <v>2612.6729999999998</v>
      </c>
      <c r="CH95" s="18">
        <v>2464.634</v>
      </c>
      <c r="CI95" s="18">
        <v>2298.9920000000002</v>
      </c>
      <c r="CJ95" s="18">
        <v>2113.0160000000001</v>
      </c>
      <c r="CK95" s="18">
        <v>1914.1579999999999</v>
      </c>
      <c r="CL95" s="18">
        <v>1702.6220000000001</v>
      </c>
      <c r="CM95" s="18">
        <v>1516.5509999999999</v>
      </c>
      <c r="CN95" s="18">
        <v>1350.19</v>
      </c>
      <c r="CO95" s="18">
        <v>1158.4369999999999</v>
      </c>
      <c r="CP95" s="18">
        <v>941.07299999999998</v>
      </c>
      <c r="CQ95" s="18">
        <v>771.06899999999996</v>
      </c>
      <c r="CR95" s="18">
        <v>676.22400000000005</v>
      </c>
      <c r="CS95" s="18">
        <v>578.65899999999999</v>
      </c>
      <c r="CT95" s="18">
        <v>452.77699999999999</v>
      </c>
      <c r="CU95" s="18">
        <v>298.57299999999998</v>
      </c>
      <c r="CV95" s="18">
        <v>239.16200000000001</v>
      </c>
      <c r="CW95" s="18">
        <v>142.08699999999999</v>
      </c>
      <c r="CX95" s="18">
        <v>260.06200000000001</v>
      </c>
      <c r="CY95" s="3">
        <f t="shared" si="172"/>
        <v>370746.30500000011</v>
      </c>
      <c r="CZ95" s="21">
        <f t="shared" si="88"/>
        <v>294821.39299999998</v>
      </c>
      <c r="DA95">
        <f t="shared" si="89"/>
        <v>1.4659434839587778E-2</v>
      </c>
      <c r="DB95">
        <f t="shared" si="90"/>
        <v>1.472161146731981E-2</v>
      </c>
      <c r="DC95">
        <f t="shared" si="91"/>
        <v>1.4766248662287543E-2</v>
      </c>
      <c r="DD95">
        <f t="shared" si="92"/>
        <v>1.4782204085169627E-2</v>
      </c>
      <c r="DE95">
        <f t="shared" si="93"/>
        <v>1.4783967864909995E-2</v>
      </c>
      <c r="DF95">
        <f t="shared" si="94"/>
        <v>1.4795446000758841E-2</v>
      </c>
      <c r="DG95">
        <f t="shared" si="95"/>
        <v>1.480978349491755E-2</v>
      </c>
      <c r="DH95">
        <f t="shared" si="96"/>
        <v>1.4855913118896363E-2</v>
      </c>
      <c r="DI95">
        <f t="shared" si="97"/>
        <v>1.4949990416740215E-2</v>
      </c>
      <c r="DJ95">
        <f t="shared" si="98"/>
        <v>1.5078359662997726E-2</v>
      </c>
      <c r="DK95">
        <f t="shared" si="99"/>
        <v>1.5201162827420737E-2</v>
      </c>
      <c r="DL95">
        <f t="shared" si="100"/>
        <v>1.5314309297765241E-2</v>
      </c>
      <c r="DM95">
        <f t="shared" si="101"/>
        <v>1.546362003655549E-2</v>
      </c>
      <c r="DN95">
        <f t="shared" si="102"/>
        <v>1.5664002374481692E-2</v>
      </c>
      <c r="DO95">
        <f t="shared" si="103"/>
        <v>1.5888768967318462E-2</v>
      </c>
      <c r="DP95">
        <f t="shared" si="104"/>
        <v>1.61063617252497E-2</v>
      </c>
      <c r="DQ95">
        <f t="shared" si="105"/>
        <v>1.6335123957575224E-2</v>
      </c>
      <c r="DR95">
        <f t="shared" si="106"/>
        <v>1.6472993871241903E-2</v>
      </c>
      <c r="DS95">
        <f t="shared" si="107"/>
        <v>1.6469798716404548E-2</v>
      </c>
      <c r="DT95">
        <f t="shared" si="108"/>
        <v>1.6375687499719536E-2</v>
      </c>
      <c r="DU95">
        <f t="shared" si="109"/>
        <v>1.6291728192193978E-2</v>
      </c>
      <c r="DV95">
        <f t="shared" si="110"/>
        <v>1.6198597230018517E-2</v>
      </c>
      <c r="DW95">
        <f t="shared" si="111"/>
        <v>1.6132638651497045E-2</v>
      </c>
      <c r="DX95">
        <f t="shared" si="112"/>
        <v>1.6122425688423498E-2</v>
      </c>
      <c r="DY95">
        <f t="shared" si="113"/>
        <v>1.6150144165420183E-2</v>
      </c>
      <c r="DZ95">
        <f t="shared" si="114"/>
        <v>1.6154818181732152E-2</v>
      </c>
      <c r="EA95">
        <f t="shared" si="115"/>
        <v>1.6131119087413038E-2</v>
      </c>
      <c r="EB95">
        <f t="shared" si="116"/>
        <v>1.616576379177477E-2</v>
      </c>
      <c r="EC95">
        <f t="shared" si="117"/>
        <v>1.6290174709268808E-2</v>
      </c>
      <c r="ED95">
        <f t="shared" si="118"/>
        <v>1.6459070186945354E-2</v>
      </c>
      <c r="EE95">
        <f t="shared" si="119"/>
        <v>1.6604561664220887E-2</v>
      </c>
      <c r="EF95">
        <f t="shared" si="120"/>
        <v>1.6750772220929029E-2</v>
      </c>
      <c r="EG95">
        <f t="shared" si="121"/>
        <v>1.67815026910208E-2</v>
      </c>
      <c r="EH95">
        <f t="shared" si="122"/>
        <v>1.6635370147647325E-2</v>
      </c>
      <c r="EI95">
        <f t="shared" si="123"/>
        <v>1.6367950612050736E-2</v>
      </c>
      <c r="EJ95">
        <f t="shared" si="124"/>
        <v>1.6099886618472087E-2</v>
      </c>
      <c r="EK95">
        <f t="shared" si="125"/>
        <v>1.5811478103965135E-2</v>
      </c>
      <c r="EL95">
        <f t="shared" si="126"/>
        <v>1.551364693538369E-2</v>
      </c>
      <c r="EM95">
        <f t="shared" si="127"/>
        <v>1.5225391055661961E-2</v>
      </c>
      <c r="EN95">
        <f t="shared" si="128"/>
        <v>1.4940194655412948E-2</v>
      </c>
      <c r="EO95">
        <f t="shared" si="129"/>
        <v>1.4636597283834148E-2</v>
      </c>
      <c r="EP95">
        <f t="shared" si="130"/>
        <v>1.4323760419923124E-2</v>
      </c>
      <c r="EQ95">
        <f t="shared" si="131"/>
        <v>1.4008654385538435E-2</v>
      </c>
      <c r="ER95">
        <f t="shared" si="132"/>
        <v>1.3694243687397543E-2</v>
      </c>
      <c r="ES95">
        <f t="shared" si="133"/>
        <v>1.3385304098335904E-2</v>
      </c>
      <c r="ET95">
        <f t="shared" si="134"/>
        <v>1.3080672202101698E-2</v>
      </c>
      <c r="EU95">
        <f t="shared" si="135"/>
        <v>1.2776966290231184E-2</v>
      </c>
      <c r="EV95">
        <f t="shared" si="136"/>
        <v>1.2513169286870577E-2</v>
      </c>
      <c r="EW95">
        <f t="shared" si="137"/>
        <v>1.2307454907113883E-2</v>
      </c>
      <c r="EX95">
        <f t="shared" si="138"/>
        <v>1.2142697528058964E-2</v>
      </c>
      <c r="EY95">
        <f t="shared" si="139"/>
        <v>1.1980144873679504E-2</v>
      </c>
      <c r="EZ95">
        <f t="shared" si="140"/>
        <v>1.1823385557370322E-2</v>
      </c>
      <c r="FA95">
        <f t="shared" si="141"/>
        <v>1.16788234563426E-2</v>
      </c>
      <c r="FB95">
        <f t="shared" si="142"/>
        <v>1.1544403088821984E-2</v>
      </c>
      <c r="FC95">
        <f t="shared" si="143"/>
        <v>1.141571500545756E-2</v>
      </c>
      <c r="FD95">
        <f t="shared" si="144"/>
        <v>1.1280863868654201E-2</v>
      </c>
      <c r="FE95">
        <f t="shared" si="145"/>
        <v>1.1130800131590179E-2</v>
      </c>
      <c r="FF95">
        <f t="shared" si="146"/>
        <v>1.0992791150674742E-2</v>
      </c>
      <c r="FG95">
        <f t="shared" si="147"/>
        <v>1.0875462487215099E-2</v>
      </c>
      <c r="FH95">
        <f t="shared" si="148"/>
        <v>1.0757187488087069E-2</v>
      </c>
      <c r="FI95">
        <f t="shared" si="149"/>
        <v>1.0612252279806575E-2</v>
      </c>
      <c r="FJ95">
        <f t="shared" si="150"/>
        <v>1.0451266675888748E-2</v>
      </c>
      <c r="FK95">
        <f t="shared" si="151"/>
        <v>1.0200348656516931E-2</v>
      </c>
      <c r="FL95">
        <f t="shared" si="152"/>
        <v>9.821807605393142E-3</v>
      </c>
      <c r="FM95">
        <f t="shared" si="153"/>
        <v>9.3483616367011756E-3</v>
      </c>
      <c r="FN95">
        <f t="shared" si="154"/>
        <v>8.8618840492351927E-3</v>
      </c>
      <c r="FO95">
        <f t="shared" si="155"/>
        <v>8.3597529165734593E-3</v>
      </c>
      <c r="FP95">
        <f t="shared" si="156"/>
        <v>7.7979144478162081E-3</v>
      </c>
      <c r="FQ95">
        <f t="shared" si="157"/>
        <v>7.1671054074423975E-3</v>
      </c>
      <c r="FR95">
        <f t="shared" si="158"/>
        <v>6.4926021158851254E-3</v>
      </c>
      <c r="FS95">
        <f t="shared" si="159"/>
        <v>5.7750965175040747E-3</v>
      </c>
      <c r="FT95">
        <f t="shared" si="160"/>
        <v>5.1439652481392352E-3</v>
      </c>
      <c r="FU95">
        <f t="shared" si="161"/>
        <v>4.5796880147025154E-3</v>
      </c>
      <c r="FV95">
        <f t="shared" si="162"/>
        <v>3.9292840597900574E-3</v>
      </c>
      <c r="FW95">
        <f t="shared" si="163"/>
        <v>3.1920105607804385E-3</v>
      </c>
      <c r="FX95">
        <f t="shared" si="164"/>
        <v>2.6153766935088051E-3</v>
      </c>
      <c r="FY95">
        <f t="shared" si="165"/>
        <v>2.2936734445183227E-3</v>
      </c>
      <c r="FZ95">
        <f t="shared" si="166"/>
        <v>1.9627442707320767E-3</v>
      </c>
      <c r="GA95">
        <f t="shared" si="167"/>
        <v>1.5357671144305325E-3</v>
      </c>
      <c r="GB95">
        <f t="shared" si="168"/>
        <v>1.012725016193109E-3</v>
      </c>
      <c r="GC95">
        <f t="shared" si="169"/>
        <v>8.1120978897213211E-4</v>
      </c>
      <c r="GD95">
        <f t="shared" si="170"/>
        <v>4.8194263840277017E-4</v>
      </c>
      <c r="GE95">
        <f t="shared" si="171"/>
        <v>8.8210016699839702E-4</v>
      </c>
    </row>
    <row r="96" spans="1:187">
      <c r="A96" s="15">
        <v>2044</v>
      </c>
      <c r="B96" s="18">
        <v>4129.8540000000003</v>
      </c>
      <c r="C96" s="18">
        <v>4151.18</v>
      </c>
      <c r="D96" s="18">
        <v>4167.9620000000004</v>
      </c>
      <c r="E96" s="18">
        <v>4180.8339999999998</v>
      </c>
      <c r="F96" s="18">
        <v>4186.3729999999996</v>
      </c>
      <c r="G96" s="18">
        <v>4193.4989999999998</v>
      </c>
      <c r="H96" s="18">
        <v>4198.902</v>
      </c>
      <c r="I96" s="18">
        <v>4203.2070000000003</v>
      </c>
      <c r="J96" s="18">
        <v>4207.0370000000003</v>
      </c>
      <c r="K96" s="18">
        <v>4210.0569999999998</v>
      </c>
      <c r="L96" s="18">
        <v>4211.9340000000002</v>
      </c>
      <c r="M96" s="18">
        <v>4218.0770000000002</v>
      </c>
      <c r="N96" s="18">
        <v>4231.0240000000003</v>
      </c>
      <c r="O96" s="18">
        <v>4248.527</v>
      </c>
      <c r="P96" s="18">
        <v>4265.3770000000004</v>
      </c>
      <c r="Q96" s="18">
        <v>4282.1130000000003</v>
      </c>
      <c r="R96" s="18">
        <v>4299.7879999999996</v>
      </c>
      <c r="S96" s="18">
        <v>4318.2430000000004</v>
      </c>
      <c r="T96" s="18">
        <v>4336.884</v>
      </c>
      <c r="U96" s="18">
        <v>4356.6390000000001</v>
      </c>
      <c r="V96" s="18">
        <v>4378.9539999999997</v>
      </c>
      <c r="W96" s="18">
        <v>4394.5870000000004</v>
      </c>
      <c r="X96" s="18">
        <v>4399.5519999999997</v>
      </c>
      <c r="Y96" s="18">
        <v>4398.7759999999998</v>
      </c>
      <c r="Z96" s="18">
        <v>4400.7269999999999</v>
      </c>
      <c r="AA96" s="18">
        <v>4403.1880000000001</v>
      </c>
      <c r="AB96" s="18">
        <v>4414.732</v>
      </c>
      <c r="AC96" s="18">
        <v>4440.3180000000002</v>
      </c>
      <c r="AD96" s="18">
        <v>4475.9110000000001</v>
      </c>
      <c r="AE96" s="18">
        <v>4509.5649999999996</v>
      </c>
      <c r="AF96" s="18">
        <v>4540.1279999999997</v>
      </c>
      <c r="AG96" s="18">
        <v>4581.5219999999999</v>
      </c>
      <c r="AH96" s="18">
        <v>4638.33</v>
      </c>
      <c r="AI96" s="18">
        <v>4702.5810000000001</v>
      </c>
      <c r="AJ96" s="18">
        <v>4764.6530000000002</v>
      </c>
      <c r="AK96" s="18">
        <v>4829.9930000000004</v>
      </c>
      <c r="AL96" s="18">
        <v>4868.7280000000001</v>
      </c>
      <c r="AM96" s="18">
        <v>4866.134</v>
      </c>
      <c r="AN96" s="18">
        <v>4836.92</v>
      </c>
      <c r="AO96" s="18">
        <v>4810.7290000000003</v>
      </c>
      <c r="AP96" s="18">
        <v>4781.8760000000002</v>
      </c>
      <c r="AQ96" s="18">
        <v>4761.0829999999996</v>
      </c>
      <c r="AR96" s="18">
        <v>4756.7560000000003</v>
      </c>
      <c r="AS96" s="18">
        <v>4763.6289999999999</v>
      </c>
      <c r="AT96" s="18">
        <v>4763.7349999999997</v>
      </c>
      <c r="AU96" s="18">
        <v>4755.5119999999997</v>
      </c>
      <c r="AV96" s="18">
        <v>4764.3959999999997</v>
      </c>
      <c r="AW96" s="18">
        <v>4799.5860000000002</v>
      </c>
      <c r="AX96" s="18">
        <v>4847.7910000000002</v>
      </c>
      <c r="AY96" s="18">
        <v>4889.1090000000004</v>
      </c>
      <c r="AZ96" s="18">
        <v>4930.6390000000001</v>
      </c>
      <c r="BA96" s="18">
        <v>4938.1130000000003</v>
      </c>
      <c r="BB96" s="18">
        <v>4893.4459999999999</v>
      </c>
      <c r="BC96" s="18">
        <v>4813.0249999999996</v>
      </c>
      <c r="BD96" s="18">
        <v>4732.4040000000005</v>
      </c>
      <c r="BE96" s="18">
        <v>4645.7740000000003</v>
      </c>
      <c r="BF96" s="18">
        <v>4556.4059999999999</v>
      </c>
      <c r="BG96" s="18">
        <v>4469.9260000000004</v>
      </c>
      <c r="BH96" s="18">
        <v>4384.3919999999998</v>
      </c>
      <c r="BI96" s="18">
        <v>4293.393</v>
      </c>
      <c r="BJ96" s="18">
        <v>4199.6040000000003</v>
      </c>
      <c r="BK96" s="18">
        <v>4105.2439999999997</v>
      </c>
      <c r="BL96" s="18">
        <v>4011.2469999999998</v>
      </c>
      <c r="BM96" s="18">
        <v>3918.922</v>
      </c>
      <c r="BN96" s="18">
        <v>3827.7280000000001</v>
      </c>
      <c r="BO96" s="18">
        <v>3736.663</v>
      </c>
      <c r="BP96" s="18">
        <v>3657.2269999999999</v>
      </c>
      <c r="BQ96" s="18">
        <v>3594.7469999999998</v>
      </c>
      <c r="BR96" s="18">
        <v>3544.1329999999998</v>
      </c>
      <c r="BS96" s="18">
        <v>3493.91</v>
      </c>
      <c r="BT96" s="18">
        <v>3445.098</v>
      </c>
      <c r="BU96" s="18">
        <v>3399.5520000000001</v>
      </c>
      <c r="BV96" s="18">
        <v>3356.6239999999998</v>
      </c>
      <c r="BW96" s="18">
        <v>3314.9769999999999</v>
      </c>
      <c r="BX96" s="18">
        <v>3271.2220000000002</v>
      </c>
      <c r="BY96" s="18">
        <v>3222.8020000000001</v>
      </c>
      <c r="BZ96" s="18">
        <v>3176.9639999999999</v>
      </c>
      <c r="CA96" s="18">
        <v>3135.9119999999998</v>
      </c>
      <c r="CB96" s="18">
        <v>3093.6840000000002</v>
      </c>
      <c r="CC96" s="18">
        <v>3043.69</v>
      </c>
      <c r="CD96" s="18">
        <v>2989.1460000000002</v>
      </c>
      <c r="CE96" s="18">
        <v>2907.614</v>
      </c>
      <c r="CF96" s="18">
        <v>2787.8510000000001</v>
      </c>
      <c r="CG96" s="18">
        <v>2639.9850000000001</v>
      </c>
      <c r="CH96" s="18">
        <v>2488.87</v>
      </c>
      <c r="CI96" s="18">
        <v>2333.712</v>
      </c>
      <c r="CJ96" s="18">
        <v>2162.31</v>
      </c>
      <c r="CK96" s="18">
        <v>1972.441</v>
      </c>
      <c r="CL96" s="18">
        <v>1771.3869999999999</v>
      </c>
      <c r="CM96" s="18">
        <v>1554.732</v>
      </c>
      <c r="CN96" s="18">
        <v>1373.5150000000001</v>
      </c>
      <c r="CO96" s="18">
        <v>1217.8389999999999</v>
      </c>
      <c r="CP96" s="18">
        <v>1025.751</v>
      </c>
      <c r="CQ96" s="18">
        <v>797.13800000000003</v>
      </c>
      <c r="CR96" s="18">
        <v>636.59199999999998</v>
      </c>
      <c r="CS96" s="18">
        <v>560.10599999999999</v>
      </c>
      <c r="CT96" s="18">
        <v>473.36399999999998</v>
      </c>
      <c r="CU96" s="18">
        <v>363.56799999999998</v>
      </c>
      <c r="CV96" s="18">
        <v>230.71799999999999</v>
      </c>
      <c r="CW96" s="18">
        <v>152.416</v>
      </c>
      <c r="CX96" s="18">
        <v>276.85899999999998</v>
      </c>
      <c r="CY96" s="3">
        <f t="shared" si="172"/>
        <v>372060.39399999997</v>
      </c>
      <c r="CZ96" s="21">
        <f t="shared" si="88"/>
        <v>296156.40600000013</v>
      </c>
      <c r="DA96">
        <f t="shared" si="89"/>
        <v>1.4643897319580513E-2</v>
      </c>
      <c r="DB96">
        <f t="shared" si="90"/>
        <v>1.4710601937815244E-2</v>
      </c>
      <c r="DC96">
        <f t="shared" si="91"/>
        <v>1.4785950637177836E-2</v>
      </c>
      <c r="DD96">
        <f t="shared" si="92"/>
        <v>1.4838736934159035E-2</v>
      </c>
      <c r="DE96">
        <f t="shared" si="93"/>
        <v>1.4855501724315217E-2</v>
      </c>
      <c r="DF96">
        <f t="shared" si="94"/>
        <v>1.4852881487223335E-2</v>
      </c>
      <c r="DG96">
        <f t="shared" si="95"/>
        <v>1.485946922248914E-2</v>
      </c>
      <c r="DH96">
        <f t="shared" si="96"/>
        <v>1.4867779020792135E-2</v>
      </c>
      <c r="DI96">
        <f t="shared" si="97"/>
        <v>1.4906758424128088E-2</v>
      </c>
      <c r="DJ96">
        <f t="shared" si="98"/>
        <v>1.499315196308804E-2</v>
      </c>
      <c r="DK96">
        <f t="shared" si="99"/>
        <v>1.5113335080113033E-2</v>
      </c>
      <c r="DL96">
        <f t="shared" si="100"/>
        <v>1.522697098100251E-2</v>
      </c>
      <c r="DM96">
        <f t="shared" si="101"/>
        <v>1.5330169829248933E-2</v>
      </c>
      <c r="DN96">
        <f t="shared" si="102"/>
        <v>1.5469940569173432E-2</v>
      </c>
      <c r="DO96">
        <f t="shared" si="103"/>
        <v>1.5661758131951392E-2</v>
      </c>
      <c r="DP96">
        <f t="shared" si="104"/>
        <v>1.5878707685289772E-2</v>
      </c>
      <c r="DQ96">
        <f t="shared" si="105"/>
        <v>1.6088299639886897E-2</v>
      </c>
      <c r="DR96">
        <f t="shared" si="106"/>
        <v>1.630892630429881E-2</v>
      </c>
      <c r="DS96">
        <f t="shared" si="107"/>
        <v>1.6439718680270578E-2</v>
      </c>
      <c r="DT96">
        <f t="shared" si="108"/>
        <v>1.6430959794940237E-2</v>
      </c>
      <c r="DU96">
        <f t="shared" si="109"/>
        <v>1.6332315972256897E-2</v>
      </c>
      <c r="DV96">
        <f t="shared" si="110"/>
        <v>1.6243879593811648E-2</v>
      </c>
      <c r="DW96">
        <f t="shared" si="111"/>
        <v>1.6146454721631103E-2</v>
      </c>
      <c r="DX96">
        <f t="shared" si="112"/>
        <v>1.6076245198626559E-2</v>
      </c>
      <c r="DY96">
        <f t="shared" si="113"/>
        <v>1.6061634675563961E-2</v>
      </c>
      <c r="DZ96">
        <f t="shared" si="114"/>
        <v>1.6084842007435752E-2</v>
      </c>
      <c r="EA96">
        <f t="shared" si="115"/>
        <v>1.6085199926419953E-2</v>
      </c>
      <c r="EB96">
        <f t="shared" si="116"/>
        <v>1.6057434192390887E-2</v>
      </c>
      <c r="EC96">
        <f t="shared" si="117"/>
        <v>1.6087431855179919E-2</v>
      </c>
      <c r="ED96">
        <f t="shared" si="118"/>
        <v>1.6206254204746116E-2</v>
      </c>
      <c r="EE96">
        <f t="shared" si="119"/>
        <v>1.6369022927702592E-2</v>
      </c>
      <c r="EF96">
        <f t="shared" si="120"/>
        <v>1.650853704646861E-2</v>
      </c>
      <c r="EG96">
        <f t="shared" si="121"/>
        <v>1.6648767003203023E-2</v>
      </c>
      <c r="EH96">
        <f t="shared" si="122"/>
        <v>1.6674003668183352E-2</v>
      </c>
      <c r="EI96">
        <f t="shared" si="123"/>
        <v>1.6523181335473112E-2</v>
      </c>
      <c r="EJ96">
        <f t="shared" si="124"/>
        <v>1.6251632254073198E-2</v>
      </c>
      <c r="EK96">
        <f t="shared" si="125"/>
        <v>1.5979407853835174E-2</v>
      </c>
      <c r="EL96">
        <f t="shared" si="126"/>
        <v>1.5686893499106003E-2</v>
      </c>
      <c r="EM96">
        <f t="shared" si="127"/>
        <v>1.538513402948305E-2</v>
      </c>
      <c r="EN96">
        <f t="shared" si="128"/>
        <v>1.5093126163882467E-2</v>
      </c>
      <c r="EO96">
        <f t="shared" si="129"/>
        <v>1.4804312556386161E-2</v>
      </c>
      <c r="EP96">
        <f t="shared" si="130"/>
        <v>1.4497045861638387E-2</v>
      </c>
      <c r="EQ96">
        <f t="shared" si="131"/>
        <v>1.418035846909892E-2</v>
      </c>
      <c r="ER96">
        <f t="shared" si="132"/>
        <v>1.3861743041276634E-2</v>
      </c>
      <c r="ES96">
        <f t="shared" si="133"/>
        <v>1.3544353317145529E-2</v>
      </c>
      <c r="ET96">
        <f t="shared" si="134"/>
        <v>1.3232609258501058E-2</v>
      </c>
      <c r="EU96">
        <f t="shared" si="135"/>
        <v>1.2924684127886122E-2</v>
      </c>
      <c r="EV96">
        <f t="shared" si="136"/>
        <v>1.2617194577921769E-2</v>
      </c>
      <c r="EW96">
        <f t="shared" si="137"/>
        <v>1.2348971441799568E-2</v>
      </c>
      <c r="EX96">
        <f t="shared" si="138"/>
        <v>1.2138001836772688E-2</v>
      </c>
      <c r="EY96">
        <f t="shared" si="139"/>
        <v>1.1967098898411126E-2</v>
      </c>
      <c r="EZ96">
        <f t="shared" si="140"/>
        <v>1.1797516208378076E-2</v>
      </c>
      <c r="FA96">
        <f t="shared" si="141"/>
        <v>1.1632697892747923E-2</v>
      </c>
      <c r="FB96">
        <f t="shared" si="142"/>
        <v>1.1478907533744176E-2</v>
      </c>
      <c r="FC96">
        <f t="shared" si="143"/>
        <v>1.133395709833134E-2</v>
      </c>
      <c r="FD96">
        <f t="shared" si="144"/>
        <v>1.1193332080076628E-2</v>
      </c>
      <c r="FE96">
        <f t="shared" si="145"/>
        <v>1.1045589201268193E-2</v>
      </c>
      <c r="FF96">
        <f t="shared" si="146"/>
        <v>1.0882094510560743E-2</v>
      </c>
      <c r="FG96">
        <f t="shared" si="147"/>
        <v>1.0727318186053348E-2</v>
      </c>
      <c r="FH96">
        <f t="shared" si="148"/>
        <v>1.0588702241342025E-2</v>
      </c>
      <c r="FI96">
        <f t="shared" si="149"/>
        <v>1.0446115421862591E-2</v>
      </c>
      <c r="FJ96">
        <f t="shared" si="150"/>
        <v>1.0277305971899181E-2</v>
      </c>
      <c r="FK96">
        <f t="shared" si="151"/>
        <v>1.0093133018368675E-2</v>
      </c>
      <c r="FL96">
        <f t="shared" si="152"/>
        <v>9.817832540823036E-3</v>
      </c>
      <c r="FM96">
        <f t="shared" si="153"/>
        <v>9.413441490777677E-3</v>
      </c>
      <c r="FN96">
        <f t="shared" si="154"/>
        <v>8.9141580141946994E-3</v>
      </c>
      <c r="FO96">
        <f t="shared" si="155"/>
        <v>8.4039039830865539E-3</v>
      </c>
      <c r="FP96">
        <f t="shared" si="156"/>
        <v>7.8799983816659324E-3</v>
      </c>
      <c r="FQ96">
        <f t="shared" si="157"/>
        <v>7.3012433842136746E-3</v>
      </c>
      <c r="FR96">
        <f t="shared" si="158"/>
        <v>6.6601328218441414E-3</v>
      </c>
      <c r="FS96">
        <f t="shared" si="159"/>
        <v>5.9812550534530705E-3</v>
      </c>
      <c r="FT96">
        <f t="shared" si="160"/>
        <v>5.249699039094901E-3</v>
      </c>
      <c r="FU96">
        <f t="shared" si="161"/>
        <v>4.637802769662188E-3</v>
      </c>
      <c r="FV96">
        <f t="shared" si="162"/>
        <v>4.1121480924508494E-3</v>
      </c>
      <c r="FW96">
        <f t="shared" si="163"/>
        <v>3.4635448675724391E-3</v>
      </c>
      <c r="FX96">
        <f t="shared" si="164"/>
        <v>2.691611539883421E-3</v>
      </c>
      <c r="FY96">
        <f t="shared" si="165"/>
        <v>2.1495128489640021E-3</v>
      </c>
      <c r="FZ96">
        <f t="shared" si="166"/>
        <v>1.8912506657039853E-3</v>
      </c>
      <c r="GA96">
        <f t="shared" si="167"/>
        <v>1.5983581324254717E-3</v>
      </c>
      <c r="GB96">
        <f t="shared" si="168"/>
        <v>1.2276215966775333E-3</v>
      </c>
      <c r="GC96">
        <f t="shared" si="169"/>
        <v>7.7904105846017015E-4</v>
      </c>
      <c r="GD96">
        <f t="shared" si="170"/>
        <v>5.1464698015007623E-4</v>
      </c>
      <c r="GE96">
        <f t="shared" si="171"/>
        <v>9.3484049100730864E-4</v>
      </c>
    </row>
    <row r="97" spans="1:187">
      <c r="A97" s="15">
        <v>2045</v>
      </c>
      <c r="B97" s="18">
        <v>4124.335</v>
      </c>
      <c r="C97" s="18">
        <v>4146.2830000000004</v>
      </c>
      <c r="D97" s="18">
        <v>4163.4359999999997</v>
      </c>
      <c r="E97" s="18">
        <v>4176.4849999999997</v>
      </c>
      <c r="F97" s="18">
        <v>4186.1220000000003</v>
      </c>
      <c r="G97" s="18">
        <v>4193.0370000000003</v>
      </c>
      <c r="H97" s="18">
        <v>4197.9189999999999</v>
      </c>
      <c r="I97" s="18">
        <v>4201.4620000000004</v>
      </c>
      <c r="J97" s="18">
        <v>4204.3530000000001</v>
      </c>
      <c r="K97" s="18">
        <v>4207.2849999999999</v>
      </c>
      <c r="L97" s="18">
        <v>4209.7529999999997</v>
      </c>
      <c r="M97" s="18">
        <v>4211.2489999999998</v>
      </c>
      <c r="N97" s="18">
        <v>4218.4459999999999</v>
      </c>
      <c r="O97" s="18">
        <v>4234.4279999999999</v>
      </c>
      <c r="P97" s="18">
        <v>4256.2939999999999</v>
      </c>
      <c r="Q97" s="18">
        <v>4277.4880000000003</v>
      </c>
      <c r="R97" s="18">
        <v>4298.6270000000004</v>
      </c>
      <c r="S97" s="18">
        <v>4320.7659999999996</v>
      </c>
      <c r="T97" s="18">
        <v>4343.5450000000001</v>
      </c>
      <c r="U97" s="18">
        <v>4366.241</v>
      </c>
      <c r="V97" s="18">
        <v>4389.96</v>
      </c>
      <c r="W97" s="18">
        <v>4416.25</v>
      </c>
      <c r="X97" s="18">
        <v>4434.348</v>
      </c>
      <c r="Y97" s="18">
        <v>4439.5739999999996</v>
      </c>
      <c r="Z97" s="18">
        <v>4437.5010000000002</v>
      </c>
      <c r="AA97" s="18">
        <v>4438.0200000000004</v>
      </c>
      <c r="AB97" s="18">
        <v>4438.7139999999999</v>
      </c>
      <c r="AC97" s="18">
        <v>4448.201</v>
      </c>
      <c r="AD97" s="18">
        <v>4471.6310000000003</v>
      </c>
      <c r="AE97" s="18">
        <v>4504.9589999999998</v>
      </c>
      <c r="AF97" s="18">
        <v>4536.0529999999999</v>
      </c>
      <c r="AG97" s="18">
        <v>4563.8140000000003</v>
      </c>
      <c r="AH97" s="18">
        <v>4602.5690000000004</v>
      </c>
      <c r="AI97" s="18">
        <v>4657.0950000000003</v>
      </c>
      <c r="AJ97" s="18">
        <v>4719.3109999999997</v>
      </c>
      <c r="AK97" s="18">
        <v>4779.2830000000004</v>
      </c>
      <c r="AL97" s="18">
        <v>4842.5020000000004</v>
      </c>
      <c r="AM97" s="18">
        <v>4879.3149999999996</v>
      </c>
      <c r="AN97" s="18">
        <v>4875.0680000000002</v>
      </c>
      <c r="AO97" s="18">
        <v>4844.3980000000001</v>
      </c>
      <c r="AP97" s="18">
        <v>4816.777</v>
      </c>
      <c r="AQ97" s="18">
        <v>4786.5379999999996</v>
      </c>
      <c r="AR97" s="18">
        <v>4764.4059999999999</v>
      </c>
      <c r="AS97" s="18">
        <v>4758.7650000000003</v>
      </c>
      <c r="AT97" s="18">
        <v>4764.3360000000002</v>
      </c>
      <c r="AU97" s="18">
        <v>4763.1719999999996</v>
      </c>
      <c r="AV97" s="18">
        <v>4753.7169999999996</v>
      </c>
      <c r="AW97" s="18">
        <v>4761.2669999999998</v>
      </c>
      <c r="AX97" s="18">
        <v>4794.9620000000004</v>
      </c>
      <c r="AY97" s="18">
        <v>4841.5619999999999</v>
      </c>
      <c r="AZ97" s="18">
        <v>4881.2929999999997</v>
      </c>
      <c r="BA97" s="18">
        <v>4921.2340000000004</v>
      </c>
      <c r="BB97" s="18">
        <v>4927.1189999999997</v>
      </c>
      <c r="BC97" s="18">
        <v>4880.884</v>
      </c>
      <c r="BD97" s="18">
        <v>4798.9089999999997</v>
      </c>
      <c r="BE97" s="18">
        <v>4716.7250000000004</v>
      </c>
      <c r="BF97" s="18">
        <v>4628.5219999999999</v>
      </c>
      <c r="BG97" s="18">
        <v>4537.6229999999996</v>
      </c>
      <c r="BH97" s="18">
        <v>4449.6750000000002</v>
      </c>
      <c r="BI97" s="18">
        <v>4362.7139999999999</v>
      </c>
      <c r="BJ97" s="18">
        <v>4270.2529999999997</v>
      </c>
      <c r="BK97" s="18">
        <v>4174.9359999999997</v>
      </c>
      <c r="BL97" s="18">
        <v>4079.1480000000001</v>
      </c>
      <c r="BM97" s="18">
        <v>3983.8780000000002</v>
      </c>
      <c r="BN97" s="18">
        <v>3890.34</v>
      </c>
      <c r="BO97" s="18">
        <v>3797.7919999999999</v>
      </c>
      <c r="BP97" s="18">
        <v>3705.2310000000002</v>
      </c>
      <c r="BQ97" s="18">
        <v>3624.1579999999999</v>
      </c>
      <c r="BR97" s="18">
        <v>3559.8679999999999</v>
      </c>
      <c r="BS97" s="18">
        <v>3507.2310000000002</v>
      </c>
      <c r="BT97" s="18">
        <v>3454.7249999999999</v>
      </c>
      <c r="BU97" s="18">
        <v>3403.3339999999998</v>
      </c>
      <c r="BV97" s="18">
        <v>3354.8760000000002</v>
      </c>
      <c r="BW97" s="18">
        <v>3308.6669999999999</v>
      </c>
      <c r="BX97" s="18">
        <v>3263.33</v>
      </c>
      <c r="BY97" s="18">
        <v>3215.5940000000001</v>
      </c>
      <c r="BZ97" s="18">
        <v>3163.0149999999999</v>
      </c>
      <c r="CA97" s="18">
        <v>3112.0430000000001</v>
      </c>
      <c r="CB97" s="18">
        <v>3064.547</v>
      </c>
      <c r="CC97" s="18">
        <v>3014.9789999999998</v>
      </c>
      <c r="CD97" s="18">
        <v>2957.7420000000002</v>
      </c>
      <c r="CE97" s="18">
        <v>2896.1350000000002</v>
      </c>
      <c r="CF97" s="18">
        <v>2807.0770000000002</v>
      </c>
      <c r="CG97" s="18">
        <v>2679.1959999999999</v>
      </c>
      <c r="CH97" s="18">
        <v>2523.098</v>
      </c>
      <c r="CI97" s="18">
        <v>2364.346</v>
      </c>
      <c r="CJ97" s="18">
        <v>2202.1219999999998</v>
      </c>
      <c r="CK97" s="18">
        <v>2025.018</v>
      </c>
      <c r="CL97" s="18">
        <v>1831.319</v>
      </c>
      <c r="CM97" s="18">
        <v>1628.136</v>
      </c>
      <c r="CN97" s="18">
        <v>1406.4349999999999</v>
      </c>
      <c r="CO97" s="18">
        <v>1230.1279999999999</v>
      </c>
      <c r="CP97" s="18">
        <v>1085.181</v>
      </c>
      <c r="CQ97" s="18">
        <v>892.81899999999996</v>
      </c>
      <c r="CR97" s="18">
        <v>653.04100000000005</v>
      </c>
      <c r="CS97" s="18">
        <v>501.99900000000002</v>
      </c>
      <c r="CT97" s="18">
        <v>443.88400000000001</v>
      </c>
      <c r="CU97" s="18">
        <v>367.98500000000001</v>
      </c>
      <c r="CV97" s="18">
        <v>274.30200000000002</v>
      </c>
      <c r="CW97" s="18">
        <v>162.83500000000001</v>
      </c>
      <c r="CX97" s="18">
        <v>296.29399999999998</v>
      </c>
      <c r="CY97" s="3">
        <f t="shared" si="172"/>
        <v>373343.35700000019</v>
      </c>
      <c r="CZ97" s="21">
        <f t="shared" si="88"/>
        <v>297515.58900000004</v>
      </c>
      <c r="DA97">
        <f t="shared" si="89"/>
        <v>1.459938625266456E-2</v>
      </c>
      <c r="DB97">
        <f t="shared" si="90"/>
        <v>1.4675671330956709E-2</v>
      </c>
      <c r="DC97">
        <f t="shared" si="91"/>
        <v>1.475539488453494E-2</v>
      </c>
      <c r="DD97">
        <f t="shared" si="92"/>
        <v>1.4843760002101938E-2</v>
      </c>
      <c r="DE97">
        <f t="shared" si="93"/>
        <v>1.4904590428032998E-2</v>
      </c>
      <c r="DF97">
        <f t="shared" si="94"/>
        <v>1.4922155894157194E-2</v>
      </c>
      <c r="DG97">
        <f t="shared" si="95"/>
        <v>1.4915188192037895E-2</v>
      </c>
      <c r="DH97">
        <f t="shared" si="96"/>
        <v>1.4916932638444031E-2</v>
      </c>
      <c r="DI97">
        <f t="shared" si="97"/>
        <v>1.4919265289322367E-2</v>
      </c>
      <c r="DJ97">
        <f t="shared" si="98"/>
        <v>1.4951152694052611E-2</v>
      </c>
      <c r="DK97">
        <f t="shared" si="99"/>
        <v>1.5029904869959603E-2</v>
      </c>
      <c r="DL97">
        <f t="shared" si="100"/>
        <v>1.5141925890814411E-2</v>
      </c>
      <c r="DM97">
        <f t="shared" si="101"/>
        <v>1.5246438061435495E-2</v>
      </c>
      <c r="DN97">
        <f t="shared" si="102"/>
        <v>1.5339747457737415E-2</v>
      </c>
      <c r="DO97">
        <f t="shared" si="103"/>
        <v>1.5470009539567352E-2</v>
      </c>
      <c r="DP97">
        <f t="shared" si="104"/>
        <v>1.5653280608432251E-2</v>
      </c>
      <c r="DQ97">
        <f t="shared" si="105"/>
        <v>1.5862399062389967E-2</v>
      </c>
      <c r="DR97">
        <f t="shared" si="106"/>
        <v>1.6063975054429837E-2</v>
      </c>
      <c r="DS97">
        <f t="shared" si="107"/>
        <v>1.6276464760305382E-2</v>
      </c>
      <c r="DT97">
        <f t="shared" si="108"/>
        <v>1.6400199453078069E-2</v>
      </c>
      <c r="DU97">
        <f t="shared" si="109"/>
        <v>1.63859245708298E-2</v>
      </c>
      <c r="DV97">
        <f t="shared" si="110"/>
        <v>1.6282837535615654E-2</v>
      </c>
      <c r="DW97">
        <f t="shared" si="111"/>
        <v>1.6189998702891496E-2</v>
      </c>
      <c r="DX97">
        <f t="shared" si="112"/>
        <v>1.6088360331263176E-2</v>
      </c>
      <c r="DY97">
        <f t="shared" si="113"/>
        <v>1.6013970951955728E-2</v>
      </c>
      <c r="DZ97">
        <f t="shared" si="114"/>
        <v>1.5995010600940308E-2</v>
      </c>
      <c r="EA97">
        <f t="shared" si="115"/>
        <v>1.6013735670166847E-2</v>
      </c>
      <c r="EB97">
        <f t="shared" si="116"/>
        <v>1.6009823270134591E-2</v>
      </c>
      <c r="EC97">
        <f t="shared" si="117"/>
        <v>1.5978043422793551E-2</v>
      </c>
      <c r="ED97">
        <f t="shared" si="118"/>
        <v>1.6003420244308609E-2</v>
      </c>
      <c r="EE97">
        <f t="shared" si="119"/>
        <v>1.611667481397084E-2</v>
      </c>
      <c r="EF97">
        <f t="shared" si="120"/>
        <v>1.6273305261997547E-2</v>
      </c>
      <c r="EG97">
        <f t="shared" si="121"/>
        <v>1.6406847844198172E-2</v>
      </c>
      <c r="EH97">
        <f t="shared" si="122"/>
        <v>1.6541096271765442E-2</v>
      </c>
      <c r="EI97">
        <f t="shared" si="123"/>
        <v>1.6560876747873536E-2</v>
      </c>
      <c r="EJ97">
        <f t="shared" si="124"/>
        <v>1.6405473126317422E-2</v>
      </c>
      <c r="EK97">
        <f t="shared" si="125"/>
        <v>1.6129941345695332E-2</v>
      </c>
      <c r="EL97">
        <f t="shared" si="126"/>
        <v>1.5853707080875013E-2</v>
      </c>
      <c r="EM97">
        <f t="shared" si="127"/>
        <v>1.5557241943379308E-2</v>
      </c>
      <c r="EN97">
        <f t="shared" si="128"/>
        <v>1.5251715095843259E-2</v>
      </c>
      <c r="EO97">
        <f t="shared" si="129"/>
        <v>1.4956107056292771E-2</v>
      </c>
      <c r="EP97">
        <f t="shared" si="130"/>
        <v>1.4663816489965504E-2</v>
      </c>
      <c r="EQ97">
        <f t="shared" si="131"/>
        <v>1.4353039497368991E-2</v>
      </c>
      <c r="ER97">
        <f t="shared" si="132"/>
        <v>1.403266300778612E-2</v>
      </c>
      <c r="ES97">
        <f t="shared" si="133"/>
        <v>1.3710703407880921E-2</v>
      </c>
      <c r="ET97">
        <f t="shared" si="134"/>
        <v>1.3390484893213444E-2</v>
      </c>
      <c r="EU97">
        <f t="shared" si="135"/>
        <v>1.3076087922236572E-2</v>
      </c>
      <c r="EV97">
        <f t="shared" si="136"/>
        <v>1.2765018507988163E-2</v>
      </c>
      <c r="EW97">
        <f t="shared" si="137"/>
        <v>1.2453905398550392E-2</v>
      </c>
      <c r="EX97">
        <f t="shared" si="138"/>
        <v>1.2181405391836457E-2</v>
      </c>
      <c r="EY97">
        <f t="shared" si="139"/>
        <v>1.1965315874591027E-2</v>
      </c>
      <c r="EZ97">
        <f t="shared" si="140"/>
        <v>1.1788394052857512E-2</v>
      </c>
      <c r="FA97">
        <f t="shared" si="141"/>
        <v>1.1611912544186044E-2</v>
      </c>
      <c r="FB97">
        <f t="shared" si="142"/>
        <v>1.1439178738294616E-2</v>
      </c>
      <c r="FC97">
        <f t="shared" si="143"/>
        <v>1.1276303239357317E-2</v>
      </c>
      <c r="FD97">
        <f t="shared" si="144"/>
        <v>1.112098700817993E-2</v>
      </c>
      <c r="FE97">
        <f t="shared" si="145"/>
        <v>1.0968601715858322E-2</v>
      </c>
      <c r="FF97">
        <f t="shared" si="146"/>
        <v>1.0808152980514912E-2</v>
      </c>
      <c r="FG97">
        <f t="shared" si="147"/>
        <v>1.0631426106549326E-2</v>
      </c>
      <c r="FH97">
        <f t="shared" si="148"/>
        <v>1.0460100630222773E-2</v>
      </c>
      <c r="FI97">
        <f t="shared" si="149"/>
        <v>1.0300458575298384E-2</v>
      </c>
      <c r="FJ97">
        <f t="shared" si="150"/>
        <v>1.0133852179423107E-2</v>
      </c>
      <c r="FK97">
        <f t="shared" si="151"/>
        <v>9.9414689829916778E-3</v>
      </c>
      <c r="FL97">
        <f t="shared" si="152"/>
        <v>9.7343974805972257E-3</v>
      </c>
      <c r="FM97">
        <f t="shared" si="153"/>
        <v>9.4350585441087594E-3</v>
      </c>
      <c r="FN97">
        <f t="shared" si="154"/>
        <v>9.0052289663382964E-3</v>
      </c>
      <c r="FO97">
        <f t="shared" si="155"/>
        <v>8.480557299469775E-3</v>
      </c>
      <c r="FP97">
        <f t="shared" si="156"/>
        <v>7.9469650916342387E-3</v>
      </c>
      <c r="FQ97">
        <f t="shared" si="157"/>
        <v>7.4017029070701894E-3</v>
      </c>
      <c r="FR97">
        <f t="shared" si="158"/>
        <v>6.8064265365267961E-3</v>
      </c>
      <c r="FS97">
        <f t="shared" si="159"/>
        <v>6.1553715761764665E-3</v>
      </c>
      <c r="FT97">
        <f t="shared" si="160"/>
        <v>5.4724392946011299E-3</v>
      </c>
      <c r="FU97">
        <f t="shared" si="161"/>
        <v>4.727264896361447E-3</v>
      </c>
      <c r="FV97">
        <f t="shared" si="162"/>
        <v>4.1346673770428872E-3</v>
      </c>
      <c r="FW97">
        <f t="shared" si="163"/>
        <v>3.6474760991431609E-3</v>
      </c>
      <c r="FX97">
        <f t="shared" si="164"/>
        <v>3.0009150209604641E-3</v>
      </c>
      <c r="FY97">
        <f t="shared" si="165"/>
        <v>2.194980781326386E-3</v>
      </c>
      <c r="FZ97">
        <f t="shared" si="166"/>
        <v>1.687303181951921E-3</v>
      </c>
      <c r="GA97">
        <f t="shared" si="167"/>
        <v>1.4919688796542355E-3</v>
      </c>
      <c r="GB97">
        <f t="shared" si="168"/>
        <v>1.2368595583070437E-3</v>
      </c>
      <c r="GC97">
        <f t="shared" si="169"/>
        <v>9.2197521791034613E-4</v>
      </c>
      <c r="GD97">
        <f t="shared" si="170"/>
        <v>5.4731585846414248E-4</v>
      </c>
      <c r="GE97">
        <f t="shared" si="171"/>
        <v>9.9589403364003194E-4</v>
      </c>
    </row>
    <row r="98" spans="1:187">
      <c r="A98" s="15">
        <v>2046</v>
      </c>
      <c r="B98" s="18">
        <v>4125.3379999999997</v>
      </c>
      <c r="C98" s="18">
        <v>4137.01</v>
      </c>
      <c r="D98" s="18">
        <v>4155.1760000000004</v>
      </c>
      <c r="E98" s="18">
        <v>4169.5020000000004</v>
      </c>
      <c r="F98" s="18">
        <v>4180.6499999999996</v>
      </c>
      <c r="G98" s="18">
        <v>4189.2849999999999</v>
      </c>
      <c r="H98" s="18">
        <v>4195.9260000000004</v>
      </c>
      <c r="I98" s="18">
        <v>4201.0889999999999</v>
      </c>
      <c r="J98" s="18">
        <v>4206.1710000000003</v>
      </c>
      <c r="K98" s="18">
        <v>4212.13</v>
      </c>
      <c r="L98" s="18">
        <v>4219.1909999999998</v>
      </c>
      <c r="M98" s="18">
        <v>4225.9549999999999</v>
      </c>
      <c r="N98" s="18">
        <v>4231.9049999999997</v>
      </c>
      <c r="O98" s="18">
        <v>4243.6210000000001</v>
      </c>
      <c r="P98" s="18">
        <v>4263.9830000000002</v>
      </c>
      <c r="Q98" s="18">
        <v>4289.9629999999997</v>
      </c>
      <c r="R98" s="18">
        <v>4315.183</v>
      </c>
      <c r="S98" s="18">
        <v>4340.3620000000001</v>
      </c>
      <c r="T98" s="18">
        <v>4365.0069999999996</v>
      </c>
      <c r="U98" s="18">
        <v>4388.05</v>
      </c>
      <c r="V98" s="18">
        <v>4409.4309999999996</v>
      </c>
      <c r="W98" s="18">
        <v>4431.7049999999999</v>
      </c>
      <c r="X98" s="18">
        <v>4456.2129999999997</v>
      </c>
      <c r="Y98" s="18">
        <v>4472.2560000000003</v>
      </c>
      <c r="Z98" s="18">
        <v>4475.3549999999996</v>
      </c>
      <c r="AA98" s="18">
        <v>4471.0709999999999</v>
      </c>
      <c r="AB98" s="18">
        <v>4469.0770000000002</v>
      </c>
      <c r="AC98" s="18">
        <v>4467.0060000000003</v>
      </c>
      <c r="AD98" s="18">
        <v>4473.915</v>
      </c>
      <c r="AE98" s="18">
        <v>4495.1540000000005</v>
      </c>
      <c r="AF98" s="18">
        <v>4526.5559999999996</v>
      </c>
      <c r="AG98" s="18">
        <v>4555.6570000000002</v>
      </c>
      <c r="AH98" s="18">
        <v>4581.4139999999998</v>
      </c>
      <c r="AI98" s="18">
        <v>4618.3029999999999</v>
      </c>
      <c r="AJ98" s="18">
        <v>4671.1360000000004</v>
      </c>
      <c r="AK98" s="18">
        <v>4731.7920000000004</v>
      </c>
      <c r="AL98" s="18">
        <v>4790.2479999999996</v>
      </c>
      <c r="AM98" s="18">
        <v>4851.9930000000004</v>
      </c>
      <c r="AN98" s="18">
        <v>4887.4170000000004</v>
      </c>
      <c r="AO98" s="18">
        <v>4881.8770000000004</v>
      </c>
      <c r="AP98" s="18">
        <v>4849.9750000000004</v>
      </c>
      <c r="AQ98" s="18">
        <v>4821.1360000000004</v>
      </c>
      <c r="AR98" s="18">
        <v>4789.6880000000001</v>
      </c>
      <c r="AS98" s="18">
        <v>4766.3190000000004</v>
      </c>
      <c r="AT98" s="18">
        <v>4759.3850000000002</v>
      </c>
      <c r="AU98" s="18">
        <v>4763.6099999999997</v>
      </c>
      <c r="AV98" s="18">
        <v>4761.0959999999995</v>
      </c>
      <c r="AW98" s="18">
        <v>4750.3040000000001</v>
      </c>
      <c r="AX98" s="18">
        <v>4756.3519999999999</v>
      </c>
      <c r="AY98" s="18">
        <v>4788.3010000000004</v>
      </c>
      <c r="AZ98" s="18">
        <v>4833.0010000000002</v>
      </c>
      <c r="BA98" s="18">
        <v>4870.8389999999999</v>
      </c>
      <c r="BB98" s="18">
        <v>4908.8599999999997</v>
      </c>
      <c r="BC98" s="18">
        <v>4912.9080000000004</v>
      </c>
      <c r="BD98" s="18">
        <v>4864.9830000000002</v>
      </c>
      <c r="BE98" s="18">
        <v>4781.42</v>
      </c>
      <c r="BF98" s="18">
        <v>4697.6090000000004</v>
      </c>
      <c r="BG98" s="18">
        <v>4607.74</v>
      </c>
      <c r="BH98" s="18">
        <v>4515.2709999999997</v>
      </c>
      <c r="BI98" s="18">
        <v>4425.8959999999997</v>
      </c>
      <c r="BJ98" s="18">
        <v>4337.5780000000004</v>
      </c>
      <c r="BK98" s="18">
        <v>4243.6710000000003</v>
      </c>
      <c r="BL98" s="18">
        <v>4146.8</v>
      </c>
      <c r="BM98" s="18">
        <v>4049.4560000000001</v>
      </c>
      <c r="BN98" s="18">
        <v>3952.65</v>
      </c>
      <c r="BO98" s="18">
        <v>3857.5059999999999</v>
      </c>
      <c r="BP98" s="18">
        <v>3763.134</v>
      </c>
      <c r="BQ98" s="18">
        <v>3668.511</v>
      </c>
      <c r="BR98" s="18">
        <v>3585.0819999999999</v>
      </c>
      <c r="BS98" s="18">
        <v>3518.08</v>
      </c>
      <c r="BT98" s="18">
        <v>3462.3510000000001</v>
      </c>
      <c r="BU98" s="18">
        <v>3406.4090000000001</v>
      </c>
      <c r="BV98" s="18">
        <v>3351.2330000000002</v>
      </c>
      <c r="BW98" s="18">
        <v>3298.3960000000002</v>
      </c>
      <c r="BX98" s="18">
        <v>3247.0949999999998</v>
      </c>
      <c r="BY98" s="18">
        <v>3196.0329999999999</v>
      </c>
      <c r="BZ98" s="18">
        <v>3142.404</v>
      </c>
      <c r="CA98" s="18">
        <v>3083.9929999999999</v>
      </c>
      <c r="CB98" s="18">
        <v>3025.8820000000001</v>
      </c>
      <c r="CC98" s="18">
        <v>2969.4119999999998</v>
      </c>
      <c r="CD98" s="18">
        <v>2909.8310000000001</v>
      </c>
      <c r="CE98" s="18">
        <v>2843.1390000000001</v>
      </c>
      <c r="CF98" s="18">
        <v>2772.6370000000002</v>
      </c>
      <c r="CG98" s="18">
        <v>2675.23</v>
      </c>
      <c r="CH98" s="18">
        <v>2539.8040000000001</v>
      </c>
      <c r="CI98" s="18">
        <v>2377.2429999999999</v>
      </c>
      <c r="CJ98" s="18">
        <v>2209.6529999999998</v>
      </c>
      <c r="CK98" s="18">
        <v>2049.7930000000001</v>
      </c>
      <c r="CL98" s="18">
        <v>1878.336</v>
      </c>
      <c r="CM98" s="18">
        <v>1680.9090000000001</v>
      </c>
      <c r="CN98" s="18">
        <v>1463.2</v>
      </c>
      <c r="CO98" s="18">
        <v>1249.835</v>
      </c>
      <c r="CP98" s="18">
        <v>1094.885</v>
      </c>
      <c r="CQ98" s="18">
        <v>960.77200000000005</v>
      </c>
      <c r="CR98" s="18">
        <v>784.447</v>
      </c>
      <c r="CS98" s="18">
        <v>565.91</v>
      </c>
      <c r="CT98" s="18">
        <v>467.69200000000001</v>
      </c>
      <c r="CU98" s="18">
        <v>388.5</v>
      </c>
      <c r="CV98" s="18">
        <v>290.404</v>
      </c>
      <c r="CW98" s="18">
        <v>173.40700000000001</v>
      </c>
      <c r="CX98" s="18">
        <v>318.99900000000002</v>
      </c>
      <c r="CY98" s="3">
        <f t="shared" si="172"/>
        <v>374598.06799999991</v>
      </c>
      <c r="CZ98" s="21">
        <f t="shared" si="88"/>
        <v>298695.62800000003</v>
      </c>
      <c r="DA98">
        <f t="shared" si="89"/>
        <v>1.4613561735828283E-2</v>
      </c>
      <c r="DB98">
        <f t="shared" si="90"/>
        <v>1.4690707156918949E-2</v>
      </c>
      <c r="DC98">
        <f t="shared" si="91"/>
        <v>1.4762288385419552E-2</v>
      </c>
      <c r="DD98">
        <f t="shared" si="92"/>
        <v>1.483685927937318E-2</v>
      </c>
      <c r="DE98">
        <f t="shared" si="93"/>
        <v>1.4918909358793827E-2</v>
      </c>
      <c r="DF98">
        <f t="shared" si="94"/>
        <v>1.4972619552369209E-2</v>
      </c>
      <c r="DG98">
        <f t="shared" si="95"/>
        <v>1.4982994662379187E-2</v>
      </c>
      <c r="DH98">
        <f t="shared" si="96"/>
        <v>1.4968652303139835E-2</v>
      </c>
      <c r="DI98">
        <f t="shared" si="97"/>
        <v>1.4961976611187627E-2</v>
      </c>
      <c r="DJ98">
        <f t="shared" si="98"/>
        <v>1.4955043131732747E-2</v>
      </c>
      <c r="DK98">
        <f t="shared" si="99"/>
        <v>1.4978173701290331E-2</v>
      </c>
      <c r="DL98">
        <f t="shared" si="100"/>
        <v>1.5049279529461342E-2</v>
      </c>
      <c r="DM98">
        <f t="shared" si="101"/>
        <v>1.5154409960094893E-2</v>
      </c>
      <c r="DN98">
        <f t="shared" si="102"/>
        <v>1.5251836896655213E-2</v>
      </c>
      <c r="DO98">
        <f t="shared" si="103"/>
        <v>1.5338068490242513E-2</v>
      </c>
      <c r="DP98">
        <f t="shared" si="104"/>
        <v>1.5461568791358404E-2</v>
      </c>
      <c r="DQ98">
        <f t="shared" si="105"/>
        <v>1.5638447844974819E-2</v>
      </c>
      <c r="DR98">
        <f t="shared" si="106"/>
        <v>1.5841517439284379E-2</v>
      </c>
      <c r="DS98">
        <f t="shared" si="107"/>
        <v>1.6037221676374853E-2</v>
      </c>
      <c r="DT98">
        <f t="shared" si="108"/>
        <v>1.6243937122507865E-2</v>
      </c>
      <c r="DU98">
        <f t="shared" si="109"/>
        <v>1.6362532765293772E-2</v>
      </c>
      <c r="DV98">
        <f t="shared" si="110"/>
        <v>1.634398545666025E-2</v>
      </c>
      <c r="DW98">
        <f t="shared" si="111"/>
        <v>1.6237181081204175E-2</v>
      </c>
      <c r="DX98">
        <f t="shared" si="112"/>
        <v>1.6140631291730857E-2</v>
      </c>
      <c r="DY98">
        <f t="shared" si="113"/>
        <v>1.6035346858173632E-2</v>
      </c>
      <c r="DZ98">
        <f t="shared" si="114"/>
        <v>1.5957110025058688E-2</v>
      </c>
      <c r="EA98">
        <f t="shared" si="115"/>
        <v>1.5933895758259976E-2</v>
      </c>
      <c r="EB98">
        <f t="shared" si="116"/>
        <v>1.5948040592010271E-2</v>
      </c>
      <c r="EC98">
        <f t="shared" si="117"/>
        <v>1.5939623997442639E-2</v>
      </c>
      <c r="ED98">
        <f t="shared" si="118"/>
        <v>1.5903493572393367E-2</v>
      </c>
      <c r="EE98">
        <f t="shared" si="119"/>
        <v>1.5923741608966566E-2</v>
      </c>
      <c r="EF98">
        <f t="shared" si="120"/>
        <v>1.6030703335235961E-2</v>
      </c>
      <c r="EG98">
        <f t="shared" si="121"/>
        <v>1.6180354002369262E-2</v>
      </c>
      <c r="EH98">
        <f t="shared" si="122"/>
        <v>1.6307031450758295E-2</v>
      </c>
      <c r="EI98">
        <f t="shared" si="123"/>
        <v>1.6434321562952367E-2</v>
      </c>
      <c r="EJ98">
        <f t="shared" si="124"/>
        <v>1.6447873820235492E-2</v>
      </c>
      <c r="EK98">
        <f t="shared" si="125"/>
        <v>1.6287426208996938E-2</v>
      </c>
      <c r="EL98">
        <f t="shared" si="126"/>
        <v>1.6007666506588438E-2</v>
      </c>
      <c r="EM98">
        <f t="shared" si="127"/>
        <v>1.572707652754797E-2</v>
      </c>
      <c r="EN98">
        <f t="shared" si="128"/>
        <v>1.5426205033037843E-2</v>
      </c>
      <c r="EO98">
        <f t="shared" si="129"/>
        <v>1.5116629025450615E-2</v>
      </c>
      <c r="EP98">
        <f t="shared" si="130"/>
        <v>1.481741138842514E-2</v>
      </c>
      <c r="EQ98">
        <f t="shared" si="131"/>
        <v>1.4521732470754476E-2</v>
      </c>
      <c r="ER98">
        <f t="shared" si="132"/>
        <v>1.4207342197857679E-2</v>
      </c>
      <c r="ES98">
        <f t="shared" si="133"/>
        <v>1.3883028780052984E-2</v>
      </c>
      <c r="ET98">
        <f t="shared" si="134"/>
        <v>1.3557131810446184E-2</v>
      </c>
      <c r="EU98">
        <f t="shared" si="135"/>
        <v>1.3233036005468416E-2</v>
      </c>
      <c r="EV98">
        <f t="shared" si="136"/>
        <v>1.2914504393080704E-2</v>
      </c>
      <c r="EW98">
        <f t="shared" si="137"/>
        <v>1.2598557351498963E-2</v>
      </c>
      <c r="EX98">
        <f t="shared" si="138"/>
        <v>1.2281769989616317E-2</v>
      </c>
      <c r="EY98">
        <f t="shared" si="139"/>
        <v>1.2002458904420253E-2</v>
      </c>
      <c r="EZ98">
        <f t="shared" si="140"/>
        <v>1.1778143602423265E-2</v>
      </c>
      <c r="FA98">
        <f t="shared" si="141"/>
        <v>1.1591569060394817E-2</v>
      </c>
      <c r="FB98">
        <f t="shared" si="142"/>
        <v>1.1404281417871974E-2</v>
      </c>
      <c r="FC98">
        <f t="shared" si="143"/>
        <v>1.1219558258817233E-2</v>
      </c>
      <c r="FD98">
        <f t="shared" si="144"/>
        <v>1.1042665813642241E-2</v>
      </c>
      <c r="FE98">
        <f t="shared" si="145"/>
        <v>1.0870915726962029E-2</v>
      </c>
      <c r="FF98">
        <f t="shared" si="146"/>
        <v>1.0699965785906982E-2</v>
      </c>
      <c r="FG98">
        <f t="shared" si="147"/>
        <v>1.0520421812133118E-2</v>
      </c>
      <c r="FH98">
        <f t="shared" si="148"/>
        <v>1.032486823007667E-2</v>
      </c>
      <c r="FI98">
        <f t="shared" si="149"/>
        <v>1.0130319014913736E-2</v>
      </c>
      <c r="FJ98">
        <f t="shared" si="150"/>
        <v>9.9412636866583106E-3</v>
      </c>
      <c r="FK98">
        <f t="shared" si="151"/>
        <v>9.7417930737171681E-3</v>
      </c>
      <c r="FL98">
        <f t="shared" si="152"/>
        <v>9.5185156175101419E-3</v>
      </c>
      <c r="FM98">
        <f t="shared" si="153"/>
        <v>9.2824827017555147E-3</v>
      </c>
      <c r="FN98">
        <f t="shared" si="154"/>
        <v>8.9563748151010765E-3</v>
      </c>
      <c r="FO98">
        <f t="shared" si="155"/>
        <v>8.5029835120318531E-3</v>
      </c>
      <c r="FP98">
        <f t="shared" si="156"/>
        <v>7.9587472234444612E-3</v>
      </c>
      <c r="FQ98">
        <f t="shared" si="157"/>
        <v>7.3976743978321621E-3</v>
      </c>
      <c r="FR98">
        <f t="shared" si="158"/>
        <v>6.8624807591760265E-3</v>
      </c>
      <c r="FS98">
        <f t="shared" si="159"/>
        <v>6.2884616443063569E-3</v>
      </c>
      <c r="FT98">
        <f t="shared" si="160"/>
        <v>5.6274978353549922E-3</v>
      </c>
      <c r="FU98">
        <f t="shared" si="161"/>
        <v>4.8986321286229205E-3</v>
      </c>
      <c r="FV98">
        <f t="shared" si="162"/>
        <v>4.1843096545089034E-3</v>
      </c>
      <c r="FW98">
        <f t="shared" si="163"/>
        <v>3.6655541540099139E-3</v>
      </c>
      <c r="FX98">
        <f t="shared" si="164"/>
        <v>3.2165586300446285E-3</v>
      </c>
      <c r="FY98">
        <f t="shared" si="165"/>
        <v>2.6262419883829029E-3</v>
      </c>
      <c r="FZ98">
        <f t="shared" si="166"/>
        <v>1.894604229024738E-3</v>
      </c>
      <c r="GA98">
        <f t="shared" si="167"/>
        <v>1.565781203868173E-3</v>
      </c>
      <c r="GB98">
        <f t="shared" si="168"/>
        <v>1.300655127098144E-3</v>
      </c>
      <c r="GC98">
        <f t="shared" si="169"/>
        <v>9.7224054447827397E-4</v>
      </c>
      <c r="GD98">
        <f t="shared" si="170"/>
        <v>5.8054749967749778E-4</v>
      </c>
      <c r="GE98">
        <f t="shared" si="171"/>
        <v>1.0679734488782005E-3</v>
      </c>
    </row>
    <row r="99" spans="1:187">
      <c r="A99" s="15">
        <v>2047</v>
      </c>
      <c r="B99" s="18">
        <v>4128.1139999999996</v>
      </c>
      <c r="C99" s="18">
        <v>4147.7060000000001</v>
      </c>
      <c r="D99" s="18">
        <v>4149.0379999999996</v>
      </c>
      <c r="E99" s="18">
        <v>4163.4179999999997</v>
      </c>
      <c r="F99" s="18">
        <v>4174.91</v>
      </c>
      <c r="G99" s="18">
        <v>4184.1540000000005</v>
      </c>
      <c r="H99" s="18">
        <v>4191.7860000000001</v>
      </c>
      <c r="I99" s="18">
        <v>4198.1509999999998</v>
      </c>
      <c r="J99" s="18">
        <v>4203.5950000000003</v>
      </c>
      <c r="K99" s="18">
        <v>4210.2190000000001</v>
      </c>
      <c r="L99" s="18">
        <v>4219.2460000000001</v>
      </c>
      <c r="M99" s="18">
        <v>4230.4359999999997</v>
      </c>
      <c r="N99" s="18">
        <v>4241.5</v>
      </c>
      <c r="O99" s="18">
        <v>4251.9059999999999</v>
      </c>
      <c r="P99" s="18">
        <v>4268.1390000000001</v>
      </c>
      <c r="Q99" s="18">
        <v>4292.884</v>
      </c>
      <c r="R99" s="18">
        <v>4322.9769999999999</v>
      </c>
      <c r="S99" s="18">
        <v>4352.2209999999995</v>
      </c>
      <c r="T99" s="18">
        <v>4381.4390000000003</v>
      </c>
      <c r="U99" s="18">
        <v>4408.5889999999999</v>
      </c>
      <c r="V99" s="18">
        <v>4431.8909999999996</v>
      </c>
      <c r="W99" s="18">
        <v>4451.9520000000002</v>
      </c>
      <c r="X99" s="18">
        <v>4472.7749999999996</v>
      </c>
      <c r="Y99" s="18">
        <v>4495.4960000000001</v>
      </c>
      <c r="Z99" s="18">
        <v>4509.4790000000003</v>
      </c>
      <c r="AA99" s="18">
        <v>4510.4530000000004</v>
      </c>
      <c r="AB99" s="18">
        <v>4503.9560000000001</v>
      </c>
      <c r="AC99" s="18">
        <v>4499.4459999999999</v>
      </c>
      <c r="AD99" s="18">
        <v>4494.6080000000002</v>
      </c>
      <c r="AE99" s="18">
        <v>4498.9359999999997</v>
      </c>
      <c r="AF99" s="18">
        <v>4517.9790000000003</v>
      </c>
      <c r="AG99" s="18">
        <v>4547.4489999999996</v>
      </c>
      <c r="AH99" s="18">
        <v>4574.5510000000004</v>
      </c>
      <c r="AI99" s="18">
        <v>4598.3</v>
      </c>
      <c r="AJ99" s="18">
        <v>4633.3149999999996</v>
      </c>
      <c r="AK99" s="18">
        <v>4684.4440000000004</v>
      </c>
      <c r="AL99" s="18">
        <v>4743.5320000000002</v>
      </c>
      <c r="AM99" s="18">
        <v>4800.4610000000002</v>
      </c>
      <c r="AN99" s="18">
        <v>4860.7190000000001</v>
      </c>
      <c r="AO99" s="18">
        <v>4894.7489999999998</v>
      </c>
      <c r="AP99" s="18">
        <v>4887.9139999999998</v>
      </c>
      <c r="AQ99" s="18">
        <v>4854.7849999999999</v>
      </c>
      <c r="AR99" s="18">
        <v>4824.7309999999998</v>
      </c>
      <c r="AS99" s="18">
        <v>4792.0789999999997</v>
      </c>
      <c r="AT99" s="18">
        <v>4767.4759999999997</v>
      </c>
      <c r="AU99" s="18">
        <v>4759.2489999999998</v>
      </c>
      <c r="AV99" s="18">
        <v>4762.1270000000004</v>
      </c>
      <c r="AW99" s="18">
        <v>4758.2619999999997</v>
      </c>
      <c r="AX99" s="18">
        <v>4746.1350000000002</v>
      </c>
      <c r="AY99" s="18">
        <v>4750.6769999999997</v>
      </c>
      <c r="AZ99" s="18">
        <v>4780.8739999999998</v>
      </c>
      <c r="BA99" s="18">
        <v>4823.6639999999998</v>
      </c>
      <c r="BB99" s="18">
        <v>4859.6030000000001</v>
      </c>
      <c r="BC99" s="18">
        <v>4895.6989999999996</v>
      </c>
      <c r="BD99" s="18">
        <v>4897.9049999999997</v>
      </c>
      <c r="BE99" s="18">
        <v>4848.2979999999998</v>
      </c>
      <c r="BF99" s="18">
        <v>4763.1589999999997</v>
      </c>
      <c r="BG99" s="18">
        <v>4677.7340000000004</v>
      </c>
      <c r="BH99" s="18">
        <v>4586.2120000000004</v>
      </c>
      <c r="BI99" s="18">
        <v>4492.1890000000003</v>
      </c>
      <c r="BJ99" s="18">
        <v>4401.3959999999997</v>
      </c>
      <c r="BK99" s="18">
        <v>4311.7330000000002</v>
      </c>
      <c r="BL99" s="18">
        <v>4216.3959999999997</v>
      </c>
      <c r="BM99" s="18">
        <v>4117.9830000000002</v>
      </c>
      <c r="BN99" s="18">
        <v>4019.0970000000002</v>
      </c>
      <c r="BO99" s="18">
        <v>3920.7710000000002</v>
      </c>
      <c r="BP99" s="18">
        <v>3824.0349999999999</v>
      </c>
      <c r="BQ99" s="18">
        <v>3727.85</v>
      </c>
      <c r="BR99" s="18">
        <v>3631.18</v>
      </c>
      <c r="BS99" s="18">
        <v>3545.4050000000002</v>
      </c>
      <c r="BT99" s="18">
        <v>3475.7</v>
      </c>
      <c r="BU99" s="18">
        <v>3416.8850000000002</v>
      </c>
      <c r="BV99" s="18">
        <v>3357.5140000000001</v>
      </c>
      <c r="BW99" s="18">
        <v>3298.56</v>
      </c>
      <c r="BX99" s="18">
        <v>3241.348</v>
      </c>
      <c r="BY99" s="18">
        <v>3184.9580000000001</v>
      </c>
      <c r="BZ99" s="18">
        <v>3128.1770000000001</v>
      </c>
      <c r="CA99" s="18">
        <v>3068.6610000000001</v>
      </c>
      <c r="CB99" s="18">
        <v>3004.4209999999998</v>
      </c>
      <c r="CC99" s="18">
        <v>2939.1759999999999</v>
      </c>
      <c r="CD99" s="18">
        <v>2873.7339999999999</v>
      </c>
      <c r="CE99" s="18">
        <v>2804.1419999999998</v>
      </c>
      <c r="CF99" s="18">
        <v>2727.9969999999998</v>
      </c>
      <c r="CG99" s="18">
        <v>2648.6039999999998</v>
      </c>
      <c r="CH99" s="18">
        <v>2542.8580000000002</v>
      </c>
      <c r="CI99" s="18">
        <v>2399.9029999999998</v>
      </c>
      <c r="CJ99" s="18">
        <v>2230.8989999999999</v>
      </c>
      <c r="CK99" s="18">
        <v>2054.4920000000002</v>
      </c>
      <c r="CL99" s="18">
        <v>1897.0229999999999</v>
      </c>
      <c r="CM99" s="18">
        <v>1731.2439999999999</v>
      </c>
      <c r="CN99" s="18">
        <v>1530.116</v>
      </c>
      <c r="CO99" s="18">
        <v>1297.9079999999999</v>
      </c>
      <c r="CP99" s="18">
        <v>1092.9179999999999</v>
      </c>
      <c r="CQ99" s="18">
        <v>959.36599999999999</v>
      </c>
      <c r="CR99" s="18">
        <v>836.11599999999999</v>
      </c>
      <c r="CS99" s="18">
        <v>675.86800000000005</v>
      </c>
      <c r="CT99" s="18">
        <v>478.62200000000001</v>
      </c>
      <c r="CU99" s="18">
        <v>407.22899999999998</v>
      </c>
      <c r="CV99" s="18">
        <v>305.38200000000001</v>
      </c>
      <c r="CW99" s="18">
        <v>183.964</v>
      </c>
      <c r="CX99" s="18">
        <v>344.31200000000001</v>
      </c>
      <c r="CY99" s="3">
        <f t="shared" si="172"/>
        <v>375827.6339999999</v>
      </c>
      <c r="CZ99" s="21">
        <f t="shared" si="88"/>
        <v>299897.23399999988</v>
      </c>
      <c r="DA99">
        <f t="shared" si="89"/>
        <v>1.4609801302802285E-2</v>
      </c>
      <c r="DB99">
        <f t="shared" si="90"/>
        <v>1.4700332314502114E-2</v>
      </c>
      <c r="DC99">
        <f t="shared" si="91"/>
        <v>1.4778032264212218E-2</v>
      </c>
      <c r="DD99">
        <f t="shared" si="92"/>
        <v>1.4844925178603021E-2</v>
      </c>
      <c r="DE99">
        <f t="shared" si="93"/>
        <v>1.4914358963377439E-2</v>
      </c>
      <c r="DF99">
        <f t="shared" si="94"/>
        <v>1.4990121582781927E-2</v>
      </c>
      <c r="DG99">
        <f t="shared" si="95"/>
        <v>1.5036747554664016E-2</v>
      </c>
      <c r="DH99">
        <f t="shared" si="96"/>
        <v>1.5039995333868275E-2</v>
      </c>
      <c r="DI99">
        <f t="shared" si="97"/>
        <v>1.5018331246096127E-2</v>
      </c>
      <c r="DJ99">
        <f t="shared" si="98"/>
        <v>1.5003292761279692E-2</v>
      </c>
      <c r="DK99">
        <f t="shared" si="99"/>
        <v>1.4987160568476607E-2</v>
      </c>
      <c r="DL99">
        <f t="shared" si="100"/>
        <v>1.5001592178739472E-2</v>
      </c>
      <c r="DM99">
        <f t="shared" si="101"/>
        <v>1.5065090597000978E-2</v>
      </c>
      <c r="DN99">
        <f t="shared" si="102"/>
        <v>1.5163357592021011E-2</v>
      </c>
      <c r="DO99">
        <f t="shared" si="103"/>
        <v>1.5253728548893526E-2</v>
      </c>
      <c r="DP99">
        <f t="shared" si="104"/>
        <v>1.5332919009182999E-2</v>
      </c>
      <c r="DQ99">
        <f t="shared" si="105"/>
        <v>1.5449675671233438E-2</v>
      </c>
      <c r="DR99">
        <f t="shared" si="106"/>
        <v>1.5620164072603625E-2</v>
      </c>
      <c r="DS99">
        <f t="shared" si="107"/>
        <v>1.5817191565027911E-2</v>
      </c>
      <c r="DT99">
        <f t="shared" si="108"/>
        <v>1.6007019924698614E-2</v>
      </c>
      <c r="DU99">
        <f t="shared" si="109"/>
        <v>1.6207948753538693E-2</v>
      </c>
      <c r="DV99">
        <f t="shared" si="110"/>
        <v>1.6321420957153616E-2</v>
      </c>
      <c r="DW99">
        <f t="shared" si="111"/>
        <v>1.629862981663913E-2</v>
      </c>
      <c r="DX99">
        <f t="shared" si="112"/>
        <v>1.6188161975511924E-2</v>
      </c>
      <c r="DY99">
        <f t="shared" si="113"/>
        <v>1.6087947646759561E-2</v>
      </c>
      <c r="DZ99">
        <f t="shared" si="114"/>
        <v>1.5979070350478797E-2</v>
      </c>
      <c r="EA99">
        <f t="shared" si="115"/>
        <v>1.5897032248053351E-2</v>
      </c>
      <c r="EB99">
        <f t="shared" si="116"/>
        <v>1.586959951754674E-2</v>
      </c>
      <c r="EC99">
        <f t="shared" si="117"/>
        <v>1.5879196138234481E-2</v>
      </c>
      <c r="ED99">
        <f t="shared" si="118"/>
        <v>1.5866308390160084E-2</v>
      </c>
      <c r="EE99">
        <f t="shared" si="119"/>
        <v>1.5825871204934162E-2</v>
      </c>
      <c r="EF99">
        <f t="shared" si="120"/>
        <v>1.5841016392968806E-2</v>
      </c>
      <c r="EG99">
        <f t="shared" si="121"/>
        <v>1.5941707551727542E-2</v>
      </c>
      <c r="EH99">
        <f t="shared" si="122"/>
        <v>1.6084389761327381E-2</v>
      </c>
      <c r="EI99">
        <f t="shared" si="123"/>
        <v>1.620422747880363E-2</v>
      </c>
      <c r="EJ99">
        <f t="shared" si="124"/>
        <v>1.6324588708944217E-2</v>
      </c>
      <c r="EK99">
        <f t="shared" si="125"/>
        <v>1.633194456204955E-2</v>
      </c>
      <c r="EL99">
        <f t="shared" si="126"/>
        <v>1.6166531232495469E-2</v>
      </c>
      <c r="EM99">
        <f t="shared" si="127"/>
        <v>1.5882637317021744E-2</v>
      </c>
      <c r="EN99">
        <f t="shared" si="128"/>
        <v>1.559778974153527E-2</v>
      </c>
      <c r="EO99">
        <f t="shared" si="129"/>
        <v>1.529261186850427E-2</v>
      </c>
      <c r="EP99">
        <f t="shared" si="130"/>
        <v>1.4979094472075065E-2</v>
      </c>
      <c r="EQ99">
        <f t="shared" si="131"/>
        <v>1.4676347431733903E-2</v>
      </c>
      <c r="ER99">
        <f t="shared" si="132"/>
        <v>1.4377368348785778E-2</v>
      </c>
      <c r="ES99">
        <f t="shared" si="133"/>
        <v>1.4059469451458834E-2</v>
      </c>
      <c r="ET99">
        <f t="shared" si="134"/>
        <v>1.3731313707281482E-2</v>
      </c>
      <c r="EU99">
        <f t="shared" si="135"/>
        <v>1.3401580756159964E-2</v>
      </c>
      <c r="EV99">
        <f t="shared" si="136"/>
        <v>1.3073715111357118E-2</v>
      </c>
      <c r="EW99">
        <f t="shared" si="137"/>
        <v>1.2751151282709067E-2</v>
      </c>
      <c r="EX99">
        <f t="shared" si="138"/>
        <v>1.2430424750099566E-2</v>
      </c>
      <c r="EY99">
        <f t="shared" si="139"/>
        <v>1.2108080996839075E-2</v>
      </c>
      <c r="EZ99">
        <f t="shared" si="140"/>
        <v>1.1822066354903432E-2</v>
      </c>
      <c r="FA99">
        <f t="shared" si="141"/>
        <v>1.1589636735362492E-2</v>
      </c>
      <c r="FB99">
        <f t="shared" si="142"/>
        <v>1.1393519554768557E-2</v>
      </c>
      <c r="FC99">
        <f t="shared" si="143"/>
        <v>1.1195548405758225E-2</v>
      </c>
      <c r="FD99">
        <f t="shared" si="144"/>
        <v>1.0998967733060189E-2</v>
      </c>
      <c r="FE99">
        <f t="shared" si="145"/>
        <v>1.0808195716803448E-2</v>
      </c>
      <c r="FF99">
        <f t="shared" si="146"/>
        <v>1.0620164639464469E-2</v>
      </c>
      <c r="FG99">
        <f t="shared" si="147"/>
        <v>1.0430829782177988E-2</v>
      </c>
      <c r="FH99">
        <f t="shared" si="148"/>
        <v>1.0232375134210145E-2</v>
      </c>
      <c r="FI99">
        <f t="shared" si="149"/>
        <v>1.0018168423654087E-2</v>
      </c>
      <c r="FJ99">
        <f t="shared" si="150"/>
        <v>9.800610565151132E-3</v>
      </c>
      <c r="FK99">
        <f t="shared" si="151"/>
        <v>9.5823958149610713E-3</v>
      </c>
      <c r="FL99">
        <f t="shared" si="152"/>
        <v>9.3503429911594351E-3</v>
      </c>
      <c r="FM99">
        <f t="shared" si="153"/>
        <v>9.0964393489537856E-3</v>
      </c>
      <c r="FN99">
        <f t="shared" si="154"/>
        <v>8.8317053300998472E-3</v>
      </c>
      <c r="FO99">
        <f t="shared" si="155"/>
        <v>8.4790978765746181E-3</v>
      </c>
      <c r="FP99">
        <f t="shared" si="156"/>
        <v>8.0024179216004396E-3</v>
      </c>
      <c r="FQ99">
        <f t="shared" si="157"/>
        <v>7.4388782125279652E-3</v>
      </c>
      <c r="FR99">
        <f t="shared" si="158"/>
        <v>6.85065338081778E-3</v>
      </c>
      <c r="FS99">
        <f t="shared" si="159"/>
        <v>6.3255768474343469E-3</v>
      </c>
      <c r="FT99">
        <f t="shared" si="160"/>
        <v>5.7727908220720726E-3</v>
      </c>
      <c r="FU99">
        <f t="shared" si="161"/>
        <v>5.1021344198192925E-3</v>
      </c>
      <c r="FV99">
        <f t="shared" si="162"/>
        <v>4.3278425168803009E-3</v>
      </c>
      <c r="FW99">
        <f t="shared" si="163"/>
        <v>3.6443083699798321E-3</v>
      </c>
      <c r="FX99">
        <f t="shared" si="164"/>
        <v>3.1989824887814749E-3</v>
      </c>
      <c r="FY99">
        <f t="shared" si="165"/>
        <v>2.7880083748955159E-3</v>
      </c>
      <c r="FZ99">
        <f t="shared" si="166"/>
        <v>2.2536653339056815E-3</v>
      </c>
      <c r="GA99">
        <f t="shared" si="167"/>
        <v>1.5959533658119708E-3</v>
      </c>
      <c r="GB99">
        <f t="shared" si="168"/>
        <v>1.3578951515104676E-3</v>
      </c>
      <c r="GC99">
        <f t="shared" si="169"/>
        <v>1.0182888182289809E-3</v>
      </c>
      <c r="GD99">
        <f t="shared" si="170"/>
        <v>6.1342346358552965E-4</v>
      </c>
      <c r="GE99">
        <f t="shared" si="171"/>
        <v>1.1480999521322698E-3</v>
      </c>
    </row>
    <row r="100" spans="1:187">
      <c r="A100" s="15">
        <v>2048</v>
      </c>
      <c r="B100" s="18">
        <v>4132.4170000000004</v>
      </c>
      <c r="C100" s="18">
        <v>4149.5280000000002</v>
      </c>
      <c r="D100" s="18">
        <v>4162.8159999999998</v>
      </c>
      <c r="E100" s="18">
        <v>4160.1629999999996</v>
      </c>
      <c r="F100" s="18">
        <v>4170.7529999999997</v>
      </c>
      <c r="G100" s="18">
        <v>4179.4089999999997</v>
      </c>
      <c r="H100" s="18">
        <v>4186.7460000000001</v>
      </c>
      <c r="I100" s="18">
        <v>4193.3729999999996</v>
      </c>
      <c r="J100" s="18">
        <v>4199.4610000000002</v>
      </c>
      <c r="K100" s="18">
        <v>4205.183</v>
      </c>
      <c r="L100" s="18">
        <v>4213.3469999999998</v>
      </c>
      <c r="M100" s="18">
        <v>4225.442</v>
      </c>
      <c r="N100" s="18">
        <v>4240.7619999999997</v>
      </c>
      <c r="O100" s="18">
        <v>4256.1239999999998</v>
      </c>
      <c r="P100" s="18">
        <v>4270.9840000000004</v>
      </c>
      <c r="Q100" s="18">
        <v>4291.7340000000004</v>
      </c>
      <c r="R100" s="18">
        <v>4320.8559999999998</v>
      </c>
      <c r="S100" s="18">
        <v>4355.0569999999998</v>
      </c>
      <c r="T100" s="18">
        <v>4388.32</v>
      </c>
      <c r="U100" s="18">
        <v>4421.5730000000003</v>
      </c>
      <c r="V100" s="18">
        <v>4451.2219999999998</v>
      </c>
      <c r="W100" s="18">
        <v>4474.7790000000005</v>
      </c>
      <c r="X100" s="18">
        <v>4493.5159999999996</v>
      </c>
      <c r="Y100" s="18">
        <v>4512.8819999999996</v>
      </c>
      <c r="Z100" s="18">
        <v>4533.8109999999997</v>
      </c>
      <c r="AA100" s="18">
        <v>4545.7309999999998</v>
      </c>
      <c r="AB100" s="18">
        <v>4544.576</v>
      </c>
      <c r="AC100" s="18">
        <v>4535.866</v>
      </c>
      <c r="AD100" s="18">
        <v>4528.84</v>
      </c>
      <c r="AE100" s="18">
        <v>4521.2370000000001</v>
      </c>
      <c r="AF100" s="18">
        <v>4522.982</v>
      </c>
      <c r="AG100" s="18">
        <v>4539.8230000000003</v>
      </c>
      <c r="AH100" s="18">
        <v>4567.3540000000003</v>
      </c>
      <c r="AI100" s="18">
        <v>4592.451</v>
      </c>
      <c r="AJ100" s="18">
        <v>4614.1859999999997</v>
      </c>
      <c r="AK100" s="18">
        <v>4647.3180000000002</v>
      </c>
      <c r="AL100" s="18">
        <v>4696.7330000000002</v>
      </c>
      <c r="AM100" s="18">
        <v>4754.2359999999999</v>
      </c>
      <c r="AN100" s="18">
        <v>4809.6260000000002</v>
      </c>
      <c r="AO100" s="18">
        <v>4868.384</v>
      </c>
      <c r="AP100" s="18">
        <v>4901.0119999999997</v>
      </c>
      <c r="AQ100" s="18">
        <v>4892.884</v>
      </c>
      <c r="AR100" s="18">
        <v>4858.5339999999997</v>
      </c>
      <c r="AS100" s="18">
        <v>4827.2709999999997</v>
      </c>
      <c r="AT100" s="18">
        <v>4793.4210000000003</v>
      </c>
      <c r="AU100" s="18">
        <v>4767.5889999999999</v>
      </c>
      <c r="AV100" s="18">
        <v>4758.0730000000003</v>
      </c>
      <c r="AW100" s="18">
        <v>4759.5990000000002</v>
      </c>
      <c r="AX100" s="18">
        <v>4754.3860000000004</v>
      </c>
      <c r="AY100" s="18">
        <v>4740.9250000000002</v>
      </c>
      <c r="AZ100" s="18">
        <v>4743.96</v>
      </c>
      <c r="BA100" s="18">
        <v>4772.3980000000001</v>
      </c>
      <c r="BB100" s="18">
        <v>4813.2690000000002</v>
      </c>
      <c r="BC100" s="18">
        <v>4847.299</v>
      </c>
      <c r="BD100" s="18">
        <v>4881.4589999999998</v>
      </c>
      <c r="BE100" s="18">
        <v>4881.826</v>
      </c>
      <c r="BF100" s="18">
        <v>4830.5450000000001</v>
      </c>
      <c r="BG100" s="18">
        <v>4743.8490000000002</v>
      </c>
      <c r="BH100" s="18">
        <v>4656.8280000000004</v>
      </c>
      <c r="BI100" s="18">
        <v>4563.6729999999998</v>
      </c>
      <c r="BJ100" s="18">
        <v>4468.1120000000001</v>
      </c>
      <c r="BK100" s="18">
        <v>4375.9229999999998</v>
      </c>
      <c r="BL100" s="18">
        <v>4284.9340000000002</v>
      </c>
      <c r="BM100" s="18">
        <v>4188.1859999999997</v>
      </c>
      <c r="BN100" s="18">
        <v>4088.2530000000002</v>
      </c>
      <c r="BO100" s="18">
        <v>3987.8449999999998</v>
      </c>
      <c r="BP100" s="18">
        <v>3888.018</v>
      </c>
      <c r="BQ100" s="18">
        <v>3789.7109999999998</v>
      </c>
      <c r="BR100" s="18">
        <v>3691.7350000000001</v>
      </c>
      <c r="BS100" s="18">
        <v>3593.0360000000001</v>
      </c>
      <c r="BT100" s="18">
        <v>3504.9340000000002</v>
      </c>
      <c r="BU100" s="18">
        <v>3432.5390000000002</v>
      </c>
      <c r="BV100" s="18">
        <v>3370.6509999999998</v>
      </c>
      <c r="BW100" s="18">
        <v>3307.8620000000001</v>
      </c>
      <c r="BX100" s="18">
        <v>3245.1390000000001</v>
      </c>
      <c r="BY100" s="18">
        <v>3183.5639999999999</v>
      </c>
      <c r="BZ100" s="18">
        <v>3122.0970000000002</v>
      </c>
      <c r="CA100" s="18">
        <v>3059.605</v>
      </c>
      <c r="CB100" s="18">
        <v>2994.2130000000002</v>
      </c>
      <c r="CC100" s="18">
        <v>2924.1579999999999</v>
      </c>
      <c r="CD100" s="18">
        <v>2851.7910000000002</v>
      </c>
      <c r="CE100" s="18">
        <v>2777.3879999999999</v>
      </c>
      <c r="CF100" s="18">
        <v>2697.7959999999998</v>
      </c>
      <c r="CG100" s="18">
        <v>2612.212</v>
      </c>
      <c r="CH100" s="18">
        <v>2523.944</v>
      </c>
      <c r="CI100" s="18">
        <v>2409.8760000000002</v>
      </c>
      <c r="CJ100" s="18">
        <v>2259.42</v>
      </c>
      <c r="CK100" s="18">
        <v>2084.0079999999998</v>
      </c>
      <c r="CL100" s="18">
        <v>1898.8209999999999</v>
      </c>
      <c r="CM100" s="18">
        <v>1743.777</v>
      </c>
      <c r="CN100" s="18">
        <v>1583.7149999999999</v>
      </c>
      <c r="CO100" s="18">
        <v>1378.9290000000001</v>
      </c>
      <c r="CP100" s="18">
        <v>1132.2670000000001</v>
      </c>
      <c r="CQ100" s="18">
        <v>935.69899999999996</v>
      </c>
      <c r="CR100" s="18">
        <v>823.58299999999997</v>
      </c>
      <c r="CS100" s="18">
        <v>711.22799999999995</v>
      </c>
      <c r="CT100" s="18">
        <v>567.09900000000005</v>
      </c>
      <c r="CU100" s="18">
        <v>391.19499999999999</v>
      </c>
      <c r="CV100" s="18">
        <v>319.7</v>
      </c>
      <c r="CW100" s="18">
        <v>194.53200000000001</v>
      </c>
      <c r="CX100" s="18">
        <v>371.34800000000001</v>
      </c>
      <c r="CY100" s="3">
        <f t="shared" si="172"/>
        <v>377037.24400000001</v>
      </c>
      <c r="CZ100" s="21">
        <f t="shared" si="88"/>
        <v>301123.08899999998</v>
      </c>
      <c r="DA100">
        <f t="shared" si="89"/>
        <v>1.4573176751650551E-2</v>
      </c>
      <c r="DB100">
        <f t="shared" si="90"/>
        <v>1.4683606676205425E-2</v>
      </c>
      <c r="DC100">
        <f t="shared" si="91"/>
        <v>1.478206807316592E-2</v>
      </c>
      <c r="DD100">
        <f t="shared" si="92"/>
        <v>1.4860298540574551E-2</v>
      </c>
      <c r="DE100">
        <f t="shared" si="93"/>
        <v>1.4922522264641087E-2</v>
      </c>
      <c r="DF100">
        <f t="shared" si="94"/>
        <v>1.4986834835504758E-2</v>
      </c>
      <c r="DG100">
        <f t="shared" si="95"/>
        <v>1.5056337974800731E-2</v>
      </c>
      <c r="DH100">
        <f t="shared" si="96"/>
        <v>1.5095923116011871E-2</v>
      </c>
      <c r="DI100">
        <f t="shared" si="97"/>
        <v>1.5092087475231766E-2</v>
      </c>
      <c r="DJ100">
        <f t="shared" si="98"/>
        <v>1.5063162426578323E-2</v>
      </c>
      <c r="DK100">
        <f t="shared" si="99"/>
        <v>1.5039829775391287E-2</v>
      </c>
      <c r="DL100">
        <f t="shared" si="100"/>
        <v>1.5014580964264751E-2</v>
      </c>
      <c r="DM100">
        <f t="shared" si="101"/>
        <v>1.5020375936698764E-2</v>
      </c>
      <c r="DN100">
        <f t="shared" si="102"/>
        <v>1.5076303232263935E-2</v>
      </c>
      <c r="DO100">
        <f t="shared" si="103"/>
        <v>1.5167730960677016E-2</v>
      </c>
      <c r="DP100">
        <f t="shared" si="104"/>
        <v>1.5251075615792453E-2</v>
      </c>
      <c r="DQ100">
        <f t="shared" si="105"/>
        <v>1.5323255401381726E-2</v>
      </c>
      <c r="DR100">
        <f t="shared" si="106"/>
        <v>1.5433283496902492E-2</v>
      </c>
      <c r="DS100">
        <f t="shared" si="107"/>
        <v>1.5597385825169988E-2</v>
      </c>
      <c r="DT100">
        <f t="shared" si="108"/>
        <v>1.5788347601601551E-2</v>
      </c>
      <c r="DU100">
        <f t="shared" si="109"/>
        <v>1.5972292313991242E-2</v>
      </c>
      <c r="DV100">
        <f t="shared" si="110"/>
        <v>1.6167421821313744E-2</v>
      </c>
      <c r="DW100">
        <f t="shared" si="111"/>
        <v>1.6275776182675915E-2</v>
      </c>
      <c r="DX100">
        <f t="shared" si="112"/>
        <v>1.6248783898467515E-2</v>
      </c>
      <c r="DY100">
        <f t="shared" si="113"/>
        <v>1.6134710945396816E-2</v>
      </c>
      <c r="DZ100">
        <f t="shared" si="114"/>
        <v>1.6030889614047496E-2</v>
      </c>
      <c r="EA100">
        <f t="shared" si="115"/>
        <v>1.5918477111530962E-2</v>
      </c>
      <c r="EB100">
        <f t="shared" si="116"/>
        <v>1.583269159410091E-2</v>
      </c>
      <c r="EC100">
        <f t="shared" si="117"/>
        <v>1.5801089899154165E-2</v>
      </c>
      <c r="ED100">
        <f t="shared" si="118"/>
        <v>1.5806157594245456E-2</v>
      </c>
      <c r="EE100">
        <f t="shared" si="119"/>
        <v>1.5788845736767799E-2</v>
      </c>
      <c r="EF100">
        <f t="shared" si="120"/>
        <v>1.5744143086948742E-2</v>
      </c>
      <c r="EG100">
        <f t="shared" si="121"/>
        <v>1.5754222021812484E-2</v>
      </c>
      <c r="EH100">
        <f t="shared" si="122"/>
        <v>1.584866180753081E-2</v>
      </c>
      <c r="EI100">
        <f t="shared" si="123"/>
        <v>1.5984390356728842E-2</v>
      </c>
      <c r="EJ100">
        <f t="shared" si="124"/>
        <v>1.6097400621444876E-2</v>
      </c>
      <c r="EK100">
        <f t="shared" si="125"/>
        <v>1.6210842603304989E-2</v>
      </c>
      <c r="EL100">
        <f t="shared" si="126"/>
        <v>1.6212061374011742E-2</v>
      </c>
      <c r="EM100">
        <f t="shared" si="127"/>
        <v>1.6041762244276128E-2</v>
      </c>
      <c r="EN100">
        <f t="shared" si="128"/>
        <v>1.5753853401789461E-2</v>
      </c>
      <c r="EO100">
        <f t="shared" si="129"/>
        <v>1.546486526644259E-2</v>
      </c>
      <c r="EP100">
        <f t="shared" si="130"/>
        <v>1.5155506723697299E-2</v>
      </c>
      <c r="EQ100">
        <f t="shared" si="131"/>
        <v>1.48381580928854E-2</v>
      </c>
      <c r="ER100">
        <f t="shared" si="132"/>
        <v>1.4532007540610743E-2</v>
      </c>
      <c r="ES100">
        <f t="shared" si="133"/>
        <v>1.4229842069666071E-2</v>
      </c>
      <c r="ET100">
        <f t="shared" si="134"/>
        <v>1.3908551529238597E-2</v>
      </c>
      <c r="EU100">
        <f t="shared" si="135"/>
        <v>1.3576683918781135E-2</v>
      </c>
      <c r="EV100">
        <f t="shared" si="136"/>
        <v>1.324323888029722E-2</v>
      </c>
      <c r="EW100">
        <f t="shared" si="137"/>
        <v>1.291172328535724E-2</v>
      </c>
      <c r="EX100">
        <f t="shared" si="138"/>
        <v>1.2585255460101899E-2</v>
      </c>
      <c r="EY100">
        <f t="shared" si="139"/>
        <v>1.2259886853113414E-2</v>
      </c>
      <c r="EZ100">
        <f t="shared" si="140"/>
        <v>1.1932117234623613E-2</v>
      </c>
      <c r="FA100">
        <f t="shared" si="141"/>
        <v>1.1639539205178653E-2</v>
      </c>
      <c r="FB100">
        <f t="shared" si="142"/>
        <v>1.1399122569442028E-2</v>
      </c>
      <c r="FC100">
        <f t="shared" si="143"/>
        <v>1.1193598641650492E-2</v>
      </c>
      <c r="FD100">
        <f t="shared" si="144"/>
        <v>1.0985082581960364E-2</v>
      </c>
      <c r="FE100">
        <f t="shared" si="145"/>
        <v>1.0776785701743384E-2</v>
      </c>
      <c r="FF100">
        <f t="shared" si="146"/>
        <v>1.0572301215998751E-2</v>
      </c>
      <c r="FG100">
        <f t="shared" si="147"/>
        <v>1.0368175387573819E-2</v>
      </c>
      <c r="FH100">
        <f t="shared" si="148"/>
        <v>1.0160645635512859E-2</v>
      </c>
      <c r="FI100">
        <f t="shared" si="149"/>
        <v>9.9434852702377802E-3</v>
      </c>
      <c r="FJ100">
        <f t="shared" si="150"/>
        <v>9.7108395430946185E-3</v>
      </c>
      <c r="FK100">
        <f t="shared" si="151"/>
        <v>9.4705158925890275E-3</v>
      </c>
      <c r="FL100">
        <f t="shared" si="152"/>
        <v>9.2234308874269023E-3</v>
      </c>
      <c r="FM100">
        <f t="shared" si="153"/>
        <v>8.9591137264137186E-3</v>
      </c>
      <c r="FN100">
        <f t="shared" si="154"/>
        <v>8.6748977259595E-3</v>
      </c>
      <c r="FO100">
        <f t="shared" si="155"/>
        <v>8.3817684269305564E-3</v>
      </c>
      <c r="FP100">
        <f t="shared" si="156"/>
        <v>8.0029598793070304E-3</v>
      </c>
      <c r="FQ100">
        <f t="shared" si="157"/>
        <v>7.5033103821540575E-3</v>
      </c>
      <c r="FR100">
        <f t="shared" si="158"/>
        <v>6.9207844769419193E-3</v>
      </c>
      <c r="FS100">
        <f t="shared" si="159"/>
        <v>6.3057967633959816E-3</v>
      </c>
      <c r="FT100">
        <f t="shared" si="160"/>
        <v>5.7909109719580494E-3</v>
      </c>
      <c r="FU100">
        <f t="shared" si="161"/>
        <v>5.2593608987585808E-3</v>
      </c>
      <c r="FV100">
        <f t="shared" si="162"/>
        <v>4.5792868443907345E-3</v>
      </c>
      <c r="FW100">
        <f t="shared" si="163"/>
        <v>3.7601467352109961E-3</v>
      </c>
      <c r="FX100">
        <f t="shared" si="164"/>
        <v>3.1073638461512993E-3</v>
      </c>
      <c r="FY100">
        <f t="shared" si="165"/>
        <v>2.7350376974912076E-3</v>
      </c>
      <c r="FZ100">
        <f t="shared" si="166"/>
        <v>2.3619178534662281E-3</v>
      </c>
      <c r="GA100">
        <f t="shared" si="167"/>
        <v>1.8832796976255783E-3</v>
      </c>
      <c r="GB100">
        <f t="shared" si="168"/>
        <v>1.2991199090681485E-3</v>
      </c>
      <c r="GC100">
        <f t="shared" si="169"/>
        <v>1.0616920843290101E-3</v>
      </c>
      <c r="GD100">
        <f t="shared" si="170"/>
        <v>6.4602153440316233E-4</v>
      </c>
      <c r="GE100">
        <f t="shared" si="171"/>
        <v>1.2332099847713772E-3</v>
      </c>
    </row>
    <row r="101" spans="1:187">
      <c r="A101" s="15">
        <v>2049</v>
      </c>
      <c r="B101" s="18">
        <v>4137.8389999999999</v>
      </c>
      <c r="C101" s="18">
        <v>4152.125</v>
      </c>
      <c r="D101" s="18">
        <v>4163.143</v>
      </c>
      <c r="E101" s="18">
        <v>4171.4840000000004</v>
      </c>
      <c r="F101" s="18">
        <v>4170.1570000000002</v>
      </c>
      <c r="G101" s="18">
        <v>4176.9530000000004</v>
      </c>
      <c r="H101" s="18">
        <v>4182.7730000000001</v>
      </c>
      <c r="I101" s="18">
        <v>4188.2</v>
      </c>
      <c r="J101" s="18">
        <v>4193.8190000000004</v>
      </c>
      <c r="K101" s="18">
        <v>4199.63</v>
      </c>
      <c r="L101" s="18">
        <v>4205.6289999999999</v>
      </c>
      <c r="M101" s="18">
        <v>4215.33</v>
      </c>
      <c r="N101" s="18">
        <v>4230.4889999999996</v>
      </c>
      <c r="O101" s="18">
        <v>4249.9319999999998</v>
      </c>
      <c r="P101" s="18">
        <v>4269.5889999999999</v>
      </c>
      <c r="Q101" s="18">
        <v>4288.8990000000003</v>
      </c>
      <c r="R101" s="18">
        <v>4314.1580000000004</v>
      </c>
      <c r="S101" s="18">
        <v>4347.6509999999998</v>
      </c>
      <c r="T101" s="18">
        <v>4385.9470000000001</v>
      </c>
      <c r="U101" s="18">
        <v>4423.2209999999995</v>
      </c>
      <c r="V101" s="18">
        <v>4460.4979999999996</v>
      </c>
      <c r="W101" s="18">
        <v>4492.6379999999999</v>
      </c>
      <c r="X101" s="18">
        <v>4516.442</v>
      </c>
      <c r="Y101" s="18">
        <v>4533.8490000000002</v>
      </c>
      <c r="Z101" s="18">
        <v>4551.7539999999999</v>
      </c>
      <c r="AA101" s="18">
        <v>4570.8850000000002</v>
      </c>
      <c r="AB101" s="18">
        <v>4580.7380000000003</v>
      </c>
      <c r="AC101" s="18">
        <v>4577.4560000000001</v>
      </c>
      <c r="AD101" s="18">
        <v>4566.5360000000001</v>
      </c>
      <c r="AE101" s="18">
        <v>4556.9979999999996</v>
      </c>
      <c r="AF101" s="18">
        <v>4546.63</v>
      </c>
      <c r="AG101" s="18">
        <v>4545.7920000000004</v>
      </c>
      <c r="AH101" s="18">
        <v>4560.4290000000001</v>
      </c>
      <c r="AI101" s="18">
        <v>4586.0110000000004</v>
      </c>
      <c r="AJ101" s="18">
        <v>4609.0969999999998</v>
      </c>
      <c r="AK101" s="18">
        <v>4628.8109999999997</v>
      </c>
      <c r="AL101" s="18">
        <v>4660.0529999999999</v>
      </c>
      <c r="AM101" s="18">
        <v>4707.7389999999996</v>
      </c>
      <c r="AN101" s="18">
        <v>4763.6450000000004</v>
      </c>
      <c r="AO101" s="18">
        <v>4817.4799999999996</v>
      </c>
      <c r="AP101" s="18">
        <v>4874.7219999999998</v>
      </c>
      <c r="AQ101" s="18">
        <v>4905.9380000000001</v>
      </c>
      <c r="AR101" s="18">
        <v>4896.5209999999997</v>
      </c>
      <c r="AS101" s="18">
        <v>4860.96</v>
      </c>
      <c r="AT101" s="18">
        <v>4828.4960000000001</v>
      </c>
      <c r="AU101" s="18">
        <v>4793.4579999999996</v>
      </c>
      <c r="AV101" s="18">
        <v>4766.4040000000005</v>
      </c>
      <c r="AW101" s="18">
        <v>4755.5990000000002</v>
      </c>
      <c r="AX101" s="18">
        <v>4755.7759999999998</v>
      </c>
      <c r="AY101" s="18">
        <v>4749.2129999999997</v>
      </c>
      <c r="AZ101" s="18">
        <v>4734.4229999999998</v>
      </c>
      <c r="BA101" s="18">
        <v>4735.95</v>
      </c>
      <c r="BB101" s="18">
        <v>4762.6220000000003</v>
      </c>
      <c r="BC101" s="18">
        <v>4801.5640000000003</v>
      </c>
      <c r="BD101" s="18">
        <v>4833.6769999999997</v>
      </c>
      <c r="BE101" s="18">
        <v>4865.8940000000002</v>
      </c>
      <c r="BF101" s="18">
        <v>4864.4189999999999</v>
      </c>
      <c r="BG101" s="18">
        <v>4811.4799999999996</v>
      </c>
      <c r="BH101" s="18">
        <v>4723.2489999999998</v>
      </c>
      <c r="BI101" s="18">
        <v>4634.6559999999999</v>
      </c>
      <c r="BJ101" s="18">
        <v>4539.8919999999998</v>
      </c>
      <c r="BK101" s="18">
        <v>4442.8220000000001</v>
      </c>
      <c r="BL101" s="18">
        <v>4349.26</v>
      </c>
      <c r="BM101" s="18">
        <v>4256.97</v>
      </c>
      <c r="BN101" s="18">
        <v>4158.8360000000002</v>
      </c>
      <c r="BO101" s="18">
        <v>4057.4079999999999</v>
      </c>
      <c r="BP101" s="18">
        <v>3955.5070000000001</v>
      </c>
      <c r="BQ101" s="18">
        <v>3854.2060000000001</v>
      </c>
      <c r="BR101" s="18">
        <v>3754.355</v>
      </c>
      <c r="BS101" s="18">
        <v>3654.614</v>
      </c>
      <c r="BT101" s="18">
        <v>3553.9140000000002</v>
      </c>
      <c r="BU101" s="18">
        <v>3463.5079999999998</v>
      </c>
      <c r="BV101" s="18">
        <v>3388.4430000000002</v>
      </c>
      <c r="BW101" s="18">
        <v>3323.498</v>
      </c>
      <c r="BX101" s="18">
        <v>3257.3090000000002</v>
      </c>
      <c r="BY101" s="18">
        <v>3190.835</v>
      </c>
      <c r="BZ101" s="18">
        <v>3124.913</v>
      </c>
      <c r="CA101" s="18">
        <v>3058.3870000000002</v>
      </c>
      <c r="CB101" s="18">
        <v>2990.203</v>
      </c>
      <c r="CC101" s="18">
        <v>2918.9540000000002</v>
      </c>
      <c r="CD101" s="18">
        <v>2843.1039999999998</v>
      </c>
      <c r="CE101" s="18">
        <v>2763.6350000000002</v>
      </c>
      <c r="CF101" s="18">
        <v>2680.2919999999999</v>
      </c>
      <c r="CG101" s="18">
        <v>2590.723</v>
      </c>
      <c r="CH101" s="18">
        <v>2495.7240000000002</v>
      </c>
      <c r="CI101" s="18">
        <v>2398.6039999999998</v>
      </c>
      <c r="CJ101" s="18">
        <v>2276.248</v>
      </c>
      <c r="CK101" s="18">
        <v>2118.3339999999998</v>
      </c>
      <c r="CL101" s="18">
        <v>1936.5609999999999</v>
      </c>
      <c r="CM101" s="18">
        <v>1742.645</v>
      </c>
      <c r="CN101" s="18">
        <v>1590.069</v>
      </c>
      <c r="CO101" s="18">
        <v>1435.7660000000001</v>
      </c>
      <c r="CP101" s="18">
        <v>1227.3810000000001</v>
      </c>
      <c r="CQ101" s="18">
        <v>966.33600000000001</v>
      </c>
      <c r="CR101" s="18">
        <v>778.245</v>
      </c>
      <c r="CS101" s="18">
        <v>687.59100000000001</v>
      </c>
      <c r="CT101" s="18">
        <v>586.15800000000002</v>
      </c>
      <c r="CU101" s="18">
        <v>458.18599999999998</v>
      </c>
      <c r="CV101" s="18">
        <v>303.67099999999999</v>
      </c>
      <c r="CW101" s="18">
        <v>205.226</v>
      </c>
      <c r="CX101" s="18">
        <v>398.87599999999998</v>
      </c>
      <c r="CY101" s="3">
        <f t="shared" si="172"/>
        <v>378232.67900000006</v>
      </c>
      <c r="CZ101" s="21">
        <f t="shared" si="88"/>
        <v>302374.87900000007</v>
      </c>
      <c r="DA101">
        <f t="shared" si="89"/>
        <v>1.4504997949912364E-2</v>
      </c>
      <c r="DB101">
        <f t="shared" si="90"/>
        <v>1.4628268772287787E-2</v>
      </c>
      <c r="DC101">
        <f t="shared" si="91"/>
        <v>1.4751549516122332E-2</v>
      </c>
      <c r="DD101">
        <f t="shared" si="92"/>
        <v>1.4857841414795568E-2</v>
      </c>
      <c r="DE101">
        <f t="shared" si="93"/>
        <v>1.4936564885735758E-2</v>
      </c>
      <c r="DF101">
        <f t="shared" si="94"/>
        <v>1.4994132498685512E-2</v>
      </c>
      <c r="DG101">
        <f t="shared" si="95"/>
        <v>1.5053347073848681E-2</v>
      </c>
      <c r="DH101">
        <f t="shared" si="96"/>
        <v>1.5116616218637658E-2</v>
      </c>
      <c r="DI101">
        <f t="shared" si="97"/>
        <v>1.5149201597530856E-2</v>
      </c>
      <c r="DJ101">
        <f t="shared" si="98"/>
        <v>1.513834752125688E-2</v>
      </c>
      <c r="DK101">
        <f t="shared" si="99"/>
        <v>1.5102233410071076E-2</v>
      </c>
      <c r="DL101">
        <f t="shared" si="100"/>
        <v>1.5070689784385159E-2</v>
      </c>
      <c r="DM101">
        <f t="shared" si="101"/>
        <v>1.5036401221676881E-2</v>
      </c>
      <c r="DN101">
        <f t="shared" si="102"/>
        <v>1.5033629827430206E-2</v>
      </c>
      <c r="DO101">
        <f t="shared" si="103"/>
        <v>1.5082036626461945E-2</v>
      </c>
      <c r="DP101">
        <f t="shared" si="104"/>
        <v>1.5166640215505466E-2</v>
      </c>
      <c r="DQ101">
        <f t="shared" si="105"/>
        <v>1.5242989150563657E-2</v>
      </c>
      <c r="DR101">
        <f t="shared" si="106"/>
        <v>1.5308186365574366E-2</v>
      </c>
      <c r="DS101">
        <f t="shared" si="107"/>
        <v>1.5411508440818587E-2</v>
      </c>
      <c r="DT101">
        <f t="shared" si="108"/>
        <v>1.5569213340636007E-2</v>
      </c>
      <c r="DU101">
        <f t="shared" si="109"/>
        <v>1.5754103038433956E-2</v>
      </c>
      <c r="DV101">
        <f t="shared" si="110"/>
        <v>1.593214362228814E-2</v>
      </c>
      <c r="DW101">
        <f t="shared" si="111"/>
        <v>1.6121451676546182E-2</v>
      </c>
      <c r="DX101">
        <f t="shared" si="112"/>
        <v>1.6224687765811388E-2</v>
      </c>
      <c r="DY101">
        <f t="shared" si="113"/>
        <v>1.6193544305643189E-2</v>
      </c>
      <c r="DZ101">
        <f t="shared" si="114"/>
        <v>1.6075938636423561E-2</v>
      </c>
      <c r="EA101">
        <f t="shared" si="115"/>
        <v>1.596857522016569E-2</v>
      </c>
      <c r="EB101">
        <f t="shared" si="116"/>
        <v>1.585269919198545E-2</v>
      </c>
      <c r="EC101">
        <f t="shared" si="117"/>
        <v>1.5763227473668536E-2</v>
      </c>
      <c r="ED101">
        <f t="shared" si="118"/>
        <v>1.5727493685082215E-2</v>
      </c>
      <c r="EE101">
        <f t="shared" si="119"/>
        <v>1.5728079051170116E-2</v>
      </c>
      <c r="EF101">
        <f t="shared" si="120"/>
        <v>1.5706374205775205E-2</v>
      </c>
      <c r="EG101">
        <f t="shared" si="121"/>
        <v>1.5657461412328499E-2</v>
      </c>
      <c r="EH101">
        <f t="shared" si="122"/>
        <v>1.5662511435019039E-2</v>
      </c>
      <c r="EI101">
        <f t="shared" si="123"/>
        <v>1.5750719820875066E-2</v>
      </c>
      <c r="EJ101">
        <f t="shared" si="124"/>
        <v>1.5879506974519529E-2</v>
      </c>
      <c r="EK101">
        <f t="shared" si="125"/>
        <v>1.5985709580060712E-2</v>
      </c>
      <c r="EL101">
        <f t="shared" si="126"/>
        <v>1.6092256129517951E-2</v>
      </c>
      <c r="EM101">
        <f t="shared" si="127"/>
        <v>1.6087378078785436E-2</v>
      </c>
      <c r="EN101">
        <f t="shared" si="128"/>
        <v>1.5912300704054184E-2</v>
      </c>
      <c r="EO101">
        <f t="shared" si="129"/>
        <v>1.562050728427079E-2</v>
      </c>
      <c r="EP101">
        <f t="shared" si="130"/>
        <v>1.5327516675087281E-2</v>
      </c>
      <c r="EQ101">
        <f t="shared" si="131"/>
        <v>1.5014117624500145E-2</v>
      </c>
      <c r="ER101">
        <f t="shared" si="132"/>
        <v>1.4693092279005093E-2</v>
      </c>
      <c r="ES101">
        <f t="shared" si="133"/>
        <v>1.4383668426370826E-2</v>
      </c>
      <c r="ET101">
        <f t="shared" si="134"/>
        <v>1.407845127240216E-2</v>
      </c>
      <c r="EU101">
        <f t="shared" si="135"/>
        <v>1.3753907116073619E-2</v>
      </c>
      <c r="EV101">
        <f t="shared" si="136"/>
        <v>1.3418469197634631E-2</v>
      </c>
      <c r="EW101">
        <f t="shared" si="137"/>
        <v>1.3081466995808203E-2</v>
      </c>
      <c r="EX101">
        <f t="shared" si="138"/>
        <v>1.274644908580517E-2</v>
      </c>
      <c r="EY101">
        <f t="shared" si="139"/>
        <v>1.2416226547708678E-2</v>
      </c>
      <c r="EZ101">
        <f t="shared" si="140"/>
        <v>1.2086367796446474E-2</v>
      </c>
      <c r="FA101">
        <f t="shared" si="141"/>
        <v>1.1753337485419877E-2</v>
      </c>
      <c r="FB101">
        <f t="shared" si="142"/>
        <v>1.1454351007776671E-2</v>
      </c>
      <c r="FC101">
        <f t="shared" si="143"/>
        <v>1.120609956490466E-2</v>
      </c>
      <c r="FD101">
        <f t="shared" si="144"/>
        <v>1.0991316510787257E-2</v>
      </c>
      <c r="FE101">
        <f t="shared" si="145"/>
        <v>1.0772419358289348E-2</v>
      </c>
      <c r="FF101">
        <f t="shared" si="146"/>
        <v>1.0552579667175325E-2</v>
      </c>
      <c r="FG101">
        <f t="shared" si="147"/>
        <v>1.0334565524538826E-2</v>
      </c>
      <c r="FH101">
        <f t="shared" si="148"/>
        <v>1.0114553861466776E-2</v>
      </c>
      <c r="FI101">
        <f t="shared" si="149"/>
        <v>9.8890589386560757E-3</v>
      </c>
      <c r="FJ101">
        <f t="shared" si="150"/>
        <v>9.6534275917808613E-3</v>
      </c>
      <c r="FK101">
        <f t="shared" si="151"/>
        <v>9.4025800337732401E-3</v>
      </c>
      <c r="FL101">
        <f t="shared" si="152"/>
        <v>9.1397638889175042E-3</v>
      </c>
      <c r="FM101">
        <f t="shared" si="153"/>
        <v>8.8641358331887059E-3</v>
      </c>
      <c r="FN101">
        <f t="shared" si="154"/>
        <v>8.5679174426391402E-3</v>
      </c>
      <c r="FO101">
        <f t="shared" si="155"/>
        <v>8.2537412110878419E-3</v>
      </c>
      <c r="FP101">
        <f t="shared" si="156"/>
        <v>7.932550507940837E-3</v>
      </c>
      <c r="FQ101">
        <f t="shared" si="157"/>
        <v>7.527900490701807E-3</v>
      </c>
      <c r="FR101">
        <f t="shared" si="158"/>
        <v>7.0056547257022605E-3</v>
      </c>
      <c r="FS101">
        <f t="shared" si="159"/>
        <v>6.4045035963453808E-3</v>
      </c>
      <c r="FT101">
        <f t="shared" si="160"/>
        <v>5.7631937076360086E-3</v>
      </c>
      <c r="FU101">
        <f t="shared" si="161"/>
        <v>5.2586015255586078E-3</v>
      </c>
      <c r="FV101">
        <f t="shared" si="162"/>
        <v>4.7482978901828669E-3</v>
      </c>
      <c r="FW101">
        <f t="shared" si="163"/>
        <v>4.0591368041523043E-3</v>
      </c>
      <c r="FX101">
        <f t="shared" si="164"/>
        <v>3.1958210390883686E-3</v>
      </c>
      <c r="FY101">
        <f t="shared" si="165"/>
        <v>2.5737753168311307E-3</v>
      </c>
      <c r="FZ101">
        <f t="shared" si="166"/>
        <v>2.2739686652342565E-3</v>
      </c>
      <c r="GA101">
        <f t="shared" si="167"/>
        <v>1.9385142110300766E-3</v>
      </c>
      <c r="GB101">
        <f t="shared" si="168"/>
        <v>1.5152912223240604E-3</v>
      </c>
      <c r="GC101">
        <f t="shared" si="169"/>
        <v>1.0042864705040525E-3</v>
      </c>
      <c r="GD101">
        <f t="shared" si="170"/>
        <v>6.7871378958038356E-4</v>
      </c>
      <c r="GE101">
        <f t="shared" si="171"/>
        <v>1.3191439755813837E-3</v>
      </c>
    </row>
    <row r="102" spans="1:187">
      <c r="A102" s="15">
        <v>2050</v>
      </c>
      <c r="B102" s="18">
        <v>4143.933</v>
      </c>
      <c r="C102" s="18">
        <v>4155.402</v>
      </c>
      <c r="D102" s="18">
        <v>4164.0630000000001</v>
      </c>
      <c r="E102" s="18">
        <v>4170.4740000000002</v>
      </c>
      <c r="F102" s="18">
        <v>4175.192</v>
      </c>
      <c r="G102" s="18">
        <v>4178.7740000000003</v>
      </c>
      <c r="H102" s="18">
        <v>4181.7790000000005</v>
      </c>
      <c r="I102" s="18">
        <v>4184.7610000000004</v>
      </c>
      <c r="J102" s="18">
        <v>4188.2790000000005</v>
      </c>
      <c r="K102" s="18">
        <v>4192.8900000000003</v>
      </c>
      <c r="L102" s="18">
        <v>4198.42</v>
      </c>
      <c r="M102" s="18">
        <v>4204.6949999999997</v>
      </c>
      <c r="N102" s="18">
        <v>4215.9290000000001</v>
      </c>
      <c r="O102" s="18">
        <v>4234.1440000000002</v>
      </c>
      <c r="P102" s="18">
        <v>4257.7020000000002</v>
      </c>
      <c r="Q102" s="18">
        <v>4281.6409999999996</v>
      </c>
      <c r="R102" s="18">
        <v>4305.3919999999998</v>
      </c>
      <c r="S102" s="18">
        <v>4335.1499999999996</v>
      </c>
      <c r="T102" s="18">
        <v>4372.9960000000001</v>
      </c>
      <c r="U102" s="18">
        <v>4415.3739999999998</v>
      </c>
      <c r="V102" s="18">
        <v>4456.6419999999998</v>
      </c>
      <c r="W102" s="18">
        <v>4497.9269999999997</v>
      </c>
      <c r="X102" s="18">
        <v>4532.5460000000003</v>
      </c>
      <c r="Y102" s="18">
        <v>4556.59</v>
      </c>
      <c r="Z102" s="18">
        <v>4572.6629999999996</v>
      </c>
      <c r="AA102" s="18">
        <v>4589.1019999999999</v>
      </c>
      <c r="AB102" s="18">
        <v>4606.4290000000001</v>
      </c>
      <c r="AC102" s="18">
        <v>4614.2150000000001</v>
      </c>
      <c r="AD102" s="18">
        <v>4608.8069999999998</v>
      </c>
      <c r="AE102" s="18">
        <v>4595.683</v>
      </c>
      <c r="AF102" s="18">
        <v>4583.6350000000002</v>
      </c>
      <c r="AG102" s="18">
        <v>4570.509</v>
      </c>
      <c r="AH102" s="18">
        <v>4567.0889999999999</v>
      </c>
      <c r="AI102" s="18">
        <v>4579.518</v>
      </c>
      <c r="AJ102" s="18">
        <v>4603.1469999999999</v>
      </c>
      <c r="AK102" s="18">
        <v>4624.2139999999999</v>
      </c>
      <c r="AL102" s="18">
        <v>4641.9040000000005</v>
      </c>
      <c r="AM102" s="18">
        <v>4671.2449999999999</v>
      </c>
      <c r="AN102" s="18">
        <v>4717.1890000000003</v>
      </c>
      <c r="AO102" s="18">
        <v>4771.4780000000001</v>
      </c>
      <c r="AP102" s="18">
        <v>4823.7420000000002</v>
      </c>
      <c r="AQ102" s="18">
        <v>4879.4520000000002</v>
      </c>
      <c r="AR102" s="18">
        <v>4909.2479999999996</v>
      </c>
      <c r="AS102" s="18">
        <v>4898.5429999999997</v>
      </c>
      <c r="AT102" s="18">
        <v>4861.7830000000004</v>
      </c>
      <c r="AU102" s="18">
        <v>4828.1310000000003</v>
      </c>
      <c r="AV102" s="18">
        <v>4791.9160000000002</v>
      </c>
      <c r="AW102" s="18">
        <v>4763.6499999999996</v>
      </c>
      <c r="AX102" s="18">
        <v>4751.5609999999997</v>
      </c>
      <c r="AY102" s="18">
        <v>4750.3900000000003</v>
      </c>
      <c r="AZ102" s="18">
        <v>4742.482</v>
      </c>
      <c r="BA102" s="18">
        <v>4726.366</v>
      </c>
      <c r="BB102" s="18">
        <v>4726.3879999999999</v>
      </c>
      <c r="BC102" s="18">
        <v>4751.2860000000001</v>
      </c>
      <c r="BD102" s="18">
        <v>4788.2870000000003</v>
      </c>
      <c r="BE102" s="18">
        <v>4818.473</v>
      </c>
      <c r="BF102" s="18">
        <v>4848.7380000000003</v>
      </c>
      <c r="BG102" s="18">
        <v>4845.4229999999998</v>
      </c>
      <c r="BH102" s="18">
        <v>4790.8440000000001</v>
      </c>
      <c r="BI102" s="18">
        <v>4701.1090000000004</v>
      </c>
      <c r="BJ102" s="18">
        <v>4610.9719999999998</v>
      </c>
      <c r="BK102" s="18">
        <v>4514.634</v>
      </c>
      <c r="BL102" s="18">
        <v>4416.0860000000002</v>
      </c>
      <c r="BM102" s="18">
        <v>4321.183</v>
      </c>
      <c r="BN102" s="18">
        <v>4227.6220000000003</v>
      </c>
      <c r="BO102" s="18">
        <v>4128.1350000000002</v>
      </c>
      <c r="BP102" s="18">
        <v>4025.2469999999998</v>
      </c>
      <c r="BQ102" s="18">
        <v>3921.886</v>
      </c>
      <c r="BR102" s="18">
        <v>3819.1460000000002</v>
      </c>
      <c r="BS102" s="18">
        <v>3717.7820000000002</v>
      </c>
      <c r="BT102" s="18">
        <v>3616.31</v>
      </c>
      <c r="BU102" s="18">
        <v>3513.6419999999998</v>
      </c>
      <c r="BV102" s="18">
        <v>3420.9639999999999</v>
      </c>
      <c r="BW102" s="18">
        <v>3343.2570000000001</v>
      </c>
      <c r="BX102" s="18">
        <v>3275.277</v>
      </c>
      <c r="BY102" s="18">
        <v>3205.712</v>
      </c>
      <c r="BZ102" s="18">
        <v>3135.5120000000002</v>
      </c>
      <c r="CA102" s="18">
        <v>3065.2689999999998</v>
      </c>
      <c r="CB102" s="18">
        <v>2993.7080000000001</v>
      </c>
      <c r="CC102" s="18">
        <v>2919.86</v>
      </c>
      <c r="CD102" s="18">
        <v>2842.78</v>
      </c>
      <c r="CE102" s="18">
        <v>2761.1640000000002</v>
      </c>
      <c r="CF102" s="18">
        <v>2674.625</v>
      </c>
      <c r="CG102" s="18">
        <v>2582.3760000000002</v>
      </c>
      <c r="CH102" s="18">
        <v>2482.8670000000002</v>
      </c>
      <c r="CI102" s="18">
        <v>2378.4899999999998</v>
      </c>
      <c r="CJ102" s="18">
        <v>2272.5569999999998</v>
      </c>
      <c r="CK102" s="18">
        <v>2141.9589999999998</v>
      </c>
      <c r="CL102" s="18">
        <v>1976.645</v>
      </c>
      <c r="CM102" s="18">
        <v>1788.578</v>
      </c>
      <c r="CN102" s="18">
        <v>1586.0029999999999</v>
      </c>
      <c r="CO102" s="18">
        <v>1435.943</v>
      </c>
      <c r="CP102" s="18">
        <v>1287.4469999999999</v>
      </c>
      <c r="CQ102" s="18">
        <v>1075.5340000000001</v>
      </c>
      <c r="CR102" s="18">
        <v>800.20500000000004</v>
      </c>
      <c r="CS102" s="18">
        <v>620.64800000000002</v>
      </c>
      <c r="CT102" s="18">
        <v>551.46900000000005</v>
      </c>
      <c r="CU102" s="18">
        <v>460.988</v>
      </c>
      <c r="CV102" s="18">
        <v>349.202</v>
      </c>
      <c r="CW102" s="18">
        <v>216.11199999999999</v>
      </c>
      <c r="CX102" s="18">
        <v>425.96699999999998</v>
      </c>
      <c r="CY102" s="3">
        <f t="shared" si="172"/>
        <v>379419.09699999989</v>
      </c>
      <c r="CZ102" s="21">
        <f t="shared" si="88"/>
        <v>303650.47700000001</v>
      </c>
      <c r="DA102">
        <f t="shared" si="89"/>
        <v>1.4401413240658271E-2</v>
      </c>
      <c r="DB102">
        <f t="shared" si="90"/>
        <v>1.454097501714117E-2</v>
      </c>
      <c r="DC102">
        <f t="shared" si="91"/>
        <v>1.4676881274913985E-2</v>
      </c>
      <c r="DD102">
        <f t="shared" si="92"/>
        <v>1.4812843518108484E-2</v>
      </c>
      <c r="DE102">
        <f t="shared" si="93"/>
        <v>1.4926852889481876E-2</v>
      </c>
      <c r="DF102">
        <f t="shared" si="94"/>
        <v>1.5006036035306475E-2</v>
      </c>
      <c r="DG102">
        <f t="shared" si="95"/>
        <v>1.5058968604880537E-2</v>
      </c>
      <c r="DH102">
        <f t="shared" si="96"/>
        <v>1.51131065076509E-2</v>
      </c>
      <c r="DI102">
        <f t="shared" si="97"/>
        <v>1.5170168825389331E-2</v>
      </c>
      <c r="DJ102">
        <f t="shared" si="98"/>
        <v>1.5195810148521519E-2</v>
      </c>
      <c r="DK102">
        <f t="shared" si="99"/>
        <v>1.517800019790517E-2</v>
      </c>
      <c r="DL102">
        <f t="shared" si="100"/>
        <v>1.513477945236358E-2</v>
      </c>
      <c r="DM102">
        <f t="shared" si="101"/>
        <v>1.5095102254688703E-2</v>
      </c>
      <c r="DN102">
        <f t="shared" si="102"/>
        <v>1.5051874922626912E-2</v>
      </c>
      <c r="DO102">
        <f t="shared" si="103"/>
        <v>1.5040611973087727E-2</v>
      </c>
      <c r="DP102">
        <f t="shared" si="104"/>
        <v>1.5081543902860392E-2</v>
      </c>
      <c r="DQ102">
        <f t="shared" si="105"/>
        <v>1.5159360345743833E-2</v>
      </c>
      <c r="DR102">
        <f t="shared" si="106"/>
        <v>1.5228739456253183E-2</v>
      </c>
      <c r="DS102">
        <f t="shared" si="107"/>
        <v>1.5286997227407617E-2</v>
      </c>
      <c r="DT102">
        <f t="shared" si="108"/>
        <v>1.5383624771977552E-2</v>
      </c>
      <c r="DU102">
        <f t="shared" si="109"/>
        <v>1.5534930313974116E-2</v>
      </c>
      <c r="DV102">
        <f t="shared" si="110"/>
        <v>1.5713718111498305E-2</v>
      </c>
      <c r="DW102">
        <f t="shared" si="111"/>
        <v>1.5885837057321665E-2</v>
      </c>
      <c r="DX102">
        <f t="shared" si="112"/>
        <v>1.6069304577446784E-2</v>
      </c>
      <c r="DY102">
        <f t="shared" si="113"/>
        <v>1.6167430555361847E-2</v>
      </c>
      <c r="DZ102">
        <f t="shared" si="114"/>
        <v>1.6132176206000163E-2</v>
      </c>
      <c r="EA102">
        <f t="shared" si="115"/>
        <v>1.6011115964754439E-2</v>
      </c>
      <c r="EB102">
        <f t="shared" si="116"/>
        <v>1.590029117589695E-2</v>
      </c>
      <c r="EC102">
        <f t="shared" si="117"/>
        <v>1.5781025761405276E-2</v>
      </c>
      <c r="ED102">
        <f t="shared" si="118"/>
        <v>1.568793847144195E-2</v>
      </c>
      <c r="EE102">
        <f t="shared" si="119"/>
        <v>1.5648126250103006E-2</v>
      </c>
      <c r="EF102">
        <f t="shared" si="120"/>
        <v>1.5644269842526873E-2</v>
      </c>
      <c r="EG102">
        <f t="shared" si="121"/>
        <v>1.5618226741662584E-2</v>
      </c>
      <c r="EH102">
        <f t="shared" si="122"/>
        <v>1.5565152561904258E-2</v>
      </c>
      <c r="EI102">
        <f t="shared" si="123"/>
        <v>1.5565225013626439E-2</v>
      </c>
      <c r="EJ102">
        <f t="shared" si="124"/>
        <v>1.5647220603575734E-2</v>
      </c>
      <c r="EK102">
        <f t="shared" si="125"/>
        <v>1.5769074520505365E-2</v>
      </c>
      <c r="EL102">
        <f t="shared" si="126"/>
        <v>1.5868484869859104E-2</v>
      </c>
      <c r="EM102">
        <f t="shared" si="127"/>
        <v>1.596815538676068E-2</v>
      </c>
      <c r="EN102">
        <f t="shared" si="128"/>
        <v>1.5957238229531909E-2</v>
      </c>
      <c r="EO102">
        <f t="shared" si="129"/>
        <v>1.5777495386578959E-2</v>
      </c>
      <c r="EP102">
        <f t="shared" si="130"/>
        <v>1.5481974691579359E-2</v>
      </c>
      <c r="EQ102">
        <f t="shared" si="131"/>
        <v>1.5185130106019887E-2</v>
      </c>
      <c r="ER102">
        <f t="shared" si="132"/>
        <v>1.4867864014585426E-2</v>
      </c>
      <c r="ES102">
        <f t="shared" si="133"/>
        <v>1.4543319818331785E-2</v>
      </c>
      <c r="ET102">
        <f t="shared" si="134"/>
        <v>1.4230779555139642E-2</v>
      </c>
      <c r="EU102">
        <f t="shared" si="135"/>
        <v>1.3922658847000594E-2</v>
      </c>
      <c r="EV102">
        <f t="shared" si="136"/>
        <v>1.3595022279513824E-2</v>
      </c>
      <c r="EW102">
        <f t="shared" si="137"/>
        <v>1.3256185334429755E-2</v>
      </c>
      <c r="EX102">
        <f t="shared" si="138"/>
        <v>1.2915790677318777E-2</v>
      </c>
      <c r="EY102">
        <f t="shared" si="139"/>
        <v>1.2577441134729389E-2</v>
      </c>
      <c r="EZ102">
        <f t="shared" si="140"/>
        <v>1.2243623118036465E-2</v>
      </c>
      <c r="FA102">
        <f t="shared" si="141"/>
        <v>1.190944942925283E-2</v>
      </c>
      <c r="FB102">
        <f t="shared" si="142"/>
        <v>1.1571337001390581E-2</v>
      </c>
      <c r="FC102">
        <f t="shared" si="143"/>
        <v>1.1266124241919105E-2</v>
      </c>
      <c r="FD102">
        <f t="shared" si="144"/>
        <v>1.10102148793924E-2</v>
      </c>
      <c r="FE102">
        <f t="shared" si="145"/>
        <v>1.0786339057850385E-2</v>
      </c>
      <c r="FF102">
        <f t="shared" si="146"/>
        <v>1.0557243419051173E-2</v>
      </c>
      <c r="FG102">
        <f t="shared" si="147"/>
        <v>1.0326056560088987E-2</v>
      </c>
      <c r="FH102">
        <f t="shared" si="148"/>
        <v>1.0094728090942534E-2</v>
      </c>
      <c r="FI102">
        <f t="shared" si="149"/>
        <v>9.8590591049853675E-3</v>
      </c>
      <c r="FJ102">
        <f t="shared" si="150"/>
        <v>9.6158584331813846E-3</v>
      </c>
      <c r="FK102">
        <f t="shared" si="151"/>
        <v>9.3620139447368623E-3</v>
      </c>
      <c r="FL102">
        <f t="shared" si="152"/>
        <v>9.0932312284824762E-3</v>
      </c>
      <c r="FM102">
        <f t="shared" si="153"/>
        <v>8.8082357927598449E-3</v>
      </c>
      <c r="FN102">
        <f t="shared" si="154"/>
        <v>8.5044358418709162E-3</v>
      </c>
      <c r="FO102">
        <f t="shared" si="155"/>
        <v>8.1767268226619651E-3</v>
      </c>
      <c r="FP102">
        <f t="shared" si="156"/>
        <v>7.8329862132902224E-3</v>
      </c>
      <c r="FQ102">
        <f t="shared" si="157"/>
        <v>7.4841212912041622E-3</v>
      </c>
      <c r="FR102">
        <f t="shared" si="158"/>
        <v>7.0540281087719146E-3</v>
      </c>
      <c r="FS102">
        <f t="shared" si="159"/>
        <v>6.5096061087366571E-3</v>
      </c>
      <c r="FT102">
        <f t="shared" si="160"/>
        <v>5.8902525616648374E-3</v>
      </c>
      <c r="FU102">
        <f t="shared" si="161"/>
        <v>5.2231203970741656E-3</v>
      </c>
      <c r="FV102">
        <f t="shared" si="162"/>
        <v>4.728933786591746E-3</v>
      </c>
      <c r="FW102">
        <f t="shared" si="163"/>
        <v>4.2398978349044375E-3</v>
      </c>
      <c r="FX102">
        <f t="shared" si="164"/>
        <v>3.542013207507657E-3</v>
      </c>
      <c r="FY102">
        <f t="shared" si="165"/>
        <v>2.6352831976615009E-3</v>
      </c>
      <c r="FZ102">
        <f t="shared" si="166"/>
        <v>2.0439552940336729E-3</v>
      </c>
      <c r="GA102">
        <f t="shared" si="167"/>
        <v>1.8161308536327444E-3</v>
      </c>
      <c r="GB102">
        <f t="shared" si="168"/>
        <v>1.5181533865991589E-3</v>
      </c>
      <c r="GC102">
        <f t="shared" si="169"/>
        <v>1.1500130131526188E-3</v>
      </c>
      <c r="GD102">
        <f t="shared" si="170"/>
        <v>7.1171302655322348E-4</v>
      </c>
      <c r="GE102">
        <f t="shared" si="171"/>
        <v>1.4028201246658999E-3</v>
      </c>
    </row>
    <row r="103" spans="1:187">
      <c r="A103" s="15">
        <v>2051</v>
      </c>
      <c r="B103" s="18">
        <v>4156.0749999999998</v>
      </c>
      <c r="C103" s="18">
        <v>4155.8639999999996</v>
      </c>
      <c r="D103" s="18">
        <v>4164.12</v>
      </c>
      <c r="E103" s="18">
        <v>4170.3050000000003</v>
      </c>
      <c r="F103" s="18">
        <v>4174.9870000000001</v>
      </c>
      <c r="G103" s="18">
        <v>4178.7330000000002</v>
      </c>
      <c r="H103" s="18">
        <v>4181.9260000000004</v>
      </c>
      <c r="I103" s="18">
        <v>4184.9520000000002</v>
      </c>
      <c r="J103" s="18">
        <v>4189.2910000000002</v>
      </c>
      <c r="K103" s="18">
        <v>4195.8789999999999</v>
      </c>
      <c r="L103" s="18">
        <v>4204.7330000000002</v>
      </c>
      <c r="M103" s="18">
        <v>4214.6030000000001</v>
      </c>
      <c r="N103" s="18">
        <v>4225.3360000000002</v>
      </c>
      <c r="O103" s="18">
        <v>4241.0969999999998</v>
      </c>
      <c r="P103" s="18">
        <v>4263.7089999999998</v>
      </c>
      <c r="Q103" s="18">
        <v>4291.3969999999999</v>
      </c>
      <c r="R103" s="18">
        <v>4319.3779999999997</v>
      </c>
      <c r="S103" s="18">
        <v>4347.1840000000002</v>
      </c>
      <c r="T103" s="18">
        <v>4379.4620000000004</v>
      </c>
      <c r="U103" s="18">
        <v>4417.58</v>
      </c>
      <c r="V103" s="18">
        <v>4458.6469999999999</v>
      </c>
      <c r="W103" s="18">
        <v>4498.4740000000002</v>
      </c>
      <c r="X103" s="18">
        <v>4537.9870000000001</v>
      </c>
      <c r="Y103" s="18">
        <v>4570.55</v>
      </c>
      <c r="Z103" s="18">
        <v>4592.4560000000001</v>
      </c>
      <c r="AA103" s="18">
        <v>4606.2979999999998</v>
      </c>
      <c r="AB103" s="18">
        <v>4620.2060000000001</v>
      </c>
      <c r="AC103" s="18">
        <v>4634.7510000000002</v>
      </c>
      <c r="AD103" s="18">
        <v>4639.9610000000002</v>
      </c>
      <c r="AE103" s="18">
        <v>4632.3909999999996</v>
      </c>
      <c r="AF103" s="18">
        <v>4617.3900000000003</v>
      </c>
      <c r="AG103" s="18">
        <v>4603.3959999999997</v>
      </c>
      <c r="AH103" s="18">
        <v>4588.3090000000002</v>
      </c>
      <c r="AI103" s="18">
        <v>4583.0739999999996</v>
      </c>
      <c r="AJ103" s="18">
        <v>4593.8680000000004</v>
      </c>
      <c r="AK103" s="18">
        <v>4616</v>
      </c>
      <c r="AL103" s="18">
        <v>4635.616</v>
      </c>
      <c r="AM103" s="18">
        <v>4651.9040000000005</v>
      </c>
      <c r="AN103" s="18">
        <v>4679.8909999999996</v>
      </c>
      <c r="AO103" s="18">
        <v>4724.5039999999999</v>
      </c>
      <c r="AP103" s="18">
        <v>4777.4870000000001</v>
      </c>
      <c r="AQ103" s="18">
        <v>4828.4690000000001</v>
      </c>
      <c r="AR103" s="18">
        <v>4882.9110000000001</v>
      </c>
      <c r="AS103" s="18">
        <v>4911.4470000000001</v>
      </c>
      <c r="AT103" s="18">
        <v>4899.49</v>
      </c>
      <c r="AU103" s="18">
        <v>4861.4679999999998</v>
      </c>
      <c r="AV103" s="18">
        <v>4826.5339999999997</v>
      </c>
      <c r="AW103" s="18">
        <v>4789.0200000000004</v>
      </c>
      <c r="AX103" s="18">
        <v>4759.375</v>
      </c>
      <c r="AY103" s="18">
        <v>4745.7879999999996</v>
      </c>
      <c r="AZ103" s="18">
        <v>4743.0259999999998</v>
      </c>
      <c r="BA103" s="18">
        <v>4733.5129999999999</v>
      </c>
      <c r="BB103" s="18">
        <v>4715.7910000000002</v>
      </c>
      <c r="BC103" s="18">
        <v>4714.0820000000003</v>
      </c>
      <c r="BD103" s="18">
        <v>4737.0820000000003</v>
      </c>
      <c r="BE103" s="18">
        <v>4772.0870000000004</v>
      </c>
      <c r="BF103" s="18">
        <v>4800.2629999999999</v>
      </c>
      <c r="BG103" s="18">
        <v>4828.4589999999998</v>
      </c>
      <c r="BH103" s="18">
        <v>4823.241</v>
      </c>
      <c r="BI103" s="18">
        <v>4767.04</v>
      </c>
      <c r="BJ103" s="18">
        <v>4675.8500000000004</v>
      </c>
      <c r="BK103" s="18">
        <v>4584.1670000000004</v>
      </c>
      <c r="BL103" s="18">
        <v>4486.2079999999996</v>
      </c>
      <c r="BM103" s="18">
        <v>4386.027</v>
      </c>
      <c r="BN103" s="18">
        <v>4289.4759999999997</v>
      </c>
      <c r="BO103" s="18">
        <v>4194.2</v>
      </c>
      <c r="BP103" s="18">
        <v>4092.8440000000001</v>
      </c>
      <c r="BQ103" s="18">
        <v>3987.8870000000002</v>
      </c>
      <c r="BR103" s="18">
        <v>3882.3290000000002</v>
      </c>
      <c r="BS103" s="18">
        <v>3777.2689999999998</v>
      </c>
      <c r="BT103" s="18">
        <v>3673.377</v>
      </c>
      <c r="BU103" s="18">
        <v>3569.067</v>
      </c>
      <c r="BV103" s="18">
        <v>3463.2660000000001</v>
      </c>
      <c r="BW103" s="18">
        <v>3366.913</v>
      </c>
      <c r="BX103" s="18">
        <v>3284.855</v>
      </c>
      <c r="BY103" s="18">
        <v>3211.9279999999999</v>
      </c>
      <c r="BZ103" s="18">
        <v>3137.154</v>
      </c>
      <c r="CA103" s="18">
        <v>3061.5659999999998</v>
      </c>
      <c r="CB103" s="18">
        <v>2985.0540000000001</v>
      </c>
      <c r="CC103" s="18">
        <v>2906.0810000000001</v>
      </c>
      <c r="CD103" s="18">
        <v>2824.058</v>
      </c>
      <c r="CE103" s="18">
        <v>2739.0740000000001</v>
      </c>
      <c r="CF103" s="18">
        <v>2650.08</v>
      </c>
      <c r="CG103" s="18">
        <v>2555.3739999999998</v>
      </c>
      <c r="CH103" s="18">
        <v>2453.768</v>
      </c>
      <c r="CI103" s="18">
        <v>2344.62</v>
      </c>
      <c r="CJ103" s="18">
        <v>2229.402</v>
      </c>
      <c r="CK103" s="18">
        <v>2123.7869999999998</v>
      </c>
      <c r="CL103" s="18">
        <v>1991.8910000000001</v>
      </c>
      <c r="CM103" s="18">
        <v>1818.671</v>
      </c>
      <c r="CN103" s="18">
        <v>1613.704</v>
      </c>
      <c r="CO103" s="18">
        <v>1415.3579999999999</v>
      </c>
      <c r="CP103" s="18">
        <v>1280.921</v>
      </c>
      <c r="CQ103" s="18">
        <v>1142.03</v>
      </c>
      <c r="CR103" s="18">
        <v>946.67899999999997</v>
      </c>
      <c r="CS103" s="18">
        <v>694.86699999999996</v>
      </c>
      <c r="CT103" s="18">
        <v>574.03099999999995</v>
      </c>
      <c r="CU103" s="18">
        <v>481.00700000000001</v>
      </c>
      <c r="CV103" s="18">
        <v>365.48599999999999</v>
      </c>
      <c r="CW103" s="18">
        <v>227.46799999999999</v>
      </c>
      <c r="CX103" s="18">
        <v>452.77800000000002</v>
      </c>
      <c r="CY103" s="3">
        <f t="shared" si="172"/>
        <v>380599.42899999989</v>
      </c>
      <c r="CZ103" s="21">
        <f t="shared" si="88"/>
        <v>304739.8600000001</v>
      </c>
      <c r="DA103">
        <f t="shared" si="89"/>
        <v>1.4371149215596539E-2</v>
      </c>
      <c r="DB103">
        <f t="shared" si="90"/>
        <v>1.4496232950950356E-2</v>
      </c>
      <c r="DC103">
        <f t="shared" si="91"/>
        <v>1.4630993792541607E-2</v>
      </c>
      <c r="DD103">
        <f t="shared" si="92"/>
        <v>1.476168558980108E-2</v>
      </c>
      <c r="DE103">
        <f t="shared" si="93"/>
        <v>1.489134700002815E-2</v>
      </c>
      <c r="DF103">
        <f t="shared" si="94"/>
        <v>1.4998202073073076E-2</v>
      </c>
      <c r="DG103">
        <f t="shared" si="95"/>
        <v>1.5070086335276253E-2</v>
      </c>
      <c r="DH103">
        <f t="shared" si="96"/>
        <v>1.5115508683373413E-2</v>
      </c>
      <c r="DI103">
        <f t="shared" si="97"/>
        <v>1.5161147609636621E-2</v>
      </c>
      <c r="DJ103">
        <f t="shared" si="98"/>
        <v>1.5208876843350911E-2</v>
      </c>
      <c r="DK103">
        <f t="shared" si="99"/>
        <v>1.522597339251911E-2</v>
      </c>
      <c r="DL103">
        <f t="shared" si="100"/>
        <v>1.5201132533171072E-2</v>
      </c>
      <c r="DM103">
        <f t="shared" si="101"/>
        <v>1.5151906941218648E-2</v>
      </c>
      <c r="DN103">
        <f t="shared" si="102"/>
        <v>1.5105985807042106E-2</v>
      </c>
      <c r="DO103">
        <f t="shared" si="103"/>
        <v>1.5056478007176346E-2</v>
      </c>
      <c r="DP103">
        <f t="shared" si="104"/>
        <v>1.5039299420824036E-2</v>
      </c>
      <c r="DQ103">
        <f t="shared" si="105"/>
        <v>1.5074719795434699E-2</v>
      </c>
      <c r="DR103">
        <f t="shared" si="106"/>
        <v>1.5147345673782217E-2</v>
      </c>
      <c r="DS103">
        <f t="shared" si="107"/>
        <v>1.5211715329921063E-2</v>
      </c>
      <c r="DT103">
        <f t="shared" si="108"/>
        <v>1.5265164196111394E-2</v>
      </c>
      <c r="DU103">
        <f t="shared" si="109"/>
        <v>1.5357003182977107E-2</v>
      </c>
      <c r="DV103">
        <f t="shared" si="110"/>
        <v>1.5503400178762301E-2</v>
      </c>
      <c r="DW103">
        <f t="shared" si="111"/>
        <v>1.5677263223787E-2</v>
      </c>
      <c r="DX103">
        <f t="shared" si="112"/>
        <v>1.5844560012595654E-2</v>
      </c>
      <c r="DY103">
        <f t="shared" si="113"/>
        <v>1.602321074768492E-2</v>
      </c>
      <c r="DZ103">
        <f t="shared" si="114"/>
        <v>1.6116851271113657E-2</v>
      </c>
      <c r="EA103">
        <f t="shared" si="115"/>
        <v>1.6077614526698272E-2</v>
      </c>
      <c r="EB103">
        <f t="shared" si="116"/>
        <v>1.5952845814131429E-2</v>
      </c>
      <c r="EC103">
        <f t="shared" si="117"/>
        <v>1.583821033454566E-2</v>
      </c>
      <c r="ED103">
        <f t="shared" si="118"/>
        <v>1.5715108617559904E-2</v>
      </c>
      <c r="EE103">
        <f t="shared" si="119"/>
        <v>1.5617828924644115E-2</v>
      </c>
      <c r="EF103">
        <f t="shared" si="120"/>
        <v>1.557324335582486E-2</v>
      </c>
      <c r="EG103">
        <f t="shared" si="121"/>
        <v>1.556417988772456E-2</v>
      </c>
      <c r="EH103">
        <f t="shared" si="122"/>
        <v>1.5532963098427617E-2</v>
      </c>
      <c r="EI103">
        <f t="shared" si="123"/>
        <v>1.5474808579356828E-2</v>
      </c>
      <c r="EJ103">
        <f t="shared" si="124"/>
        <v>1.5469200517451175E-2</v>
      </c>
      <c r="EK103">
        <f t="shared" si="125"/>
        <v>1.5544674726830939E-2</v>
      </c>
      <c r="EL103">
        <f t="shared" si="126"/>
        <v>1.5659543192019575E-2</v>
      </c>
      <c r="EM103">
        <f t="shared" si="127"/>
        <v>1.5752002379997149E-2</v>
      </c>
      <c r="EN103">
        <f t="shared" si="128"/>
        <v>1.5844527197722013E-2</v>
      </c>
      <c r="EO103">
        <f t="shared" si="129"/>
        <v>1.58274043966549E-2</v>
      </c>
      <c r="EP103">
        <f t="shared" si="130"/>
        <v>1.5642981525291762E-2</v>
      </c>
      <c r="EQ103">
        <f t="shared" si="131"/>
        <v>1.5343742692537821E-2</v>
      </c>
      <c r="ER103">
        <f t="shared" si="132"/>
        <v>1.504288608651326E-2</v>
      </c>
      <c r="ES103">
        <f t="shared" si="133"/>
        <v>1.4721434865790113E-2</v>
      </c>
      <c r="ET103">
        <f t="shared" si="134"/>
        <v>1.4392692180143413E-2</v>
      </c>
      <c r="EU103">
        <f t="shared" si="135"/>
        <v>1.4075861293629255E-2</v>
      </c>
      <c r="EV103">
        <f t="shared" si="136"/>
        <v>1.376321430350463E-2</v>
      </c>
      <c r="EW103">
        <f t="shared" si="137"/>
        <v>1.3430615870204832E-2</v>
      </c>
      <c r="EX103">
        <f t="shared" si="138"/>
        <v>1.3086200800906054E-2</v>
      </c>
      <c r="EY103">
        <f t="shared" si="139"/>
        <v>1.273981355770131E-2</v>
      </c>
      <c r="EZ103">
        <f t="shared" si="140"/>
        <v>1.2395060495204002E-2</v>
      </c>
      <c r="FA103">
        <f t="shared" si="141"/>
        <v>1.2054140209948244E-2</v>
      </c>
      <c r="FB103">
        <f t="shared" si="142"/>
        <v>1.1711848262974193E-2</v>
      </c>
      <c r="FC103">
        <f t="shared" si="143"/>
        <v>1.1364663618339915E-2</v>
      </c>
      <c r="FD103">
        <f t="shared" si="144"/>
        <v>1.1048482466323896E-2</v>
      </c>
      <c r="FE103">
        <f t="shared" si="145"/>
        <v>1.0779210176181084E-2</v>
      </c>
      <c r="FF103">
        <f t="shared" si="146"/>
        <v>1.0539901147162039E-2</v>
      </c>
      <c r="FG103">
        <f t="shared" si="147"/>
        <v>1.0294531210981062E-2</v>
      </c>
      <c r="FH103">
        <f t="shared" si="148"/>
        <v>1.0046490144085513E-2</v>
      </c>
      <c r="FI103">
        <f t="shared" si="149"/>
        <v>9.7954169828653164E-3</v>
      </c>
      <c r="FJ103">
        <f t="shared" si="150"/>
        <v>9.5362680812414863E-3</v>
      </c>
      <c r="FK103">
        <f t="shared" si="151"/>
        <v>9.267110643156426E-3</v>
      </c>
      <c r="FL103">
        <f t="shared" si="152"/>
        <v>8.9882367209855613E-3</v>
      </c>
      <c r="FM103">
        <f t="shared" si="153"/>
        <v>8.6962040344837031E-3</v>
      </c>
      <c r="FN103">
        <f t="shared" si="154"/>
        <v>8.3854274921567502E-3</v>
      </c>
      <c r="FO103">
        <f t="shared" si="155"/>
        <v>8.0520086870158672E-3</v>
      </c>
      <c r="FP103">
        <f t="shared" si="156"/>
        <v>7.6938409041731499E-3</v>
      </c>
      <c r="FQ103">
        <f t="shared" si="157"/>
        <v>7.315754493028904E-3</v>
      </c>
      <c r="FR103">
        <f t="shared" si="158"/>
        <v>6.9691802050443914E-3</v>
      </c>
      <c r="FS103">
        <f t="shared" si="159"/>
        <v>6.5363651476377238E-3</v>
      </c>
      <c r="FT103">
        <f t="shared" si="160"/>
        <v>5.9679459063871707E-3</v>
      </c>
      <c r="FU103">
        <f t="shared" si="161"/>
        <v>5.2953492857809913E-3</v>
      </c>
      <c r="FV103">
        <f t="shared" si="162"/>
        <v>4.6444793930140926E-3</v>
      </c>
      <c r="FW103">
        <f t="shared" si="163"/>
        <v>4.2033260762146425E-3</v>
      </c>
      <c r="FX103">
        <f t="shared" si="164"/>
        <v>3.7475570146944335E-3</v>
      </c>
      <c r="FY103">
        <f t="shared" si="165"/>
        <v>3.1065151765837249E-3</v>
      </c>
      <c r="FZ103">
        <f t="shared" si="166"/>
        <v>2.2801972803951531E-3</v>
      </c>
      <c r="GA103">
        <f t="shared" si="167"/>
        <v>1.8836754732380588E-3</v>
      </c>
      <c r="GB103">
        <f t="shared" si="168"/>
        <v>1.578418392657921E-3</v>
      </c>
      <c r="GC103">
        <f t="shared" si="169"/>
        <v>1.1993376908422805E-3</v>
      </c>
      <c r="GD103">
        <f t="shared" si="170"/>
        <v>7.4643336779113805E-4</v>
      </c>
      <c r="GE103">
        <f t="shared" si="171"/>
        <v>1.4857852858500358E-3</v>
      </c>
    </row>
    <row r="104" spans="1:187">
      <c r="A104" s="15">
        <v>2052</v>
      </c>
      <c r="B104" s="18">
        <v>4169.53</v>
      </c>
      <c r="C104" s="18">
        <v>4175.5079999999998</v>
      </c>
      <c r="D104" s="18">
        <v>4167.1499999999996</v>
      </c>
      <c r="E104" s="18">
        <v>4172.1890000000003</v>
      </c>
      <c r="F104" s="18">
        <v>4175.8959999999997</v>
      </c>
      <c r="G104" s="18">
        <v>4178.8469999999998</v>
      </c>
      <c r="H104" s="18">
        <v>4181.6189999999997</v>
      </c>
      <c r="I104" s="18">
        <v>4184.4219999999996</v>
      </c>
      <c r="J104" s="18">
        <v>4187.47</v>
      </c>
      <c r="K104" s="18">
        <v>4193.1679999999997</v>
      </c>
      <c r="L104" s="18">
        <v>4202.826</v>
      </c>
      <c r="M104" s="18">
        <v>4215.924</v>
      </c>
      <c r="N104" s="18">
        <v>4230.134</v>
      </c>
      <c r="O104" s="18">
        <v>4245.3289999999997</v>
      </c>
      <c r="P104" s="18">
        <v>4265.6170000000002</v>
      </c>
      <c r="Q104" s="18">
        <v>4292.6239999999998</v>
      </c>
      <c r="R104" s="18">
        <v>4324.4399999999996</v>
      </c>
      <c r="S104" s="18">
        <v>4356.4610000000002</v>
      </c>
      <c r="T104" s="18">
        <v>4388.3220000000001</v>
      </c>
      <c r="U104" s="18">
        <v>4423.1170000000002</v>
      </c>
      <c r="V104" s="18">
        <v>4461.4989999999998</v>
      </c>
      <c r="W104" s="18">
        <v>4501.2479999999996</v>
      </c>
      <c r="X104" s="18">
        <v>4539.6279999999997</v>
      </c>
      <c r="Y104" s="18">
        <v>4577.3599999999997</v>
      </c>
      <c r="Z104" s="18">
        <v>4607.8620000000001</v>
      </c>
      <c r="AA104" s="18">
        <v>4627.625</v>
      </c>
      <c r="AB104" s="18">
        <v>4639.2309999999998</v>
      </c>
      <c r="AC104" s="18">
        <v>4650.6059999999998</v>
      </c>
      <c r="AD104" s="18">
        <v>4662.3639999999996</v>
      </c>
      <c r="AE104" s="18">
        <v>4664.9939999999997</v>
      </c>
      <c r="AF104" s="18">
        <v>4655.2629999999999</v>
      </c>
      <c r="AG104" s="18">
        <v>4638.3850000000002</v>
      </c>
      <c r="AH104" s="18">
        <v>4622.4449999999997</v>
      </c>
      <c r="AI104" s="18">
        <v>4605.3990000000003</v>
      </c>
      <c r="AJ104" s="18">
        <v>4598.3469999999998</v>
      </c>
      <c r="AK104" s="18">
        <v>4607.5050000000001</v>
      </c>
      <c r="AL104" s="18">
        <v>4628.1360000000004</v>
      </c>
      <c r="AM104" s="18">
        <v>4646.2950000000001</v>
      </c>
      <c r="AN104" s="18">
        <v>4661.1809999999996</v>
      </c>
      <c r="AO104" s="18">
        <v>4687.8050000000003</v>
      </c>
      <c r="AP104" s="18">
        <v>4731.0810000000001</v>
      </c>
      <c r="AQ104" s="18">
        <v>4782.7479999999996</v>
      </c>
      <c r="AR104" s="18">
        <v>4832.4390000000003</v>
      </c>
      <c r="AS104" s="18">
        <v>4885.6019999999999</v>
      </c>
      <c r="AT104" s="18">
        <v>4912.875</v>
      </c>
      <c r="AU104" s="18">
        <v>4899.6660000000002</v>
      </c>
      <c r="AV104" s="18">
        <v>4860.3860000000004</v>
      </c>
      <c r="AW104" s="18">
        <v>4824.1760000000004</v>
      </c>
      <c r="AX104" s="18">
        <v>4785.3689999999997</v>
      </c>
      <c r="AY104" s="18">
        <v>4754.3459999999995</v>
      </c>
      <c r="AZ104" s="18">
        <v>4739.2640000000001</v>
      </c>
      <c r="BA104" s="18">
        <v>4734.91</v>
      </c>
      <c r="BB104" s="18">
        <v>4723.7929999999997</v>
      </c>
      <c r="BC104" s="18">
        <v>4704.4650000000001</v>
      </c>
      <c r="BD104" s="18">
        <v>4701.0240000000003</v>
      </c>
      <c r="BE104" s="18">
        <v>4722.1239999999998</v>
      </c>
      <c r="BF104" s="18">
        <v>4755.125</v>
      </c>
      <c r="BG104" s="18">
        <v>4781.2839999999997</v>
      </c>
      <c r="BH104" s="18">
        <v>4807.4049999999997</v>
      </c>
      <c r="BI104" s="18">
        <v>4800.2860000000001</v>
      </c>
      <c r="BJ104" s="18">
        <v>4742.4690000000001</v>
      </c>
      <c r="BK104" s="18">
        <v>4649.8360000000002</v>
      </c>
      <c r="BL104" s="18">
        <v>4556.6210000000001</v>
      </c>
      <c r="BM104" s="18">
        <v>4457.0559999999996</v>
      </c>
      <c r="BN104" s="18">
        <v>4355.2569999999996</v>
      </c>
      <c r="BO104" s="18">
        <v>4257.07</v>
      </c>
      <c r="BP104" s="18">
        <v>4160.0940000000001</v>
      </c>
      <c r="BQ104" s="18">
        <v>4056.8820000000001</v>
      </c>
      <c r="BR104" s="18">
        <v>3949.873</v>
      </c>
      <c r="BS104" s="18">
        <v>3842.1320000000001</v>
      </c>
      <c r="BT104" s="18">
        <v>3734.7649999999999</v>
      </c>
      <c r="BU104" s="18">
        <v>3628.3580000000002</v>
      </c>
      <c r="BV104" s="18">
        <v>3521.2260000000001</v>
      </c>
      <c r="BW104" s="18">
        <v>3412.306</v>
      </c>
      <c r="BX104" s="18">
        <v>3312.2910000000002</v>
      </c>
      <c r="BY104" s="18">
        <v>3225.8919999999998</v>
      </c>
      <c r="BZ104" s="18">
        <v>3148.027</v>
      </c>
      <c r="CA104" s="18">
        <v>3068.0520000000001</v>
      </c>
      <c r="CB104" s="18">
        <v>2987.0830000000001</v>
      </c>
      <c r="CC104" s="18">
        <v>2904.3110000000001</v>
      </c>
      <c r="CD104" s="18">
        <v>2817.933</v>
      </c>
      <c r="CE104" s="18">
        <v>2727.7420000000002</v>
      </c>
      <c r="CF104" s="18">
        <v>2634.8629999999998</v>
      </c>
      <c r="CG104" s="18">
        <v>2538.5</v>
      </c>
      <c r="CH104" s="18">
        <v>2435.636</v>
      </c>
      <c r="CI104" s="18">
        <v>2324.6819999999998</v>
      </c>
      <c r="CJ104" s="18">
        <v>2205.9059999999999</v>
      </c>
      <c r="CK104" s="18">
        <v>2079.855</v>
      </c>
      <c r="CL104" s="18">
        <v>1974.576</v>
      </c>
      <c r="CM104" s="18">
        <v>1841.4010000000001</v>
      </c>
      <c r="CN104" s="18">
        <v>1660.297</v>
      </c>
      <c r="CO104" s="18">
        <v>1438.45</v>
      </c>
      <c r="CP104" s="18">
        <v>1244.366</v>
      </c>
      <c r="CQ104" s="18">
        <v>1125.5840000000001</v>
      </c>
      <c r="CR104" s="18">
        <v>996.32600000000002</v>
      </c>
      <c r="CS104" s="18">
        <v>817.58</v>
      </c>
      <c r="CT104" s="18">
        <v>589.34400000000005</v>
      </c>
      <c r="CU104" s="18">
        <v>501.56599999999997</v>
      </c>
      <c r="CV104" s="18">
        <v>382.22800000000001</v>
      </c>
      <c r="CW104" s="18">
        <v>238.92</v>
      </c>
      <c r="CX104" s="18">
        <v>478.95499999999998</v>
      </c>
      <c r="CY104" s="3">
        <f t="shared" si="172"/>
        <v>381776.45000000013</v>
      </c>
      <c r="CZ104" s="21">
        <f t="shared" si="88"/>
        <v>305857.29600000009</v>
      </c>
      <c r="DA104">
        <f t="shared" si="89"/>
        <v>1.4347612619971632E-2</v>
      </c>
      <c r="DB104">
        <f t="shared" si="90"/>
        <v>1.4461374823636703E-2</v>
      </c>
      <c r="DC104">
        <f t="shared" si="91"/>
        <v>1.4586864718767403E-2</v>
      </c>
      <c r="DD104">
        <f t="shared" si="92"/>
        <v>1.4716824018479515E-2</v>
      </c>
      <c r="DE104">
        <f t="shared" si="93"/>
        <v>1.4842307374613024E-2</v>
      </c>
      <c r="DF104">
        <f t="shared" si="94"/>
        <v>1.4965672095656003E-2</v>
      </c>
      <c r="DG104">
        <f t="shared" si="95"/>
        <v>1.5065398341846319E-2</v>
      </c>
      <c r="DH104">
        <f t="shared" si="96"/>
        <v>1.5130013442608866E-2</v>
      </c>
      <c r="DI104">
        <f t="shared" si="97"/>
        <v>1.5167959243319795E-2</v>
      </c>
      <c r="DJ104">
        <f t="shared" si="98"/>
        <v>1.5205149789854934E-2</v>
      </c>
      <c r="DK104">
        <f t="shared" si="99"/>
        <v>1.5243592554352531E-2</v>
      </c>
      <c r="DL104">
        <f t="shared" si="100"/>
        <v>1.5252191335661315E-2</v>
      </c>
      <c r="DM104">
        <f t="shared" si="101"/>
        <v>1.5220375844818815E-2</v>
      </c>
      <c r="DN104">
        <f t="shared" si="102"/>
        <v>1.5165193247507161E-2</v>
      </c>
      <c r="DO104">
        <f t="shared" si="103"/>
        <v>1.5113077439879016E-2</v>
      </c>
      <c r="DP104">
        <f t="shared" si="104"/>
        <v>1.5057345566803151E-2</v>
      </c>
      <c r="DQ104">
        <f t="shared" si="105"/>
        <v>1.503428906270066E-2</v>
      </c>
      <c r="DR104">
        <f t="shared" si="106"/>
        <v>1.506423113084737E-2</v>
      </c>
      <c r="DS104">
        <f t="shared" si="107"/>
        <v>1.5131684156391675E-2</v>
      </c>
      <c r="DT104">
        <f t="shared" si="108"/>
        <v>1.5191054981405442E-2</v>
      </c>
      <c r="DU104">
        <f t="shared" si="109"/>
        <v>1.5239724737512877E-2</v>
      </c>
      <c r="DV104">
        <f t="shared" si="110"/>
        <v>1.5326771868145983E-2</v>
      </c>
      <c r="DW104">
        <f t="shared" si="111"/>
        <v>1.5468262689407935E-2</v>
      </c>
      <c r="DX104">
        <f t="shared" si="112"/>
        <v>1.563718787339308E-2</v>
      </c>
      <c r="DY104">
        <f t="shared" si="113"/>
        <v>1.5799652528151558E-2</v>
      </c>
      <c r="DZ104">
        <f t="shared" si="114"/>
        <v>1.5973468882037063E-2</v>
      </c>
      <c r="EA104">
        <f t="shared" si="115"/>
        <v>1.606263791725929E-2</v>
      </c>
      <c r="EB104">
        <f t="shared" si="116"/>
        <v>1.6019451110298177E-2</v>
      </c>
      <c r="EC104">
        <f t="shared" si="117"/>
        <v>1.5891025205427824E-2</v>
      </c>
      <c r="ED104">
        <f t="shared" si="118"/>
        <v>1.5772636661248712E-2</v>
      </c>
      <c r="EE104">
        <f t="shared" si="119"/>
        <v>1.5645757229214498E-2</v>
      </c>
      <c r="EF104">
        <f t="shared" si="120"/>
        <v>1.5544327574255407E-2</v>
      </c>
      <c r="EG104">
        <f t="shared" si="121"/>
        <v>1.5495016996423059E-2</v>
      </c>
      <c r="EH104">
        <f t="shared" si="122"/>
        <v>1.5480781599533916E-2</v>
      </c>
      <c r="EI104">
        <f t="shared" si="123"/>
        <v>1.5444434583636672E-2</v>
      </c>
      <c r="EJ104">
        <f t="shared" si="124"/>
        <v>1.5381241714763603E-2</v>
      </c>
      <c r="EK104">
        <f t="shared" si="125"/>
        <v>1.5369991370093062E-2</v>
      </c>
      <c r="EL104">
        <f t="shared" si="126"/>
        <v>1.5438977790479121E-2</v>
      </c>
      <c r="EM104">
        <f t="shared" si="127"/>
        <v>1.5546874513662079E-2</v>
      </c>
      <c r="EN104">
        <f t="shared" si="128"/>
        <v>1.5632401327447813E-2</v>
      </c>
      <c r="EO104">
        <f t="shared" si="129"/>
        <v>1.5717803900286879E-2</v>
      </c>
      <c r="EP104">
        <f t="shared" si="130"/>
        <v>1.5694528339778427E-2</v>
      </c>
      <c r="EQ104">
        <f t="shared" si="131"/>
        <v>1.5505495739424828E-2</v>
      </c>
      <c r="ER104">
        <f t="shared" si="132"/>
        <v>1.5202632275935634E-2</v>
      </c>
      <c r="ES104">
        <f t="shared" si="133"/>
        <v>1.4897865964263278E-2</v>
      </c>
      <c r="ET104">
        <f t="shared" si="134"/>
        <v>1.4572338336503171E-2</v>
      </c>
      <c r="EU104">
        <f t="shared" si="135"/>
        <v>1.4239506648878497E-2</v>
      </c>
      <c r="EV104">
        <f t="shared" si="136"/>
        <v>1.3918484390184364E-2</v>
      </c>
      <c r="EW104">
        <f t="shared" si="137"/>
        <v>1.3601421494290588E-2</v>
      </c>
      <c r="EX104">
        <f t="shared" si="138"/>
        <v>1.3263970005149065E-2</v>
      </c>
      <c r="EY104">
        <f t="shared" si="139"/>
        <v>1.2914104229836645E-2</v>
      </c>
      <c r="EZ104">
        <f t="shared" si="140"/>
        <v>1.2561845181551592E-2</v>
      </c>
      <c r="FA104">
        <f t="shared" si="141"/>
        <v>1.2210808925741628E-2</v>
      </c>
      <c r="FB104">
        <f t="shared" si="142"/>
        <v>1.1862911388584299E-2</v>
      </c>
      <c r="FC104">
        <f t="shared" si="143"/>
        <v>1.1512643464944511E-2</v>
      </c>
      <c r="FD104">
        <f t="shared" si="144"/>
        <v>1.1156529677814189E-2</v>
      </c>
      <c r="FE104">
        <f t="shared" si="145"/>
        <v>1.0829530775685662E-2</v>
      </c>
      <c r="FF104">
        <f t="shared" si="146"/>
        <v>1.0547049366447021E-2</v>
      </c>
      <c r="FG104">
        <f t="shared" si="147"/>
        <v>1.0292469858230876E-2</v>
      </c>
      <c r="FH104">
        <f t="shared" si="148"/>
        <v>1.0030991707976125E-2</v>
      </c>
      <c r="FI104">
        <f t="shared" si="149"/>
        <v>9.7662636761164569E-3</v>
      </c>
      <c r="FJ104">
        <f t="shared" si="150"/>
        <v>9.4956407382873059E-3</v>
      </c>
      <c r="FK104">
        <f t="shared" si="151"/>
        <v>9.2132279885191928E-3</v>
      </c>
      <c r="FL104">
        <f t="shared" si="152"/>
        <v>8.9183486406026399E-3</v>
      </c>
      <c r="FM104">
        <f t="shared" si="153"/>
        <v>8.6146808804587055E-3</v>
      </c>
      <c r="FN104">
        <f t="shared" si="154"/>
        <v>8.2996221872045813E-3</v>
      </c>
      <c r="FO104">
        <f t="shared" si="155"/>
        <v>7.9633084835746375E-3</v>
      </c>
      <c r="FP104">
        <f t="shared" si="156"/>
        <v>7.6005445362990432E-3</v>
      </c>
      <c r="FQ104">
        <f t="shared" si="157"/>
        <v>7.2122065710016588E-3</v>
      </c>
      <c r="FR104">
        <f t="shared" si="158"/>
        <v>6.8000830034147669E-3</v>
      </c>
      <c r="FS104">
        <f t="shared" si="159"/>
        <v>6.455873460674286E-3</v>
      </c>
      <c r="FT104">
        <f t="shared" si="160"/>
        <v>6.020457985085958E-3</v>
      </c>
      <c r="FU104">
        <f t="shared" si="161"/>
        <v>5.4283387112661835E-3</v>
      </c>
      <c r="FV104">
        <f t="shared" si="162"/>
        <v>4.7030102561293804E-3</v>
      </c>
      <c r="FW104">
        <f t="shared" si="163"/>
        <v>4.0684528905270897E-3</v>
      </c>
      <c r="FX104">
        <f t="shared" si="164"/>
        <v>3.680095308238126E-3</v>
      </c>
      <c r="FY104">
        <f t="shared" si="165"/>
        <v>3.257486458652272E-3</v>
      </c>
      <c r="FZ104">
        <f t="shared" si="166"/>
        <v>2.6730766625230342E-3</v>
      </c>
      <c r="GA104">
        <f t="shared" si="167"/>
        <v>1.9268593808532196E-3</v>
      </c>
      <c r="GB104">
        <f t="shared" si="168"/>
        <v>1.6398693330500111E-3</v>
      </c>
      <c r="GC104">
        <f t="shared" si="169"/>
        <v>1.2496939095413958E-3</v>
      </c>
      <c r="GD104">
        <f t="shared" si="170"/>
        <v>7.8114860467477592E-4</v>
      </c>
      <c r="GE104">
        <f t="shared" si="171"/>
        <v>1.5659427002846446E-3</v>
      </c>
    </row>
    <row r="105" spans="1:187">
      <c r="A105" s="15">
        <v>2053</v>
      </c>
      <c r="B105" s="18">
        <v>4183.6130000000003</v>
      </c>
      <c r="C105" s="18">
        <v>4187.0870000000004</v>
      </c>
      <c r="D105" s="18">
        <v>4188.5330000000004</v>
      </c>
      <c r="E105" s="18">
        <v>4177.6080000000002</v>
      </c>
      <c r="F105" s="18">
        <v>4179.43</v>
      </c>
      <c r="G105" s="18">
        <v>4180.6549999999997</v>
      </c>
      <c r="H105" s="18">
        <v>4181.8739999999998</v>
      </c>
      <c r="I105" s="18">
        <v>4183.6710000000003</v>
      </c>
      <c r="J105" s="18">
        <v>4186.0839999999998</v>
      </c>
      <c r="K105" s="18">
        <v>4189.1530000000002</v>
      </c>
      <c r="L105" s="18">
        <v>4196.2079999999996</v>
      </c>
      <c r="M105" s="18">
        <v>4208.9350000000004</v>
      </c>
      <c r="N105" s="18">
        <v>4226.2749999999996</v>
      </c>
      <c r="O105" s="18">
        <v>4244.826</v>
      </c>
      <c r="P105" s="18">
        <v>4264.4799999999996</v>
      </c>
      <c r="Q105" s="18">
        <v>4289.2939999999999</v>
      </c>
      <c r="R105" s="18">
        <v>4320.692</v>
      </c>
      <c r="S105" s="18">
        <v>4356.6310000000003</v>
      </c>
      <c r="T105" s="18">
        <v>4392.6869999999999</v>
      </c>
      <c r="U105" s="18">
        <v>4428.5990000000002</v>
      </c>
      <c r="V105" s="18">
        <v>4465.902</v>
      </c>
      <c r="W105" s="18">
        <v>4504.5429999999997</v>
      </c>
      <c r="X105" s="18">
        <v>4542.9650000000001</v>
      </c>
      <c r="Y105" s="18">
        <v>4579.8879999999999</v>
      </c>
      <c r="Z105" s="18">
        <v>4615.8329999999996</v>
      </c>
      <c r="AA105" s="18">
        <v>4644.2650000000003</v>
      </c>
      <c r="AB105" s="18">
        <v>4661.8810000000003</v>
      </c>
      <c r="AC105" s="18">
        <v>4671.2489999999998</v>
      </c>
      <c r="AD105" s="18">
        <v>4680.0860000000002</v>
      </c>
      <c r="AE105" s="18">
        <v>4689.0550000000003</v>
      </c>
      <c r="AF105" s="18">
        <v>4689.1030000000001</v>
      </c>
      <c r="AG105" s="18">
        <v>4677.2129999999997</v>
      </c>
      <c r="AH105" s="18">
        <v>4658.4610000000002</v>
      </c>
      <c r="AI105" s="18">
        <v>4640.5770000000002</v>
      </c>
      <c r="AJ105" s="18">
        <v>4621.5749999999998</v>
      </c>
      <c r="AK105" s="18">
        <v>4612.7070000000003</v>
      </c>
      <c r="AL105" s="18">
        <v>4620.2250000000004</v>
      </c>
      <c r="AM105" s="18">
        <v>4639.3500000000004</v>
      </c>
      <c r="AN105" s="18">
        <v>4656.0479999999998</v>
      </c>
      <c r="AO105" s="18">
        <v>4669.5280000000002</v>
      </c>
      <c r="AP105" s="18">
        <v>4694.7849999999999</v>
      </c>
      <c r="AQ105" s="18">
        <v>4736.7139999999999</v>
      </c>
      <c r="AR105" s="18">
        <v>4787.0529999999999</v>
      </c>
      <c r="AS105" s="18">
        <v>4835.4449999999997</v>
      </c>
      <c r="AT105" s="18">
        <v>4887.3180000000002</v>
      </c>
      <c r="AU105" s="18">
        <v>4913.3209999999999</v>
      </c>
      <c r="AV105" s="18">
        <v>4898.8620000000001</v>
      </c>
      <c r="AW105" s="18">
        <v>4858.3329999999996</v>
      </c>
      <c r="AX105" s="18">
        <v>4820.8519999999999</v>
      </c>
      <c r="AY105" s="18">
        <v>4780.7610000000004</v>
      </c>
      <c r="AZ105" s="18">
        <v>4748.366</v>
      </c>
      <c r="BA105" s="18">
        <v>4731.79</v>
      </c>
      <c r="BB105" s="18">
        <v>4725.8440000000001</v>
      </c>
      <c r="BC105" s="18">
        <v>4713.125</v>
      </c>
      <c r="BD105" s="18">
        <v>4692.1940000000004</v>
      </c>
      <c r="BE105" s="18">
        <v>4687.0230000000001</v>
      </c>
      <c r="BF105" s="18">
        <v>4706.2160000000003</v>
      </c>
      <c r="BG105" s="18">
        <v>4737.2049999999999</v>
      </c>
      <c r="BH105" s="18">
        <v>4761.3429999999998</v>
      </c>
      <c r="BI105" s="18">
        <v>4785.3829999999998</v>
      </c>
      <c r="BJ105" s="18">
        <v>4776.3620000000001</v>
      </c>
      <c r="BK105" s="18">
        <v>4716.942</v>
      </c>
      <c r="BL105" s="18">
        <v>4622.884</v>
      </c>
      <c r="BM105" s="18">
        <v>4528.1549999999997</v>
      </c>
      <c r="BN105" s="18">
        <v>4427.0010000000002</v>
      </c>
      <c r="BO105" s="18">
        <v>4323.6049999999996</v>
      </c>
      <c r="BP105" s="18">
        <v>4223.8010000000004</v>
      </c>
      <c r="BQ105" s="18">
        <v>4125.1440000000002</v>
      </c>
      <c r="BR105" s="18">
        <v>4020.0949999999998</v>
      </c>
      <c r="BS105" s="18">
        <v>3911.0520000000001</v>
      </c>
      <c r="BT105" s="18">
        <v>3801.15</v>
      </c>
      <c r="BU105" s="18">
        <v>3691.4989999999998</v>
      </c>
      <c r="BV105" s="18">
        <v>3582.5970000000002</v>
      </c>
      <c r="BW105" s="18">
        <v>3472.6619999999998</v>
      </c>
      <c r="BX105" s="18">
        <v>3360.6439999999998</v>
      </c>
      <c r="BY105" s="18">
        <v>3256.9850000000001</v>
      </c>
      <c r="BZ105" s="18">
        <v>3166.261</v>
      </c>
      <c r="CA105" s="18">
        <v>3083.4690000000001</v>
      </c>
      <c r="CB105" s="18">
        <v>2998.308</v>
      </c>
      <c r="CC105" s="18">
        <v>2911.9720000000002</v>
      </c>
      <c r="CD105" s="18">
        <v>2822.9560000000001</v>
      </c>
      <c r="CE105" s="18">
        <v>2729.1869999999999</v>
      </c>
      <c r="CF105" s="18">
        <v>2630.8440000000001</v>
      </c>
      <c r="CG105" s="18">
        <v>2530.0839999999998</v>
      </c>
      <c r="CH105" s="18">
        <v>2426.37</v>
      </c>
      <c r="CI105" s="18">
        <v>2315.3649999999998</v>
      </c>
      <c r="CJ105" s="18">
        <v>2195.0830000000001</v>
      </c>
      <c r="CK105" s="18">
        <v>2066.6990000000001</v>
      </c>
      <c r="CL105" s="18">
        <v>1929.837</v>
      </c>
      <c r="CM105" s="18">
        <v>1824.914</v>
      </c>
      <c r="CN105" s="18">
        <v>1690.4860000000001</v>
      </c>
      <c r="CO105" s="18">
        <v>1501.5329999999999</v>
      </c>
      <c r="CP105" s="18">
        <v>1262.846</v>
      </c>
      <c r="CQ105" s="18">
        <v>1073.0630000000001</v>
      </c>
      <c r="CR105" s="18">
        <v>969.96500000000003</v>
      </c>
      <c r="CS105" s="18">
        <v>850.37099999999998</v>
      </c>
      <c r="CT105" s="18">
        <v>688.27</v>
      </c>
      <c r="CU105" s="18">
        <v>483.66300000000001</v>
      </c>
      <c r="CV105" s="18">
        <v>398.904</v>
      </c>
      <c r="CW105" s="18">
        <v>250.30799999999999</v>
      </c>
      <c r="CX105" s="18">
        <v>504.83199999999999</v>
      </c>
      <c r="CY105" s="3">
        <f t="shared" si="172"/>
        <v>382954.89</v>
      </c>
      <c r="CZ105" s="21">
        <f t="shared" si="88"/>
        <v>307009.84100000001</v>
      </c>
      <c r="DA105">
        <f t="shared" si="89"/>
        <v>1.4307968062821802E-2</v>
      </c>
      <c r="DB105">
        <f t="shared" si="90"/>
        <v>1.4424941511891144E-2</v>
      </c>
      <c r="DC105">
        <f t="shared" si="91"/>
        <v>1.454644576034942E-2</v>
      </c>
      <c r="DD105">
        <f t="shared" si="92"/>
        <v>1.4672308175293962E-2</v>
      </c>
      <c r="DE105">
        <f t="shared" si="93"/>
        <v>1.4797457258055776E-2</v>
      </c>
      <c r="DF105">
        <f t="shared" si="94"/>
        <v>1.4917723761174156E-2</v>
      </c>
      <c r="DG105">
        <f t="shared" si="95"/>
        <v>1.5034804698654593E-2</v>
      </c>
      <c r="DH105">
        <f t="shared" si="96"/>
        <v>1.5127414107875454E-2</v>
      </c>
      <c r="DI105">
        <f t="shared" si="97"/>
        <v>1.5184793376053376E-2</v>
      </c>
      <c r="DJ105">
        <f t="shared" si="98"/>
        <v>1.5215307055906391E-2</v>
      </c>
      <c r="DK105">
        <f t="shared" si="99"/>
        <v>1.5244091149508136E-2</v>
      </c>
      <c r="DL105">
        <f t="shared" si="100"/>
        <v>1.5273305196754263E-2</v>
      </c>
      <c r="DM105">
        <f t="shared" si="101"/>
        <v>1.5273461543534039E-2</v>
      </c>
      <c r="DN105">
        <f t="shared" si="102"/>
        <v>1.5234733143293603E-2</v>
      </c>
      <c r="DO105">
        <f t="shared" si="103"/>
        <v>1.517365366799431E-2</v>
      </c>
      <c r="DP105">
        <f t="shared" si="104"/>
        <v>1.5115401463629304E-2</v>
      </c>
      <c r="DQ105">
        <f t="shared" si="105"/>
        <v>1.505350768218534E-2</v>
      </c>
      <c r="DR105">
        <f t="shared" si="106"/>
        <v>1.502462261462166E-2</v>
      </c>
      <c r="DS105">
        <f t="shared" si="107"/>
        <v>1.5049110429004132E-2</v>
      </c>
      <c r="DT105">
        <f t="shared" si="108"/>
        <v>1.5111404849071272E-2</v>
      </c>
      <c r="DU105">
        <f t="shared" si="109"/>
        <v>1.5165793985085968E-2</v>
      </c>
      <c r="DV105">
        <f t="shared" si="110"/>
        <v>1.5209701372406495E-2</v>
      </c>
      <c r="DW105">
        <f t="shared" si="111"/>
        <v>1.5291969093590064E-2</v>
      </c>
      <c r="DX105">
        <f t="shared" si="112"/>
        <v>1.5428541262949286E-2</v>
      </c>
      <c r="DY105">
        <f t="shared" si="113"/>
        <v>1.5592506691015157E-2</v>
      </c>
      <c r="DZ105">
        <f t="shared" si="114"/>
        <v>1.5750130302826348E-2</v>
      </c>
      <c r="EA105">
        <f t="shared" si="115"/>
        <v>1.5919092313395909E-2</v>
      </c>
      <c r="EB105">
        <f t="shared" si="116"/>
        <v>1.6003789924115167E-2</v>
      </c>
      <c r="EC105">
        <f t="shared" si="117"/>
        <v>1.5956693713932119E-2</v>
      </c>
      <c r="ED105">
        <f t="shared" si="118"/>
        <v>1.5824681658983042E-2</v>
      </c>
      <c r="EE105">
        <f t="shared" si="119"/>
        <v>1.5702597624549761E-2</v>
      </c>
      <c r="EF105">
        <f t="shared" si="120"/>
        <v>1.5572012233966143E-2</v>
      </c>
      <c r="EG105">
        <f t="shared" si="121"/>
        <v>1.5466494443739997E-2</v>
      </c>
      <c r="EH105">
        <f t="shared" si="122"/>
        <v>1.5412502689123897E-2</v>
      </c>
      <c r="EI105">
        <f t="shared" si="123"/>
        <v>1.53931352317791E-2</v>
      </c>
      <c r="EJ105">
        <f t="shared" si="124"/>
        <v>1.5351706592362945E-2</v>
      </c>
      <c r="EK105">
        <f t="shared" si="125"/>
        <v>1.5283529624706721E-2</v>
      </c>
      <c r="EL105">
        <f t="shared" si="126"/>
        <v>1.5266686516410397E-2</v>
      </c>
      <c r="EM105">
        <f t="shared" si="127"/>
        <v>1.5329202427748888E-2</v>
      </c>
      <c r="EN105">
        <f t="shared" si="128"/>
        <v>1.5430140560217416E-2</v>
      </c>
      <c r="EO105">
        <f t="shared" si="129"/>
        <v>1.5508763447097449E-2</v>
      </c>
      <c r="EP105">
        <f t="shared" si="130"/>
        <v>1.5587067125968771E-2</v>
      </c>
      <c r="EQ105">
        <f t="shared" si="131"/>
        <v>1.5557683703044554E-2</v>
      </c>
      <c r="ER105">
        <f t="shared" si="132"/>
        <v>1.5364139418579744E-2</v>
      </c>
      <c r="ES105">
        <f t="shared" si="133"/>
        <v>1.5057771389158824E-2</v>
      </c>
      <c r="ET105">
        <f t="shared" si="134"/>
        <v>1.4749217762045613E-2</v>
      </c>
      <c r="EU105">
        <f t="shared" si="135"/>
        <v>1.4419736467014424E-2</v>
      </c>
      <c r="EV105">
        <f t="shared" si="136"/>
        <v>1.4082952474477843E-2</v>
      </c>
      <c r="EW105">
        <f t="shared" si="137"/>
        <v>1.3757868432627865E-2</v>
      </c>
      <c r="EX105">
        <f t="shared" si="138"/>
        <v>1.3436520427369623E-2</v>
      </c>
      <c r="EY105">
        <f t="shared" si="139"/>
        <v>1.3094352242604496E-2</v>
      </c>
      <c r="EZ105">
        <f t="shared" si="140"/>
        <v>1.2739174702872147E-2</v>
      </c>
      <c r="FA105">
        <f t="shared" si="141"/>
        <v>1.2381199207226716E-2</v>
      </c>
      <c r="FB105">
        <f t="shared" si="142"/>
        <v>1.202404127495053E-2</v>
      </c>
      <c r="FC105">
        <f t="shared" si="143"/>
        <v>1.1669323003883774E-2</v>
      </c>
      <c r="FD105">
        <f t="shared" si="144"/>
        <v>1.1311240019827246E-2</v>
      </c>
      <c r="FE105">
        <f t="shared" si="145"/>
        <v>1.0946372236973341E-2</v>
      </c>
      <c r="FF105">
        <f t="shared" si="146"/>
        <v>1.0608731594372572E-2</v>
      </c>
      <c r="FG105">
        <f t="shared" si="147"/>
        <v>1.0313223151696952E-2</v>
      </c>
      <c r="FH105">
        <f t="shared" si="148"/>
        <v>1.0043551014379372E-2</v>
      </c>
      <c r="FI105">
        <f t="shared" si="149"/>
        <v>9.7661625120349146E-3</v>
      </c>
      <c r="FJ105">
        <f t="shared" si="150"/>
        <v>9.4849467708105172E-3</v>
      </c>
      <c r="FK105">
        <f t="shared" si="151"/>
        <v>9.1950016677152697E-3</v>
      </c>
      <c r="FL105">
        <f t="shared" si="152"/>
        <v>8.8895749761975871E-3</v>
      </c>
      <c r="FM105">
        <f t="shared" si="153"/>
        <v>8.5692497394570487E-3</v>
      </c>
      <c r="FN105">
        <f t="shared" si="154"/>
        <v>8.2410517909098542E-3</v>
      </c>
      <c r="FO105">
        <f t="shared" si="155"/>
        <v>7.9032320009572582E-3</v>
      </c>
      <c r="FP105">
        <f t="shared" si="156"/>
        <v>7.5416637866015492E-3</v>
      </c>
      <c r="FQ105">
        <f t="shared" si="157"/>
        <v>7.1498782998294834E-3</v>
      </c>
      <c r="FR105">
        <f t="shared" si="158"/>
        <v>6.731702779520999E-3</v>
      </c>
      <c r="FS105">
        <f t="shared" si="159"/>
        <v>6.2859125092345159E-3</v>
      </c>
      <c r="FT105">
        <f t="shared" si="160"/>
        <v>5.9441547347663035E-3</v>
      </c>
      <c r="FU105">
        <f t="shared" si="161"/>
        <v>5.5062925491043135E-3</v>
      </c>
      <c r="FV105">
        <f t="shared" si="162"/>
        <v>4.8908301932901223E-3</v>
      </c>
      <c r="FW105">
        <f t="shared" si="163"/>
        <v>4.1133730302801595E-3</v>
      </c>
      <c r="FX105">
        <f t="shared" si="164"/>
        <v>3.49520717806567E-3</v>
      </c>
      <c r="FY105">
        <f t="shared" si="165"/>
        <v>3.1593938384535366E-3</v>
      </c>
      <c r="FZ105">
        <f t="shared" si="166"/>
        <v>2.7698493221915968E-3</v>
      </c>
      <c r="GA105">
        <f t="shared" si="167"/>
        <v>2.2418499607639612E-3</v>
      </c>
      <c r="GB105">
        <f t="shared" si="168"/>
        <v>1.575399011395208E-3</v>
      </c>
      <c r="GC105">
        <f t="shared" si="169"/>
        <v>1.2993199133313775E-3</v>
      </c>
      <c r="GD105">
        <f t="shared" si="170"/>
        <v>8.1530936983873425E-4</v>
      </c>
      <c r="GE105">
        <f t="shared" si="171"/>
        <v>1.6443511985011581E-3</v>
      </c>
    </row>
    <row r="106" spans="1:187">
      <c r="A106" s="15">
        <v>2054</v>
      </c>
      <c r="B106" s="18">
        <v>4197.3919999999998</v>
      </c>
      <c r="C106" s="18">
        <v>4198.8379999999997</v>
      </c>
      <c r="D106" s="18">
        <v>4198.2749999999996</v>
      </c>
      <c r="E106" s="18">
        <v>4196.2709999999997</v>
      </c>
      <c r="F106" s="18">
        <v>4186.9690000000001</v>
      </c>
      <c r="G106" s="18">
        <v>4185.5720000000001</v>
      </c>
      <c r="H106" s="18">
        <v>4184.3180000000002</v>
      </c>
      <c r="I106" s="18">
        <v>4183.8029999999999</v>
      </c>
      <c r="J106" s="18">
        <v>4184.6260000000002</v>
      </c>
      <c r="K106" s="18">
        <v>4186.6480000000001</v>
      </c>
      <c r="L106" s="18">
        <v>4189.7359999999999</v>
      </c>
      <c r="M106" s="18">
        <v>4198.1469999999999</v>
      </c>
      <c r="N106" s="18">
        <v>4213.9399999999996</v>
      </c>
      <c r="O106" s="18">
        <v>4235.5169999999998</v>
      </c>
      <c r="P106" s="18">
        <v>4258.402</v>
      </c>
      <c r="Q106" s="18">
        <v>4282.51</v>
      </c>
      <c r="R106" s="18">
        <v>4311.8410000000003</v>
      </c>
      <c r="S106" s="18">
        <v>4347.6210000000001</v>
      </c>
      <c r="T106" s="18">
        <v>4387.6729999999998</v>
      </c>
      <c r="U106" s="18">
        <v>4427.7539999999999</v>
      </c>
      <c r="V106" s="18">
        <v>4467.7060000000001</v>
      </c>
      <c r="W106" s="18">
        <v>4507.51</v>
      </c>
      <c r="X106" s="18">
        <v>4546.3990000000003</v>
      </c>
      <c r="Y106" s="18">
        <v>4583.4840000000004</v>
      </c>
      <c r="Z106" s="18">
        <v>4618.9399999999996</v>
      </c>
      <c r="AA106" s="18">
        <v>4653.0879999999997</v>
      </c>
      <c r="AB106" s="18">
        <v>4679.4440000000004</v>
      </c>
      <c r="AC106" s="18">
        <v>4694.9080000000004</v>
      </c>
      <c r="AD106" s="18">
        <v>4702.0349999999999</v>
      </c>
      <c r="AE106" s="18">
        <v>4708.3320000000003</v>
      </c>
      <c r="AF106" s="18">
        <v>4714.509</v>
      </c>
      <c r="AG106" s="18">
        <v>4711.9780000000001</v>
      </c>
      <c r="AH106" s="18">
        <v>4697.93</v>
      </c>
      <c r="AI106" s="18">
        <v>4677.3100000000004</v>
      </c>
      <c r="AJ106" s="18">
        <v>4657.4870000000001</v>
      </c>
      <c r="AK106" s="18">
        <v>4636.5339999999997</v>
      </c>
      <c r="AL106" s="18">
        <v>4625.8519999999999</v>
      </c>
      <c r="AM106" s="18">
        <v>4631.7299999999996</v>
      </c>
      <c r="AN106" s="18">
        <v>4649.3429999999998</v>
      </c>
      <c r="AO106" s="18">
        <v>4664.5770000000002</v>
      </c>
      <c r="AP106" s="18">
        <v>4676.6459999999997</v>
      </c>
      <c r="AQ106" s="18">
        <v>4700.5290000000005</v>
      </c>
      <c r="AR106" s="18">
        <v>4741.1000000000004</v>
      </c>
      <c r="AS106" s="18">
        <v>4790.1000000000004</v>
      </c>
      <c r="AT106" s="18">
        <v>4837.1779999999999</v>
      </c>
      <c r="AU106" s="18">
        <v>4887.7470000000003</v>
      </c>
      <c r="AV106" s="18">
        <v>4912.4750000000004</v>
      </c>
      <c r="AW106" s="18">
        <v>4896.7700000000004</v>
      </c>
      <c r="AX106" s="18">
        <v>4855.0010000000002</v>
      </c>
      <c r="AY106" s="18">
        <v>4816.2610000000004</v>
      </c>
      <c r="AZ106" s="18">
        <v>4774.8940000000002</v>
      </c>
      <c r="BA106" s="18">
        <v>4741.1369999999997</v>
      </c>
      <c r="BB106" s="18">
        <v>4723.0709999999999</v>
      </c>
      <c r="BC106" s="18">
        <v>4715.5360000000001</v>
      </c>
      <c r="BD106" s="18">
        <v>4701.2179999999998</v>
      </c>
      <c r="BE106" s="18">
        <v>4678.6899999999996</v>
      </c>
      <c r="BF106" s="18">
        <v>4671.7889999999998</v>
      </c>
      <c r="BG106" s="18">
        <v>4689.0709999999999</v>
      </c>
      <c r="BH106" s="18">
        <v>4718.0420000000004</v>
      </c>
      <c r="BI106" s="18">
        <v>4740.1509999999998</v>
      </c>
      <c r="BJ106" s="18">
        <v>4762.1040000000003</v>
      </c>
      <c r="BK106" s="18">
        <v>4751.1840000000002</v>
      </c>
      <c r="BL106" s="18">
        <v>4690.1760000000004</v>
      </c>
      <c r="BM106" s="18">
        <v>4594.7179999999998</v>
      </c>
      <c r="BN106" s="18">
        <v>4498.5</v>
      </c>
      <c r="BO106" s="18">
        <v>4395.7839999999997</v>
      </c>
      <c r="BP106" s="18">
        <v>4290.817</v>
      </c>
      <c r="BQ106" s="18">
        <v>4189.424</v>
      </c>
      <c r="BR106" s="18">
        <v>4089.11</v>
      </c>
      <c r="BS106" s="18">
        <v>3982.2510000000002</v>
      </c>
      <c r="BT106" s="18">
        <v>3871.2040000000002</v>
      </c>
      <c r="BU106" s="18">
        <v>3759.17</v>
      </c>
      <c r="BV106" s="18">
        <v>3647.2620000000002</v>
      </c>
      <c r="BW106" s="18">
        <v>3535.8939999999998</v>
      </c>
      <c r="BX106" s="18">
        <v>3423.1860000000001</v>
      </c>
      <c r="BY106" s="18">
        <v>3308.098</v>
      </c>
      <c r="BZ106" s="18">
        <v>3200.8240000000001</v>
      </c>
      <c r="CA106" s="18">
        <v>3105.799</v>
      </c>
      <c r="CB106" s="18">
        <v>3018.1030000000001</v>
      </c>
      <c r="CC106" s="18">
        <v>2927.779</v>
      </c>
      <c r="CD106" s="18">
        <v>2836.0990000000002</v>
      </c>
      <c r="CE106" s="18">
        <v>2740.8620000000001</v>
      </c>
      <c r="CF106" s="18">
        <v>2639.7280000000001</v>
      </c>
      <c r="CG106" s="18">
        <v>2533.259</v>
      </c>
      <c r="CH106" s="18">
        <v>2424.6469999999999</v>
      </c>
      <c r="CI106" s="18">
        <v>2313.61</v>
      </c>
      <c r="CJ106" s="18">
        <v>2194.4960000000001</v>
      </c>
      <c r="CK106" s="18">
        <v>2064.9160000000002</v>
      </c>
      <c r="CL106" s="18">
        <v>1926.9590000000001</v>
      </c>
      <c r="CM106" s="18">
        <v>1779.3240000000001</v>
      </c>
      <c r="CN106" s="18">
        <v>1674.7850000000001</v>
      </c>
      <c r="CO106" s="18">
        <v>1539.14</v>
      </c>
      <c r="CP106" s="18">
        <v>1342.3889999999999</v>
      </c>
      <c r="CQ106" s="18">
        <v>1086.9259999999999</v>
      </c>
      <c r="CR106" s="18">
        <v>901.49599999999998</v>
      </c>
      <c r="CS106" s="18">
        <v>814.10599999999999</v>
      </c>
      <c r="CT106" s="18">
        <v>704.20600000000002</v>
      </c>
      <c r="CU106" s="18">
        <v>558.79200000000003</v>
      </c>
      <c r="CV106" s="18">
        <v>377.86599999999999</v>
      </c>
      <c r="CW106" s="18">
        <v>261.41000000000003</v>
      </c>
      <c r="CX106" s="18">
        <v>530.98500000000001</v>
      </c>
      <c r="CY106" s="3">
        <f t="shared" si="172"/>
        <v>384139.7429999999</v>
      </c>
      <c r="CZ106" s="21">
        <f t="shared" si="88"/>
        <v>308199.31699999986</v>
      </c>
      <c r="DA106">
        <f t="shared" si="89"/>
        <v>1.4236478661631823E-2</v>
      </c>
      <c r="DB106">
        <f t="shared" si="90"/>
        <v>1.436652761952747E-2</v>
      </c>
      <c r="DC106">
        <f t="shared" si="91"/>
        <v>1.449615801711852E-2</v>
      </c>
      <c r="DD106">
        <f t="shared" si="92"/>
        <v>1.4625308205988017E-2</v>
      </c>
      <c r="DE106">
        <f t="shared" si="93"/>
        <v>1.475148953688305E-2</v>
      </c>
      <c r="DF106">
        <f t="shared" si="94"/>
        <v>1.4871817512820778E-2</v>
      </c>
      <c r="DG106">
        <f t="shared" si="95"/>
        <v>1.4986859948167898E-2</v>
      </c>
      <c r="DH106">
        <f t="shared" si="96"/>
        <v>1.5097658376705623E-2</v>
      </c>
      <c r="DI106">
        <f t="shared" si="97"/>
        <v>1.5183174464984302E-2</v>
      </c>
      <c r="DJ106">
        <f t="shared" si="98"/>
        <v>1.5233349787079516E-2</v>
      </c>
      <c r="DK106">
        <f t="shared" si="99"/>
        <v>1.5256474432745099E-2</v>
      </c>
      <c r="DL106">
        <f t="shared" si="100"/>
        <v>1.5276906015985761E-2</v>
      </c>
      <c r="DM106">
        <f t="shared" si="101"/>
        <v>1.5296948240803538E-2</v>
      </c>
      <c r="DN106">
        <f t="shared" si="102"/>
        <v>1.5288736022734282E-2</v>
      </c>
      <c r="DO106">
        <f t="shared" si="103"/>
        <v>1.524315513002906E-2</v>
      </c>
      <c r="DP106">
        <f t="shared" si="104"/>
        <v>1.5176250374364075E-2</v>
      </c>
      <c r="DQ106">
        <f t="shared" si="105"/>
        <v>1.5111931607557723E-2</v>
      </c>
      <c r="DR106">
        <f t="shared" si="106"/>
        <v>1.5043946382269243E-2</v>
      </c>
      <c r="DS106">
        <f t="shared" si="107"/>
        <v>1.5009286993325823E-2</v>
      </c>
      <c r="DT106">
        <f t="shared" si="108"/>
        <v>1.5028359066739922E-2</v>
      </c>
      <c r="DU106">
        <f t="shared" si="109"/>
        <v>1.5085507149258225E-2</v>
      </c>
      <c r="DV106">
        <f t="shared" si="110"/>
        <v>1.5134936201042918E-2</v>
      </c>
      <c r="DW106">
        <f t="shared" si="111"/>
        <v>1.5174095924424135E-2</v>
      </c>
      <c r="DX106">
        <f t="shared" si="112"/>
        <v>1.525158798453795E-2</v>
      </c>
      <c r="DY106">
        <f t="shared" si="113"/>
        <v>1.5383226822660358E-2</v>
      </c>
      <c r="DZ106">
        <f t="shared" si="114"/>
        <v>1.5542214845336605E-2</v>
      </c>
      <c r="EA106">
        <f t="shared" si="115"/>
        <v>1.5694966643939715E-2</v>
      </c>
      <c r="EB106">
        <f t="shared" si="116"/>
        <v>1.5859045527995125E-2</v>
      </c>
      <c r="EC106">
        <f t="shared" si="117"/>
        <v>1.5939279320336723E-2</v>
      </c>
      <c r="ED106">
        <f t="shared" si="118"/>
        <v>1.5888322036742224E-2</v>
      </c>
      <c r="EE106">
        <f t="shared" si="119"/>
        <v>1.5752796103698057E-2</v>
      </c>
      <c r="EF106">
        <f t="shared" si="120"/>
        <v>1.5627098226178103E-2</v>
      </c>
      <c r="EG106">
        <f t="shared" si="121"/>
        <v>1.5492876643850585E-2</v>
      </c>
      <c r="EH106">
        <f t="shared" si="122"/>
        <v>1.5383346874840744E-2</v>
      </c>
      <c r="EI106">
        <f t="shared" si="123"/>
        <v>1.532472896427607E-2</v>
      </c>
      <c r="EJ106">
        <f t="shared" si="124"/>
        <v>1.5300280499972691E-2</v>
      </c>
      <c r="EK106">
        <f t="shared" si="125"/>
        <v>1.5253823550815986E-2</v>
      </c>
      <c r="EL106">
        <f t="shared" si="126"/>
        <v>1.5180727996227199E-2</v>
      </c>
      <c r="EM106">
        <f t="shared" si="127"/>
        <v>1.5158336642258042E-2</v>
      </c>
      <c r="EN106">
        <f t="shared" si="128"/>
        <v>1.5214410744459898E-2</v>
      </c>
      <c r="EO106">
        <f t="shared" si="129"/>
        <v>1.5308411601703849E-2</v>
      </c>
      <c r="EP106">
        <f t="shared" si="130"/>
        <v>1.5380147646466075E-2</v>
      </c>
      <c r="EQ106">
        <f t="shared" si="131"/>
        <v>1.5451377525278559E-2</v>
      </c>
      <c r="ER106">
        <f t="shared" si="132"/>
        <v>1.5415945908796424E-2</v>
      </c>
      <c r="ES106">
        <f t="shared" si="133"/>
        <v>1.5217996086603925E-2</v>
      </c>
      <c r="ET106">
        <f t="shared" si="134"/>
        <v>1.4908267950509448E-2</v>
      </c>
      <c r="EU106">
        <f t="shared" si="135"/>
        <v>1.4596073877736732E-2</v>
      </c>
      <c r="EV106">
        <f t="shared" si="136"/>
        <v>1.4262796046365028E-2</v>
      </c>
      <c r="EW106">
        <f t="shared" si="137"/>
        <v>1.392221449991079E-2</v>
      </c>
      <c r="EX106">
        <f t="shared" si="138"/>
        <v>1.3593229345151345E-2</v>
      </c>
      <c r="EY106">
        <f t="shared" si="139"/>
        <v>1.3267745171544302E-2</v>
      </c>
      <c r="EZ106">
        <f t="shared" si="140"/>
        <v>1.2921024740622646E-2</v>
      </c>
      <c r="FA106">
        <f t="shared" si="141"/>
        <v>1.2560715700742457E-2</v>
      </c>
      <c r="FB106">
        <f t="shared" si="142"/>
        <v>1.2197204187834076E-2</v>
      </c>
      <c r="FC106">
        <f t="shared" si="143"/>
        <v>1.1834101501269718E-2</v>
      </c>
      <c r="FD106">
        <f t="shared" si="144"/>
        <v>1.1472750927608322E-2</v>
      </c>
      <c r="FE106">
        <f t="shared" si="145"/>
        <v>1.1107052518224763E-2</v>
      </c>
      <c r="FF106">
        <f t="shared" si="146"/>
        <v>1.0733631833454068E-2</v>
      </c>
      <c r="FG106">
        <f t="shared" si="147"/>
        <v>1.038556487131995E-2</v>
      </c>
      <c r="FH106">
        <f t="shared" si="148"/>
        <v>1.0077241670201369E-2</v>
      </c>
      <c r="FI106">
        <f t="shared" si="149"/>
        <v>9.7926985347602229E-3</v>
      </c>
      <c r="FJ106">
        <f t="shared" si="150"/>
        <v>9.4996284498579907E-3</v>
      </c>
      <c r="FK106">
        <f t="shared" si="151"/>
        <v>9.2021586147772068E-3</v>
      </c>
      <c r="FL106">
        <f t="shared" si="152"/>
        <v>8.8931475471115372E-3</v>
      </c>
      <c r="FM106">
        <f t="shared" si="153"/>
        <v>8.5650027576148115E-3</v>
      </c>
      <c r="FN106">
        <f t="shared" si="154"/>
        <v>8.2195477415675164E-3</v>
      </c>
      <c r="FO106">
        <f t="shared" si="155"/>
        <v>7.8671394330182796E-3</v>
      </c>
      <c r="FP106">
        <f t="shared" si="156"/>
        <v>7.5068628396733313E-3</v>
      </c>
      <c r="FQ106">
        <f t="shared" si="157"/>
        <v>7.1203791798149932E-3</v>
      </c>
      <c r="FR106">
        <f t="shared" si="158"/>
        <v>6.6999369761744183E-3</v>
      </c>
      <c r="FS106">
        <f t="shared" si="159"/>
        <v>6.2523143099632531E-3</v>
      </c>
      <c r="FT106">
        <f t="shared" si="160"/>
        <v>5.7732898869467669E-3</v>
      </c>
      <c r="FU106">
        <f t="shared" si="161"/>
        <v>5.4340970522008033E-3</v>
      </c>
      <c r="FV106">
        <f t="shared" si="162"/>
        <v>4.9939760249371372E-3</v>
      </c>
      <c r="FW106">
        <f t="shared" si="163"/>
        <v>4.3555871994356184E-3</v>
      </c>
      <c r="FX106">
        <f t="shared" si="164"/>
        <v>3.5266982762327159E-3</v>
      </c>
      <c r="FY106">
        <f t="shared" si="165"/>
        <v>2.9250421732764592E-3</v>
      </c>
      <c r="FZ106">
        <f t="shared" si="166"/>
        <v>2.6414919018136578E-3</v>
      </c>
      <c r="GA106">
        <f t="shared" si="167"/>
        <v>2.2849044795255026E-3</v>
      </c>
      <c r="GB106">
        <f t="shared" si="168"/>
        <v>1.8130864319858316E-3</v>
      </c>
      <c r="GC106">
        <f t="shared" si="169"/>
        <v>1.2260442485016933E-3</v>
      </c>
      <c r="GD106">
        <f t="shared" si="170"/>
        <v>8.4818487771016094E-4</v>
      </c>
      <c r="GE106">
        <f t="shared" si="171"/>
        <v>1.7228623514438232E-3</v>
      </c>
    </row>
    <row r="107" spans="1:187">
      <c r="A107" s="15">
        <v>2055</v>
      </c>
      <c r="B107" s="18">
        <v>4209.9179999999997</v>
      </c>
      <c r="C107" s="18">
        <v>4209.9949999999999</v>
      </c>
      <c r="D107" s="18">
        <v>4207.9219999999996</v>
      </c>
      <c r="E107" s="18">
        <v>4204.3040000000001</v>
      </c>
      <c r="F107" s="18">
        <v>4199.7489999999998</v>
      </c>
      <c r="G107" s="18">
        <v>4194.8630000000003</v>
      </c>
      <c r="H107" s="18">
        <v>4190.2510000000002</v>
      </c>
      <c r="I107" s="18">
        <v>4186.518</v>
      </c>
      <c r="J107" s="18">
        <v>4184.2730000000001</v>
      </c>
      <c r="K107" s="18">
        <v>4184.1210000000001</v>
      </c>
      <c r="L107" s="18">
        <v>4185.7510000000002</v>
      </c>
      <c r="M107" s="18">
        <v>4188.8590000000004</v>
      </c>
      <c r="N107" s="18">
        <v>4198.62</v>
      </c>
      <c r="O107" s="18">
        <v>4217.4719999999998</v>
      </c>
      <c r="P107" s="18">
        <v>4243.2759999999998</v>
      </c>
      <c r="Q107" s="18">
        <v>4270.4830000000002</v>
      </c>
      <c r="R107" s="18">
        <v>4299.0339999999997</v>
      </c>
      <c r="S107" s="18">
        <v>4332.8680000000004</v>
      </c>
      <c r="T107" s="18">
        <v>4373.0150000000003</v>
      </c>
      <c r="U107" s="18">
        <v>4417.1620000000003</v>
      </c>
      <c r="V107" s="18">
        <v>4461.2520000000004</v>
      </c>
      <c r="W107" s="18">
        <v>4505.2250000000004</v>
      </c>
      <c r="X107" s="18">
        <v>4547.5140000000001</v>
      </c>
      <c r="Y107" s="18">
        <v>4586.6350000000002</v>
      </c>
      <c r="Z107" s="18">
        <v>4622.3710000000001</v>
      </c>
      <c r="AA107" s="18">
        <v>4656.3509999999997</v>
      </c>
      <c r="AB107" s="18">
        <v>4688.6899999999996</v>
      </c>
      <c r="AC107" s="18">
        <v>4712.9639999999999</v>
      </c>
      <c r="AD107" s="18">
        <v>4726.2700000000004</v>
      </c>
      <c r="AE107" s="18">
        <v>4731.1559999999999</v>
      </c>
      <c r="AF107" s="18">
        <v>4734.9139999999998</v>
      </c>
      <c r="AG107" s="18">
        <v>4738.2979999999998</v>
      </c>
      <c r="AH107" s="18">
        <v>4733.1890000000003</v>
      </c>
      <c r="AI107" s="18">
        <v>4716.991</v>
      </c>
      <c r="AJ107" s="18">
        <v>4694.51</v>
      </c>
      <c r="AK107" s="18">
        <v>4672.7569999999996</v>
      </c>
      <c r="AL107" s="18">
        <v>4649.8599999999997</v>
      </c>
      <c r="AM107" s="18">
        <v>4637.37</v>
      </c>
      <c r="AN107" s="18">
        <v>4641.6059999999998</v>
      </c>
      <c r="AO107" s="18">
        <v>4657.7039999999997</v>
      </c>
      <c r="AP107" s="18">
        <v>4671.4679999999998</v>
      </c>
      <c r="AQ107" s="18">
        <v>4682.1239999999998</v>
      </c>
      <c r="AR107" s="18">
        <v>4704.6260000000002</v>
      </c>
      <c r="AS107" s="18">
        <v>4743.826</v>
      </c>
      <c r="AT107" s="18">
        <v>4791.47</v>
      </c>
      <c r="AU107" s="18">
        <v>4837.22</v>
      </c>
      <c r="AV107" s="18">
        <v>4886.4690000000001</v>
      </c>
      <c r="AW107" s="18">
        <v>4909.9120000000003</v>
      </c>
      <c r="AX107" s="18">
        <v>4892.9679999999998</v>
      </c>
      <c r="AY107" s="18">
        <v>4849.9759999999997</v>
      </c>
      <c r="AZ107" s="18">
        <v>4809.99</v>
      </c>
      <c r="BA107" s="18">
        <v>4767.3630000000003</v>
      </c>
      <c r="BB107" s="18">
        <v>4732.2560000000003</v>
      </c>
      <c r="BC107" s="18">
        <v>4712.7079999999996</v>
      </c>
      <c r="BD107" s="18">
        <v>4703.5879999999997</v>
      </c>
      <c r="BE107" s="18">
        <v>4687.6750000000002</v>
      </c>
      <c r="BF107" s="18">
        <v>4663.5609999999997</v>
      </c>
      <c r="BG107" s="18">
        <v>4654.9319999999998</v>
      </c>
      <c r="BH107" s="18">
        <v>4670.299</v>
      </c>
      <c r="BI107" s="18">
        <v>4697.2430000000004</v>
      </c>
      <c r="BJ107" s="18">
        <v>4717.317</v>
      </c>
      <c r="BK107" s="18">
        <v>4737.1779999999999</v>
      </c>
      <c r="BL107" s="18">
        <v>4724.3639999999996</v>
      </c>
      <c r="BM107" s="18">
        <v>4661.7889999999998</v>
      </c>
      <c r="BN107" s="18">
        <v>4564.9650000000001</v>
      </c>
      <c r="BO107" s="18">
        <v>4467.2910000000002</v>
      </c>
      <c r="BP107" s="18">
        <v>4363.0519999999997</v>
      </c>
      <c r="BQ107" s="18">
        <v>4256.5519999999997</v>
      </c>
      <c r="BR107" s="18">
        <v>4153.6040000000003</v>
      </c>
      <c r="BS107" s="18">
        <v>4051.67</v>
      </c>
      <c r="BT107" s="18">
        <v>3943.0390000000002</v>
      </c>
      <c r="BU107" s="18">
        <v>3830.027</v>
      </c>
      <c r="BV107" s="18">
        <v>3715.9</v>
      </c>
      <c r="BW107" s="18">
        <v>3601.7759999999998</v>
      </c>
      <c r="BX107" s="18">
        <v>3487.9830000000002</v>
      </c>
      <c r="BY107" s="18">
        <v>3372.5419999999999</v>
      </c>
      <c r="BZ107" s="18">
        <v>3254.4279999999999</v>
      </c>
      <c r="CA107" s="18">
        <v>3143.5770000000002</v>
      </c>
      <c r="CB107" s="18">
        <v>3044.288</v>
      </c>
      <c r="CC107" s="18">
        <v>2951.721</v>
      </c>
      <c r="CD107" s="18">
        <v>2856.268</v>
      </c>
      <c r="CE107" s="18">
        <v>2759.2820000000002</v>
      </c>
      <c r="CF107" s="18">
        <v>2657.86</v>
      </c>
      <c r="CG107" s="18">
        <v>2549.4029999999998</v>
      </c>
      <c r="CH107" s="18">
        <v>2434.8519999999999</v>
      </c>
      <c r="CI107" s="18">
        <v>2318.4319999999998</v>
      </c>
      <c r="CJ107" s="18">
        <v>2200.116</v>
      </c>
      <c r="CK107" s="18">
        <v>2072.94</v>
      </c>
      <c r="CL107" s="18">
        <v>1934.117</v>
      </c>
      <c r="CM107" s="18">
        <v>1786.6410000000001</v>
      </c>
      <c r="CN107" s="18">
        <v>1628.2929999999999</v>
      </c>
      <c r="CO107" s="18">
        <v>1524.173</v>
      </c>
      <c r="CP107" s="18">
        <v>1387.36</v>
      </c>
      <c r="CQ107" s="18">
        <v>1182.885</v>
      </c>
      <c r="CR107" s="18">
        <v>910.75099999999998</v>
      </c>
      <c r="CS107" s="18">
        <v>729.73500000000001</v>
      </c>
      <c r="CT107" s="18">
        <v>658.07399999999996</v>
      </c>
      <c r="CU107" s="18">
        <v>557.899</v>
      </c>
      <c r="CV107" s="18">
        <v>429.21300000000002</v>
      </c>
      <c r="CW107" s="18">
        <v>272.01299999999998</v>
      </c>
      <c r="CX107" s="18">
        <v>557.72799999999995</v>
      </c>
      <c r="CY107" s="3">
        <f t="shared" si="172"/>
        <v>385334.85300000006</v>
      </c>
      <c r="CZ107" s="21">
        <f t="shared" si="88"/>
        <v>309426.57599999988</v>
      </c>
      <c r="DA107">
        <f t="shared" si="89"/>
        <v>1.4132641922780421E-2</v>
      </c>
      <c r="DB107">
        <f t="shared" si="90"/>
        <v>1.4275315511360607E-2</v>
      </c>
      <c r="DC107">
        <f t="shared" si="91"/>
        <v>1.4417804888226544E-2</v>
      </c>
      <c r="DD107">
        <f t="shared" si="92"/>
        <v>1.4559916146310593E-2</v>
      </c>
      <c r="DE107">
        <f t="shared" si="93"/>
        <v>1.4696585079363066E-2</v>
      </c>
      <c r="DF107">
        <f t="shared" si="94"/>
        <v>1.4823015719244497E-2</v>
      </c>
      <c r="DG107">
        <f t="shared" si="95"/>
        <v>1.4938506768726942E-2</v>
      </c>
      <c r="DH107">
        <f t="shared" si="96"/>
        <v>1.5048322804696651E-2</v>
      </c>
      <c r="DI107">
        <f t="shared" si="97"/>
        <v>1.5152835482366588E-2</v>
      </c>
      <c r="DJ107">
        <f t="shared" si="98"/>
        <v>1.5231283818362137E-2</v>
      </c>
      <c r="DK107">
        <f t="shared" si="99"/>
        <v>1.5274285942394302E-2</v>
      </c>
      <c r="DL107">
        <f t="shared" si="100"/>
        <v>1.529007644126858E-2</v>
      </c>
      <c r="DM107">
        <f t="shared" si="101"/>
        <v>1.530222148727135E-2</v>
      </c>
      <c r="DN107">
        <f t="shared" si="102"/>
        <v>1.5313157845885874E-2</v>
      </c>
      <c r="DO107">
        <f t="shared" si="103"/>
        <v>1.5296646659076893E-2</v>
      </c>
      <c r="DP107">
        <f t="shared" si="104"/>
        <v>1.5244298214384798E-2</v>
      </c>
      <c r="DQ107">
        <f t="shared" si="105"/>
        <v>1.5171644467927027E-2</v>
      </c>
      <c r="DR107">
        <f t="shared" si="106"/>
        <v>1.5101343460556541E-2</v>
      </c>
      <c r="DS107">
        <f t="shared" si="107"/>
        <v>1.5027345291763179E-2</v>
      </c>
      <c r="DT107">
        <f t="shared" si="108"/>
        <v>1.4986980303850829E-2</v>
      </c>
      <c r="DU107">
        <f t="shared" si="109"/>
        <v>1.5000670142825747E-2</v>
      </c>
      <c r="DV107">
        <f t="shared" si="110"/>
        <v>1.5052695409071785E-2</v>
      </c>
      <c r="DW107">
        <f t="shared" si="111"/>
        <v>1.5097177690386885E-2</v>
      </c>
      <c r="DX107">
        <f t="shared" si="112"/>
        <v>1.5131615585598574E-2</v>
      </c>
      <c r="DY107">
        <f t="shared" si="113"/>
        <v>1.5204337199530018E-2</v>
      </c>
      <c r="DZ107">
        <f t="shared" si="114"/>
        <v>1.5331023150383831E-2</v>
      </c>
      <c r="EA107">
        <f t="shared" si="115"/>
        <v>1.5484998289222585E-2</v>
      </c>
      <c r="EB107">
        <f t="shared" si="116"/>
        <v>1.5632852428293043E-2</v>
      </c>
      <c r="EC107">
        <f t="shared" si="117"/>
        <v>1.5792014581190988E-2</v>
      </c>
      <c r="ED107">
        <f t="shared" si="118"/>
        <v>1.5867777304299818E-2</v>
      </c>
      <c r="EE107">
        <f t="shared" si="119"/>
        <v>1.5813017948400145E-2</v>
      </c>
      <c r="EF107">
        <f t="shared" si="120"/>
        <v>1.56740770708719E-2</v>
      </c>
      <c r="EG107">
        <f t="shared" si="121"/>
        <v>1.5544850937432089E-2</v>
      </c>
      <c r="EH107">
        <f t="shared" si="122"/>
        <v>1.540708966123195E-2</v>
      </c>
      <c r="EI107">
        <f t="shared" si="123"/>
        <v>1.5293631404175194E-2</v>
      </c>
      <c r="EJ107">
        <f t="shared" si="124"/>
        <v>1.5230456481540233E-2</v>
      </c>
      <c r="EK107">
        <f t="shared" si="125"/>
        <v>1.5200982607259958E-2</v>
      </c>
      <c r="EL107">
        <f t="shared" si="126"/>
        <v>1.5149555221139125E-2</v>
      </c>
      <c r="EM107">
        <f t="shared" si="127"/>
        <v>1.5071623970657264E-2</v>
      </c>
      <c r="EN107">
        <f t="shared" si="128"/>
        <v>1.5043736902547122E-2</v>
      </c>
      <c r="EO107">
        <f t="shared" si="129"/>
        <v>1.5093399734352494E-2</v>
      </c>
      <c r="EP107">
        <f t="shared" si="130"/>
        <v>1.5180476934857729E-2</v>
      </c>
      <c r="EQ107">
        <f t="shared" si="131"/>
        <v>1.5245351776118939E-2</v>
      </c>
      <c r="ER107">
        <f t="shared" si="132"/>
        <v>1.5309538247290051E-2</v>
      </c>
      <c r="ES107">
        <f t="shared" si="133"/>
        <v>1.5268126161212479E-2</v>
      </c>
      <c r="ET107">
        <f t="shared" si="134"/>
        <v>1.5065897248593158E-2</v>
      </c>
      <c r="EU107">
        <f t="shared" si="135"/>
        <v>1.4752982949984237E-2</v>
      </c>
      <c r="EV107">
        <f t="shared" si="136"/>
        <v>1.4437321634583843E-2</v>
      </c>
      <c r="EW107">
        <f t="shared" si="137"/>
        <v>1.4100443654199895E-2</v>
      </c>
      <c r="EX107">
        <f t="shared" si="138"/>
        <v>1.3756258609150628E-2</v>
      </c>
      <c r="EY107">
        <f t="shared" si="139"/>
        <v>1.3423552862505262E-2</v>
      </c>
      <c r="EZ107">
        <f t="shared" si="140"/>
        <v>1.3094124145302897E-2</v>
      </c>
      <c r="FA107">
        <f t="shared" si="141"/>
        <v>1.2743052167568185E-2</v>
      </c>
      <c r="FB107">
        <f t="shared" si="142"/>
        <v>1.2377821742111775E-2</v>
      </c>
      <c r="FC107">
        <f t="shared" si="143"/>
        <v>1.2008987876981845E-2</v>
      </c>
      <c r="FD107">
        <f t="shared" si="144"/>
        <v>1.1640163707205296E-2</v>
      </c>
      <c r="FE107">
        <f t="shared" si="145"/>
        <v>1.1272409258085193E-2</v>
      </c>
      <c r="FF107">
        <f t="shared" si="146"/>
        <v>1.089932882817409E-2</v>
      </c>
      <c r="FG107">
        <f t="shared" si="147"/>
        <v>1.0517609838399921E-2</v>
      </c>
      <c r="FH107">
        <f t="shared" si="148"/>
        <v>1.0159363299162776E-2</v>
      </c>
      <c r="FI107">
        <f t="shared" si="149"/>
        <v>9.8384826518585818E-3</v>
      </c>
      <c r="FJ107">
        <f t="shared" si="150"/>
        <v>9.5393260596982506E-3</v>
      </c>
      <c r="FK107">
        <f t="shared" si="151"/>
        <v>9.2308425375847523E-3</v>
      </c>
      <c r="FL107">
        <f t="shared" si="152"/>
        <v>8.917404689893221E-3</v>
      </c>
      <c r="FM107">
        <f t="shared" si="153"/>
        <v>8.5896306463346603E-3</v>
      </c>
      <c r="FN107">
        <f t="shared" si="154"/>
        <v>8.2391209990960845E-3</v>
      </c>
      <c r="FO107">
        <f t="shared" si="155"/>
        <v>7.8689168573548799E-3</v>
      </c>
      <c r="FP107">
        <f t="shared" si="156"/>
        <v>7.4926725104568935E-3</v>
      </c>
      <c r="FQ107">
        <f t="shared" si="157"/>
        <v>7.1103007002216931E-3</v>
      </c>
      <c r="FR107">
        <f t="shared" si="158"/>
        <v>6.6992952796659615E-3</v>
      </c>
      <c r="FS107">
        <f t="shared" si="159"/>
        <v>6.2506492654981283E-3</v>
      </c>
      <c r="FT107">
        <f t="shared" si="160"/>
        <v>5.7740386203931002E-3</v>
      </c>
      <c r="FU107">
        <f t="shared" si="161"/>
        <v>5.2622920146329008E-3</v>
      </c>
      <c r="FV107">
        <f t="shared" si="162"/>
        <v>4.9257986165997603E-3</v>
      </c>
      <c r="FW107">
        <f t="shared" si="163"/>
        <v>4.4836484891976457E-3</v>
      </c>
      <c r="FX107">
        <f t="shared" si="164"/>
        <v>3.8228293616253584E-3</v>
      </c>
      <c r="FY107">
        <f t="shared" si="165"/>
        <v>2.9433509292362799E-3</v>
      </c>
      <c r="FZ107">
        <f t="shared" si="166"/>
        <v>2.3583462333241871E-3</v>
      </c>
      <c r="GA107">
        <f t="shared" si="167"/>
        <v>2.1267533270962484E-3</v>
      </c>
      <c r="GB107">
        <f t="shared" si="168"/>
        <v>1.8030093187600027E-3</v>
      </c>
      <c r="GC107">
        <f t="shared" si="169"/>
        <v>1.3871239036688308E-3</v>
      </c>
      <c r="GD107">
        <f t="shared" si="170"/>
        <v>8.7908738646935117E-4</v>
      </c>
      <c r="GE107">
        <f t="shared" si="171"/>
        <v>1.8024566836172475E-3</v>
      </c>
    </row>
    <row r="108" spans="1:187">
      <c r="A108" s="15">
        <v>2056</v>
      </c>
      <c r="B108" s="18">
        <v>4226.6909999999998</v>
      </c>
      <c r="C108" s="18">
        <v>4220.7969999999996</v>
      </c>
      <c r="D108" s="18">
        <v>4218.5690000000004</v>
      </c>
      <c r="E108" s="18">
        <v>4214.585</v>
      </c>
      <c r="F108" s="18">
        <v>4209.5169999999998</v>
      </c>
      <c r="G108" s="18">
        <v>4204.0389999999998</v>
      </c>
      <c r="H108" s="18">
        <v>4198.585</v>
      </c>
      <c r="I108" s="18">
        <v>4193.5879999999997</v>
      </c>
      <c r="J108" s="18">
        <v>4190.924</v>
      </c>
      <c r="K108" s="18">
        <v>4191.7460000000001</v>
      </c>
      <c r="L108" s="18">
        <v>4196.0079999999998</v>
      </c>
      <c r="M108" s="18">
        <v>4202.0379999999996</v>
      </c>
      <c r="N108" s="18">
        <v>4209.607</v>
      </c>
      <c r="O108" s="18">
        <v>4223.902</v>
      </c>
      <c r="P108" s="18">
        <v>4247.1620000000003</v>
      </c>
      <c r="Q108" s="18">
        <v>4277.1120000000001</v>
      </c>
      <c r="R108" s="18">
        <v>4308.3770000000004</v>
      </c>
      <c r="S108" s="18">
        <v>4341</v>
      </c>
      <c r="T108" s="18">
        <v>4377.3720000000003</v>
      </c>
      <c r="U108" s="18">
        <v>4417.808</v>
      </c>
      <c r="V108" s="18">
        <v>4460.6620000000003</v>
      </c>
      <c r="W108" s="18">
        <v>4503.3289999999997</v>
      </c>
      <c r="X108" s="18">
        <v>4545.549</v>
      </c>
      <c r="Y108" s="18">
        <v>4585.7920000000004</v>
      </c>
      <c r="Z108" s="18">
        <v>4622.777</v>
      </c>
      <c r="AA108" s="18">
        <v>4656.2749999999996</v>
      </c>
      <c r="AB108" s="18">
        <v>4687.7209999999995</v>
      </c>
      <c r="AC108" s="18">
        <v>4717.2740000000003</v>
      </c>
      <c r="AD108" s="18">
        <v>4738.9669999999996</v>
      </c>
      <c r="AE108" s="18">
        <v>4750.1030000000001</v>
      </c>
      <c r="AF108" s="18">
        <v>4753.1019999999999</v>
      </c>
      <c r="AG108" s="18">
        <v>4754.9040000000005</v>
      </c>
      <c r="AH108" s="18">
        <v>4756.3239999999996</v>
      </c>
      <c r="AI108" s="18">
        <v>4749.4070000000002</v>
      </c>
      <c r="AJ108" s="18">
        <v>4731.6059999999998</v>
      </c>
      <c r="AK108" s="18">
        <v>4707.6760000000004</v>
      </c>
      <c r="AL108" s="18">
        <v>4684.5150000000003</v>
      </c>
      <c r="AM108" s="18">
        <v>4660.259</v>
      </c>
      <c r="AN108" s="18">
        <v>4646.47</v>
      </c>
      <c r="AO108" s="18">
        <v>4649.451</v>
      </c>
      <c r="AP108" s="18">
        <v>4664.3270000000002</v>
      </c>
      <c r="AQ108" s="18">
        <v>4676.8990000000003</v>
      </c>
      <c r="AR108" s="18">
        <v>4686.3879999999999</v>
      </c>
      <c r="AS108" s="18">
        <v>4707.6769999999997</v>
      </c>
      <c r="AT108" s="18">
        <v>4745.5829999999996</v>
      </c>
      <c r="AU108" s="18">
        <v>4791.8710000000001</v>
      </c>
      <c r="AV108" s="18">
        <v>4836.2640000000001</v>
      </c>
      <c r="AW108" s="18">
        <v>4884.1419999999998</v>
      </c>
      <c r="AX108" s="18">
        <v>4906.183</v>
      </c>
      <c r="AY108" s="18">
        <v>4887.8010000000004</v>
      </c>
      <c r="AZ108" s="18">
        <v>4843.3379999999997</v>
      </c>
      <c r="BA108" s="18">
        <v>4801.8440000000001</v>
      </c>
      <c r="BB108" s="18">
        <v>4757.6670000000004</v>
      </c>
      <c r="BC108" s="18">
        <v>4720.991</v>
      </c>
      <c r="BD108" s="18">
        <v>4699.8680000000004</v>
      </c>
      <c r="BE108" s="18">
        <v>4689.1469999999999</v>
      </c>
      <c r="BF108" s="18">
        <v>4671.5910000000003</v>
      </c>
      <c r="BG108" s="18">
        <v>4645.8040000000001</v>
      </c>
      <c r="BH108" s="18">
        <v>4635.3990000000003</v>
      </c>
      <c r="BI108" s="18">
        <v>4648.848</v>
      </c>
      <c r="BJ108" s="18">
        <v>4673.7719999999999</v>
      </c>
      <c r="BK108" s="18">
        <v>4691.7669999999998</v>
      </c>
      <c r="BL108" s="18">
        <v>4709.4409999999998</v>
      </c>
      <c r="BM108" s="18">
        <v>4694.5330000000004</v>
      </c>
      <c r="BN108" s="18">
        <v>4630.0460000000003</v>
      </c>
      <c r="BO108" s="18">
        <v>4531.3789999999999</v>
      </c>
      <c r="BP108" s="18">
        <v>4431.6970000000001</v>
      </c>
      <c r="BQ108" s="18">
        <v>4325.2950000000001</v>
      </c>
      <c r="BR108" s="18">
        <v>4216.4709999999995</v>
      </c>
      <c r="BS108" s="18">
        <v>4111</v>
      </c>
      <c r="BT108" s="18">
        <v>4006.3209999999999</v>
      </c>
      <c r="BU108" s="18">
        <v>3894.7130000000002</v>
      </c>
      <c r="BV108" s="18">
        <v>3778.462</v>
      </c>
      <c r="BW108" s="18">
        <v>3660.7860000000001</v>
      </c>
      <c r="BX108" s="18">
        <v>3542.768</v>
      </c>
      <c r="BY108" s="18">
        <v>3424.7159999999999</v>
      </c>
      <c r="BZ108" s="18">
        <v>3304.768</v>
      </c>
      <c r="CA108" s="18">
        <v>3181.998</v>
      </c>
      <c r="CB108" s="18">
        <v>3065.6779999999999</v>
      </c>
      <c r="CC108" s="18">
        <v>2959.8240000000001</v>
      </c>
      <c r="CD108" s="18">
        <v>2859.9540000000002</v>
      </c>
      <c r="CE108" s="18">
        <v>2757.3470000000002</v>
      </c>
      <c r="CF108" s="18">
        <v>2653.4760000000001</v>
      </c>
      <c r="CG108" s="18">
        <v>2544.67</v>
      </c>
      <c r="CH108" s="18">
        <v>2428.13</v>
      </c>
      <c r="CI108" s="18">
        <v>2305.346</v>
      </c>
      <c r="CJ108" s="18">
        <v>2179.5160000000001</v>
      </c>
      <c r="CK108" s="18">
        <v>2061.192</v>
      </c>
      <c r="CL108" s="18">
        <v>1932.52</v>
      </c>
      <c r="CM108" s="18">
        <v>1783.9870000000001</v>
      </c>
      <c r="CN108" s="18">
        <v>1617.9870000000001</v>
      </c>
      <c r="CO108" s="18">
        <v>1459.8420000000001</v>
      </c>
      <c r="CP108" s="18">
        <v>1362.681</v>
      </c>
      <c r="CQ108" s="18">
        <v>1233.021</v>
      </c>
      <c r="CR108" s="18">
        <v>1042.874</v>
      </c>
      <c r="CS108" s="18">
        <v>792.24199999999996</v>
      </c>
      <c r="CT108" s="18">
        <v>674.33399999999995</v>
      </c>
      <c r="CU108" s="18">
        <v>573.40599999999995</v>
      </c>
      <c r="CV108" s="18">
        <v>442.786</v>
      </c>
      <c r="CW108" s="18">
        <v>282.47300000000001</v>
      </c>
      <c r="CX108" s="18">
        <v>585.86300000000006</v>
      </c>
      <c r="CY108" s="3">
        <f t="shared" si="172"/>
        <v>386542.30400000018</v>
      </c>
      <c r="CZ108" s="21">
        <f t="shared" si="88"/>
        <v>310468.0570000002</v>
      </c>
      <c r="DA108">
        <f t="shared" si="89"/>
        <v>1.4099266901393329E-2</v>
      </c>
      <c r="DB108">
        <f t="shared" si="90"/>
        <v>1.4229508963622616E-2</v>
      </c>
      <c r="DC108">
        <f t="shared" si="91"/>
        <v>1.4367539266688545E-2</v>
      </c>
      <c r="DD108">
        <f t="shared" si="92"/>
        <v>1.4504967253362226E-2</v>
      </c>
      <c r="DE108">
        <f t="shared" si="93"/>
        <v>1.464095547839241E-2</v>
      </c>
      <c r="DF108">
        <f t="shared" si="94"/>
        <v>1.4770575898569808E-2</v>
      </c>
      <c r="DG108">
        <f t="shared" si="95"/>
        <v>1.4889702485560364E-2</v>
      </c>
      <c r="DH108">
        <f t="shared" si="96"/>
        <v>1.4997597643354326E-2</v>
      </c>
      <c r="DI108">
        <f t="shared" si="97"/>
        <v>1.5098883425549948E-2</v>
      </c>
      <c r="DJ108">
        <f t="shared" si="98"/>
        <v>1.5194071962127804E-2</v>
      </c>
      <c r="DK108">
        <f t="shared" si="99"/>
        <v>1.5263943884571663E-2</v>
      </c>
      <c r="DL108">
        <f t="shared" si="100"/>
        <v>1.5299812308871431E-2</v>
      </c>
      <c r="DM108">
        <f t="shared" si="101"/>
        <v>1.5309471917750291E-2</v>
      </c>
      <c r="DN108">
        <f t="shared" si="102"/>
        <v>1.5315276057530122E-2</v>
      </c>
      <c r="DO108">
        <f t="shared" si="103"/>
        <v>1.5319849796979264E-2</v>
      </c>
      <c r="DP108">
        <f t="shared" si="104"/>
        <v>1.5297570532352695E-2</v>
      </c>
      <c r="DQ108">
        <f t="shared" si="105"/>
        <v>1.5240234521131418E-2</v>
      </c>
      <c r="DR108">
        <f t="shared" si="106"/>
        <v>1.516315734858352E-2</v>
      </c>
      <c r="DS108">
        <f t="shared" si="107"/>
        <v>1.5088557081413361E-2</v>
      </c>
      <c r="DT108">
        <f t="shared" si="108"/>
        <v>1.5010429881358122E-2</v>
      </c>
      <c r="DU108">
        <f t="shared" si="109"/>
        <v>1.4966016294552315E-2</v>
      </c>
      <c r="DV108">
        <f t="shared" si="110"/>
        <v>1.4975617926452243E-2</v>
      </c>
      <c r="DW108">
        <f t="shared" si="111"/>
        <v>1.5023532678596938E-2</v>
      </c>
      <c r="DX108">
        <f t="shared" si="112"/>
        <v>1.5064026377438235E-2</v>
      </c>
      <c r="DY108">
        <f t="shared" si="113"/>
        <v>1.5094589908165647E-2</v>
      </c>
      <c r="DZ108">
        <f t="shared" si="114"/>
        <v>1.5163160569526792E-2</v>
      </c>
      <c r="EA108">
        <f t="shared" si="115"/>
        <v>1.5285253645272745E-2</v>
      </c>
      <c r="EB108">
        <f t="shared" si="116"/>
        <v>1.5434344667541747E-2</v>
      </c>
      <c r="EC108">
        <f t="shared" si="117"/>
        <v>1.557733200230643E-2</v>
      </c>
      <c r="ED108">
        <f t="shared" si="118"/>
        <v>1.5731544324381161E-2</v>
      </c>
      <c r="EE108">
        <f t="shared" si="119"/>
        <v>1.580253713508439E-2</v>
      </c>
      <c r="EF108">
        <f t="shared" si="120"/>
        <v>1.5743329755820892E-2</v>
      </c>
      <c r="EG108">
        <f t="shared" si="121"/>
        <v>1.5600116955027023E-2</v>
      </c>
      <c r="EH108">
        <f t="shared" si="122"/>
        <v>1.5466467134813798E-2</v>
      </c>
      <c r="EI108">
        <f t="shared" si="123"/>
        <v>1.5324175523796309E-2</v>
      </c>
      <c r="EJ108">
        <f t="shared" si="124"/>
        <v>1.520604420827743E-2</v>
      </c>
      <c r="EK108">
        <f t="shared" si="125"/>
        <v>1.5138008223499776E-2</v>
      </c>
      <c r="EL108">
        <f t="shared" si="126"/>
        <v>1.5103476490658737E-2</v>
      </c>
      <c r="EM108">
        <f t="shared" si="127"/>
        <v>1.5046929610539604E-2</v>
      </c>
      <c r="EN108">
        <f t="shared" si="128"/>
        <v>1.4963871146331801E-2</v>
      </c>
      <c r="EO108">
        <f t="shared" si="129"/>
        <v>1.4930357231565362E-2</v>
      </c>
      <c r="EP108">
        <f t="shared" si="130"/>
        <v>1.4973675697657994E-2</v>
      </c>
      <c r="EQ108">
        <f t="shared" si="131"/>
        <v>1.5053954487820294E-2</v>
      </c>
      <c r="ER108">
        <f t="shared" si="132"/>
        <v>1.5111915362036736E-2</v>
      </c>
      <c r="ES108">
        <f t="shared" si="133"/>
        <v>1.5168842313462208E-2</v>
      </c>
      <c r="ET108">
        <f t="shared" si="134"/>
        <v>1.5120824491132745E-2</v>
      </c>
      <c r="EU108">
        <f t="shared" si="135"/>
        <v>1.4913115522219399E-2</v>
      </c>
      <c r="EV108">
        <f t="shared" si="136"/>
        <v>1.459531471219919E-2</v>
      </c>
      <c r="EW108">
        <f t="shared" si="137"/>
        <v>1.4274244644755829E-2</v>
      </c>
      <c r="EX108">
        <f t="shared" si="138"/>
        <v>1.3931529838510882E-2</v>
      </c>
      <c r="EY108">
        <f t="shared" si="139"/>
        <v>1.3581013907656196E-2</v>
      </c>
      <c r="EZ108">
        <f t="shared" si="140"/>
        <v>1.3241297799599388E-2</v>
      </c>
      <c r="FA108">
        <f t="shared" si="141"/>
        <v>1.2904132678615621E-2</v>
      </c>
      <c r="FB108">
        <f t="shared" si="142"/>
        <v>1.2544649641685997E-2</v>
      </c>
      <c r="FC108">
        <f t="shared" si="143"/>
        <v>1.217021176513498E-2</v>
      </c>
      <c r="FD108">
        <f t="shared" si="144"/>
        <v>1.179118404441845E-2</v>
      </c>
      <c r="FE108">
        <f t="shared" si="145"/>
        <v>1.1411054761102195E-2</v>
      </c>
      <c r="FF108">
        <f t="shared" si="146"/>
        <v>1.1030815965714622E-2</v>
      </c>
      <c r="FG108">
        <f t="shared" si="147"/>
        <v>1.0644470261879462E-2</v>
      </c>
      <c r="FH108">
        <f t="shared" si="148"/>
        <v>1.0249035056124947E-2</v>
      </c>
      <c r="FI108">
        <f t="shared" si="149"/>
        <v>9.87437493448802E-3</v>
      </c>
      <c r="FJ108">
        <f t="shared" si="150"/>
        <v>9.5334252051572504E-3</v>
      </c>
      <c r="FK108">
        <f t="shared" si="151"/>
        <v>9.2117496003783685E-3</v>
      </c>
      <c r="FL108">
        <f t="shared" si="152"/>
        <v>8.8812582738584233E-3</v>
      </c>
      <c r="FM108">
        <f t="shared" si="153"/>
        <v>8.5466956750400846E-3</v>
      </c>
      <c r="FN108">
        <f t="shared" si="154"/>
        <v>8.1962377211643334E-3</v>
      </c>
      <c r="FO108">
        <f t="shared" si="155"/>
        <v>7.8208689920071187E-3</v>
      </c>
      <c r="FP108">
        <f t="shared" si="156"/>
        <v>7.4253886930467647E-3</v>
      </c>
      <c r="FQ108">
        <f t="shared" si="157"/>
        <v>7.0200974008736705E-3</v>
      </c>
      <c r="FR108">
        <f t="shared" si="158"/>
        <v>6.6389825089155589E-3</v>
      </c>
      <c r="FS108">
        <f t="shared" si="159"/>
        <v>6.2245372959576278E-3</v>
      </c>
      <c r="FT108">
        <f t="shared" si="160"/>
        <v>5.7461209286338881E-3</v>
      </c>
      <c r="FU108">
        <f t="shared" si="161"/>
        <v>5.2114443451424025E-3</v>
      </c>
      <c r="FV108">
        <f t="shared" si="162"/>
        <v>4.7020682710685411E-3</v>
      </c>
      <c r="FW108">
        <f t="shared" si="163"/>
        <v>4.3891182016190453E-3</v>
      </c>
      <c r="FX108">
        <f t="shared" si="164"/>
        <v>3.9714906967063578E-3</v>
      </c>
      <c r="FY108">
        <f t="shared" si="165"/>
        <v>3.3590379959765049E-3</v>
      </c>
      <c r="FZ108">
        <f t="shared" si="166"/>
        <v>2.5517665413160345E-3</v>
      </c>
      <c r="GA108">
        <f t="shared" si="167"/>
        <v>2.1719915617599253E-3</v>
      </c>
      <c r="GB108">
        <f t="shared" si="168"/>
        <v>1.846908198997102E-3</v>
      </c>
      <c r="GC108">
        <f t="shared" si="169"/>
        <v>1.4261885885413317E-3</v>
      </c>
      <c r="GD108">
        <f t="shared" si="170"/>
        <v>9.0982950944934026E-4</v>
      </c>
      <c r="GE108">
        <f t="shared" si="171"/>
        <v>1.8870314893618819E-3</v>
      </c>
    </row>
    <row r="109" spans="1:187">
      <c r="A109" s="15">
        <v>2057</v>
      </c>
      <c r="B109" s="18">
        <v>4242.8019999999997</v>
      </c>
      <c r="C109" s="18">
        <v>4242.2370000000001</v>
      </c>
      <c r="D109" s="18">
        <v>4231.1000000000004</v>
      </c>
      <c r="E109" s="18">
        <v>4226.5649999999996</v>
      </c>
      <c r="F109" s="18">
        <v>4220.6670000000004</v>
      </c>
      <c r="G109" s="18">
        <v>4214.1469999999999</v>
      </c>
      <c r="H109" s="18">
        <v>4207.7470000000003</v>
      </c>
      <c r="I109" s="18">
        <v>4201.7269999999999</v>
      </c>
      <c r="J109" s="18">
        <v>4196.3469999999998</v>
      </c>
      <c r="K109" s="18">
        <v>4194.7510000000002</v>
      </c>
      <c r="L109" s="18">
        <v>4198.643</v>
      </c>
      <c r="M109" s="18">
        <v>4207.3220000000001</v>
      </c>
      <c r="N109" s="18">
        <v>4217.7529999999997</v>
      </c>
      <c r="O109" s="18">
        <v>4229.7870000000003</v>
      </c>
      <c r="P109" s="18">
        <v>4248.6170000000002</v>
      </c>
      <c r="Q109" s="18">
        <v>4276.2839999999997</v>
      </c>
      <c r="R109" s="18">
        <v>4310.38</v>
      </c>
      <c r="S109" s="18">
        <v>4345.7020000000002</v>
      </c>
      <c r="T109" s="18">
        <v>4382.3959999999997</v>
      </c>
      <c r="U109" s="18">
        <v>4421.3019999999997</v>
      </c>
      <c r="V109" s="18">
        <v>4462.0209999999997</v>
      </c>
      <c r="W109" s="18">
        <v>4503.576</v>
      </c>
      <c r="X109" s="18">
        <v>4544.8119999999999</v>
      </c>
      <c r="Y109" s="18">
        <v>4585.2690000000002</v>
      </c>
      <c r="Z109" s="18">
        <v>4623.4620000000004</v>
      </c>
      <c r="AA109" s="18">
        <v>4658.3019999999997</v>
      </c>
      <c r="AB109" s="18">
        <v>4689.5569999999998</v>
      </c>
      <c r="AC109" s="18">
        <v>4718.4620000000004</v>
      </c>
      <c r="AD109" s="18">
        <v>4745.2250000000004</v>
      </c>
      <c r="AE109" s="18">
        <v>4764.3310000000001</v>
      </c>
      <c r="AF109" s="18">
        <v>4773.2939999999999</v>
      </c>
      <c r="AG109" s="18">
        <v>4774.4030000000002</v>
      </c>
      <c r="AH109" s="18">
        <v>4774.2510000000002</v>
      </c>
      <c r="AI109" s="18">
        <v>4773.7020000000002</v>
      </c>
      <c r="AJ109" s="18">
        <v>4764.9780000000001</v>
      </c>
      <c r="AK109" s="18">
        <v>4745.5749999999998</v>
      </c>
      <c r="AL109" s="18">
        <v>4720.1970000000001</v>
      </c>
      <c r="AM109" s="18">
        <v>4695.6310000000003</v>
      </c>
      <c r="AN109" s="18">
        <v>4670.0190000000002</v>
      </c>
      <c r="AO109" s="18">
        <v>4654.9279999999999</v>
      </c>
      <c r="AP109" s="18">
        <v>4656.6559999999999</v>
      </c>
      <c r="AQ109" s="18">
        <v>4670.308</v>
      </c>
      <c r="AR109" s="18">
        <v>4681.6819999999998</v>
      </c>
      <c r="AS109" s="18">
        <v>4690.0029999999997</v>
      </c>
      <c r="AT109" s="18">
        <v>4710.076</v>
      </c>
      <c r="AU109" s="18">
        <v>4746.68</v>
      </c>
      <c r="AV109" s="18">
        <v>4791.6059999999998</v>
      </c>
      <c r="AW109" s="18">
        <v>4834.6350000000002</v>
      </c>
      <c r="AX109" s="18">
        <v>4881.1350000000002</v>
      </c>
      <c r="AY109" s="18">
        <v>4901.7669999999998</v>
      </c>
      <c r="AZ109" s="18">
        <v>4881.951</v>
      </c>
      <c r="BA109" s="18">
        <v>4836.0219999999999</v>
      </c>
      <c r="BB109" s="18">
        <v>4793.0259999999998</v>
      </c>
      <c r="BC109" s="18">
        <v>4747.3019999999997</v>
      </c>
      <c r="BD109" s="18">
        <v>4709.0619999999999</v>
      </c>
      <c r="BE109" s="18">
        <v>4686.3639999999996</v>
      </c>
      <c r="BF109" s="18">
        <v>4674.0429999999997</v>
      </c>
      <c r="BG109" s="18">
        <v>4654.8459999999995</v>
      </c>
      <c r="BH109" s="18">
        <v>4627.3879999999999</v>
      </c>
      <c r="BI109" s="18">
        <v>4615.2060000000001</v>
      </c>
      <c r="BJ109" s="18">
        <v>4626.7330000000002</v>
      </c>
      <c r="BK109" s="18">
        <v>4649.6329999999998</v>
      </c>
      <c r="BL109" s="18">
        <v>4665.5439999999999</v>
      </c>
      <c r="BM109" s="18">
        <v>4681.0280000000002</v>
      </c>
      <c r="BN109" s="18">
        <v>4664.027</v>
      </c>
      <c r="BO109" s="18">
        <v>4597.6369999999997</v>
      </c>
      <c r="BP109" s="18">
        <v>4497.1379999999999</v>
      </c>
      <c r="BQ109" s="18">
        <v>4395.46</v>
      </c>
      <c r="BR109" s="18">
        <v>4286.9080000000004</v>
      </c>
      <c r="BS109" s="18">
        <v>4175.7740000000003</v>
      </c>
      <c r="BT109" s="18">
        <v>4067.7930000000001</v>
      </c>
      <c r="BU109" s="18">
        <v>3960.3809999999999</v>
      </c>
      <c r="BV109" s="18">
        <v>3845.8090000000002</v>
      </c>
      <c r="BW109" s="18">
        <v>3726.3319999999999</v>
      </c>
      <c r="BX109" s="18">
        <v>3605.1210000000001</v>
      </c>
      <c r="BY109" s="18">
        <v>3483.2220000000002</v>
      </c>
      <c r="BZ109" s="18">
        <v>3360.9229999999998</v>
      </c>
      <c r="CA109" s="18">
        <v>3236.482</v>
      </c>
      <c r="CB109" s="18">
        <v>3109.069</v>
      </c>
      <c r="CC109" s="18">
        <v>2987.2910000000002</v>
      </c>
      <c r="CD109" s="18">
        <v>2874.8820000000001</v>
      </c>
      <c r="CE109" s="18">
        <v>2767.7190000000001</v>
      </c>
      <c r="CF109" s="18">
        <v>2657.9650000000001</v>
      </c>
      <c r="CG109" s="18">
        <v>2547.2190000000001</v>
      </c>
      <c r="CH109" s="18">
        <v>2431.038</v>
      </c>
      <c r="CI109" s="18">
        <v>2306.4250000000002</v>
      </c>
      <c r="CJ109" s="18">
        <v>2175.422</v>
      </c>
      <c r="CK109" s="18">
        <v>2040.191</v>
      </c>
      <c r="CL109" s="18">
        <v>1921.875</v>
      </c>
      <c r="CM109" s="18">
        <v>1791.723</v>
      </c>
      <c r="CN109" s="18">
        <v>1633.492</v>
      </c>
      <c r="CO109" s="18">
        <v>1448.9780000000001</v>
      </c>
      <c r="CP109" s="18">
        <v>1291.058</v>
      </c>
      <c r="CQ109" s="18">
        <v>1200.876</v>
      </c>
      <c r="CR109" s="18">
        <v>1078.3920000000001</v>
      </c>
      <c r="CS109" s="18">
        <v>902.61099999999999</v>
      </c>
      <c r="CT109" s="18">
        <v>673.53200000000004</v>
      </c>
      <c r="CU109" s="18">
        <v>586.99900000000002</v>
      </c>
      <c r="CV109" s="18">
        <v>455.06099999999998</v>
      </c>
      <c r="CW109" s="18">
        <v>292.42700000000002</v>
      </c>
      <c r="CX109" s="18">
        <v>614.33900000000006</v>
      </c>
      <c r="CY109" s="3">
        <f t="shared" si="172"/>
        <v>387762.5579999999</v>
      </c>
      <c r="CZ109" s="21">
        <f t="shared" si="88"/>
        <v>311549.9800000001</v>
      </c>
      <c r="DA109">
        <f t="shared" si="89"/>
        <v>1.406643004759621E-2</v>
      </c>
      <c r="DB109">
        <f t="shared" si="90"/>
        <v>1.4191308887261037E-2</v>
      </c>
      <c r="DC109">
        <f t="shared" si="91"/>
        <v>1.432200701794299E-2</v>
      </c>
      <c r="DD109">
        <f t="shared" si="92"/>
        <v>1.4455388506203719E-2</v>
      </c>
      <c r="DE109">
        <f t="shared" si="93"/>
        <v>1.4587746081704125E-2</v>
      </c>
      <c r="DF109">
        <f t="shared" si="94"/>
        <v>1.4717603255824311E-2</v>
      </c>
      <c r="DG109">
        <f t="shared" si="95"/>
        <v>1.4840193538128293E-2</v>
      </c>
      <c r="DH109">
        <f t="shared" si="96"/>
        <v>1.4952021502296351E-2</v>
      </c>
      <c r="DI109">
        <f t="shared" si="97"/>
        <v>1.5052342484502802E-2</v>
      </c>
      <c r="DJ109">
        <f t="shared" si="98"/>
        <v>1.5145120535716289E-2</v>
      </c>
      <c r="DK109">
        <f t="shared" si="99"/>
        <v>1.523102328557363E-2</v>
      </c>
      <c r="DL109">
        <f t="shared" si="100"/>
        <v>1.529234891942538E-2</v>
      </c>
      <c r="DM109">
        <f t="shared" si="101"/>
        <v>1.5321117979208338E-2</v>
      </c>
      <c r="DN109">
        <f t="shared" si="102"/>
        <v>1.5324677600685446E-2</v>
      </c>
      <c r="DO109">
        <f t="shared" si="103"/>
        <v>1.5324189717489306E-2</v>
      </c>
      <c r="DP109">
        <f t="shared" si="104"/>
        <v>1.5322427560419034E-2</v>
      </c>
      <c r="DQ109">
        <f t="shared" si="105"/>
        <v>1.5294425632766848E-2</v>
      </c>
      <c r="DR109">
        <f t="shared" si="106"/>
        <v>1.5232146700827901E-2</v>
      </c>
      <c r="DS109">
        <f t="shared" si="107"/>
        <v>1.5150689465619606E-2</v>
      </c>
      <c r="DT109">
        <f t="shared" si="108"/>
        <v>1.5071838553801219E-2</v>
      </c>
      <c r="DU109">
        <f t="shared" si="109"/>
        <v>1.4989630235251496E-2</v>
      </c>
      <c r="DV109">
        <f t="shared" si="110"/>
        <v>1.4941191779245175E-2</v>
      </c>
      <c r="DW109">
        <f t="shared" si="111"/>
        <v>1.4946738240843407E-2</v>
      </c>
      <c r="DX109">
        <f t="shared" si="112"/>
        <v>1.4990557855275735E-2</v>
      </c>
      <c r="DY109">
        <f t="shared" si="113"/>
        <v>1.5027065641281692E-2</v>
      </c>
      <c r="DZ109">
        <f t="shared" si="114"/>
        <v>1.5053774036512532E-2</v>
      </c>
      <c r="EA109">
        <f t="shared" si="115"/>
        <v>1.511820350622394E-2</v>
      </c>
      <c r="EB109">
        <f t="shared" si="116"/>
        <v>1.523569348327353E-2</v>
      </c>
      <c r="EC109">
        <f t="shared" si="117"/>
        <v>1.5379895065311826E-2</v>
      </c>
      <c r="ED109">
        <f t="shared" si="118"/>
        <v>1.5518007736671974E-2</v>
      </c>
      <c r="EE109">
        <f t="shared" si="119"/>
        <v>1.5667261477596624E-2</v>
      </c>
      <c r="EF109">
        <f t="shared" si="120"/>
        <v>1.5733485201956998E-2</v>
      </c>
      <c r="EG109">
        <f t="shared" si="121"/>
        <v>1.5669880640018011E-2</v>
      </c>
      <c r="EH109">
        <f t="shared" si="122"/>
        <v>1.5522459670836758E-2</v>
      </c>
      <c r="EI109">
        <f t="shared" si="123"/>
        <v>1.53844529214863E-2</v>
      </c>
      <c r="EJ109">
        <f t="shared" si="124"/>
        <v>1.5237689952668262E-2</v>
      </c>
      <c r="EK109">
        <f t="shared" si="125"/>
        <v>1.5114948811744421E-2</v>
      </c>
      <c r="EL109">
        <f t="shared" si="126"/>
        <v>1.5042093727625976E-2</v>
      </c>
      <c r="EM109">
        <f t="shared" si="127"/>
        <v>1.5002546300917748E-2</v>
      </c>
      <c r="EN109">
        <f t="shared" si="128"/>
        <v>1.4940928579099887E-2</v>
      </c>
      <c r="EO109">
        <f t="shared" si="129"/>
        <v>1.4852795047523348E-2</v>
      </c>
      <c r="EP109">
        <f t="shared" si="130"/>
        <v>1.4813693777158961E-2</v>
      </c>
      <c r="EQ109">
        <f t="shared" si="131"/>
        <v>1.4850692656118927E-2</v>
      </c>
      <c r="ER109">
        <f t="shared" si="132"/>
        <v>1.492419611132698E-2</v>
      </c>
      <c r="ES109">
        <f t="shared" si="133"/>
        <v>1.4975266568786165E-2</v>
      </c>
      <c r="ET109">
        <f t="shared" si="134"/>
        <v>1.502496645963514E-2</v>
      </c>
      <c r="EU109">
        <f t="shared" si="135"/>
        <v>1.4970397366098367E-2</v>
      </c>
      <c r="EV109">
        <f t="shared" si="136"/>
        <v>1.4757301541152396E-2</v>
      </c>
      <c r="EW109">
        <f t="shared" si="137"/>
        <v>1.4434724085040861E-2</v>
      </c>
      <c r="EX109">
        <f t="shared" si="138"/>
        <v>1.4108362324401364E-2</v>
      </c>
      <c r="EY109">
        <f t="shared" si="139"/>
        <v>1.3759936688167976E-2</v>
      </c>
      <c r="EZ109">
        <f t="shared" si="140"/>
        <v>1.3403223457115931E-2</v>
      </c>
      <c r="FA109">
        <f t="shared" si="141"/>
        <v>1.3056630592625938E-2</v>
      </c>
      <c r="FB109">
        <f t="shared" si="142"/>
        <v>1.2711864080363603E-2</v>
      </c>
      <c r="FC109">
        <f t="shared" si="143"/>
        <v>1.2344115701756742E-2</v>
      </c>
      <c r="FD109">
        <f t="shared" si="144"/>
        <v>1.1960623460800731E-2</v>
      </c>
      <c r="FE109">
        <f t="shared" si="145"/>
        <v>1.1571565499699274E-2</v>
      </c>
      <c r="FF109">
        <f t="shared" si="146"/>
        <v>1.1180299225183706E-2</v>
      </c>
      <c r="FG109">
        <f t="shared" si="147"/>
        <v>1.0787749047520397E-2</v>
      </c>
      <c r="FH109">
        <f t="shared" si="148"/>
        <v>1.0388323568500947E-2</v>
      </c>
      <c r="FI109">
        <f t="shared" si="149"/>
        <v>9.9793586890937983E-3</v>
      </c>
      <c r="FJ109">
        <f t="shared" si="150"/>
        <v>9.5884807952804213E-3</v>
      </c>
      <c r="FK109">
        <f t="shared" si="151"/>
        <v>9.2276751229449575E-3</v>
      </c>
      <c r="FL109">
        <f t="shared" si="152"/>
        <v>8.8837078403920904E-3</v>
      </c>
      <c r="FM109">
        <f t="shared" si="153"/>
        <v>8.531424075199745E-3</v>
      </c>
      <c r="FN109">
        <f t="shared" si="154"/>
        <v>8.1759562302010074E-3</v>
      </c>
      <c r="FO109">
        <f t="shared" si="155"/>
        <v>7.8030433511823661E-3</v>
      </c>
      <c r="FP109">
        <f t="shared" si="156"/>
        <v>7.4030657938093892E-3</v>
      </c>
      <c r="FQ109">
        <f t="shared" si="157"/>
        <v>6.9825778836512826E-3</v>
      </c>
      <c r="FR109">
        <f t="shared" si="158"/>
        <v>6.5485191172215754E-3</v>
      </c>
      <c r="FS109">
        <f t="shared" si="159"/>
        <v>6.1687534051518781E-3</v>
      </c>
      <c r="FT109">
        <f t="shared" si="160"/>
        <v>5.7509969989405852E-3</v>
      </c>
      <c r="FU109">
        <f t="shared" si="161"/>
        <v>5.2431138015158899E-3</v>
      </c>
      <c r="FV109">
        <f t="shared" si="162"/>
        <v>4.650868538011139E-3</v>
      </c>
      <c r="FW109">
        <f t="shared" si="163"/>
        <v>4.1439835752838106E-3</v>
      </c>
      <c r="FX109">
        <f t="shared" si="164"/>
        <v>3.8545211911103303E-3</v>
      </c>
      <c r="FY109">
        <f t="shared" si="165"/>
        <v>3.4613772082411937E-3</v>
      </c>
      <c r="FZ109">
        <f t="shared" si="166"/>
        <v>2.8971627602094522E-3</v>
      </c>
      <c r="GA109">
        <f t="shared" si="167"/>
        <v>2.1618746372572381E-3</v>
      </c>
      <c r="GB109">
        <f t="shared" si="168"/>
        <v>1.8841246595490066E-3</v>
      </c>
      <c r="GC109">
        <f t="shared" si="169"/>
        <v>1.46063562578306E-3</v>
      </c>
      <c r="GD109">
        <f t="shared" si="170"/>
        <v>9.3861986445962836E-4</v>
      </c>
      <c r="GE109">
        <f t="shared" si="171"/>
        <v>1.9718794396969626E-3</v>
      </c>
    </row>
    <row r="110" spans="1:187">
      <c r="A110" s="15">
        <v>2058</v>
      </c>
      <c r="B110" s="18">
        <v>4257.2269999999999</v>
      </c>
      <c r="C110" s="18">
        <v>4257.3810000000003</v>
      </c>
      <c r="D110" s="18">
        <v>4254.0249999999996</v>
      </c>
      <c r="E110" s="18">
        <v>4240.482</v>
      </c>
      <c r="F110" s="18">
        <v>4233.6400000000003</v>
      </c>
      <c r="G110" s="18">
        <v>4225.8310000000001</v>
      </c>
      <c r="H110" s="18">
        <v>4217.8609999999999</v>
      </c>
      <c r="I110" s="18">
        <v>4210.5389999999998</v>
      </c>
      <c r="J110" s="18">
        <v>4203.9539999999997</v>
      </c>
      <c r="K110" s="18">
        <v>4198.1890000000003</v>
      </c>
      <c r="L110" s="18">
        <v>4197.6639999999998</v>
      </c>
      <c r="M110" s="18">
        <v>4204.6260000000002</v>
      </c>
      <c r="N110" s="18">
        <v>4217.723</v>
      </c>
      <c r="O110" s="18">
        <v>4232.5540000000001</v>
      </c>
      <c r="P110" s="18">
        <v>4249.05</v>
      </c>
      <c r="Q110" s="18">
        <v>4272.4129999999996</v>
      </c>
      <c r="R110" s="18">
        <v>4304.4849999999997</v>
      </c>
      <c r="S110" s="18">
        <v>4342.7190000000001</v>
      </c>
      <c r="T110" s="18">
        <v>4382.0910000000003</v>
      </c>
      <c r="U110" s="18">
        <v>4422.8509999999997</v>
      </c>
      <c r="V110" s="18">
        <v>4464.2830000000004</v>
      </c>
      <c r="W110" s="18">
        <v>4505.2759999999998</v>
      </c>
      <c r="X110" s="18">
        <v>4545.5209999999997</v>
      </c>
      <c r="Y110" s="18">
        <v>4585.3180000000002</v>
      </c>
      <c r="Z110" s="18">
        <v>4624.0039999999999</v>
      </c>
      <c r="AA110" s="18">
        <v>4660.1369999999997</v>
      </c>
      <c r="AB110" s="18">
        <v>4692.8239999999996</v>
      </c>
      <c r="AC110" s="18">
        <v>4721.8270000000002</v>
      </c>
      <c r="AD110" s="18">
        <v>4748.183</v>
      </c>
      <c r="AE110" s="18">
        <v>4772.1499999999996</v>
      </c>
      <c r="AF110" s="18">
        <v>4788.6629999999996</v>
      </c>
      <c r="AG110" s="18">
        <v>4795.45</v>
      </c>
      <c r="AH110" s="18">
        <v>4794.6689999999999</v>
      </c>
      <c r="AI110" s="18">
        <v>4792.5600000000004</v>
      </c>
      <c r="AJ110" s="18">
        <v>4790.0429999999997</v>
      </c>
      <c r="AK110" s="18">
        <v>4779.5119999999997</v>
      </c>
      <c r="AL110" s="18">
        <v>4758.5119999999997</v>
      </c>
      <c r="AM110" s="18">
        <v>4731.6899999999996</v>
      </c>
      <c r="AN110" s="18">
        <v>4705.723</v>
      </c>
      <c r="AO110" s="18">
        <v>4678.76</v>
      </c>
      <c r="AP110" s="18">
        <v>4662.3729999999996</v>
      </c>
      <c r="AQ110" s="18">
        <v>4662.8440000000001</v>
      </c>
      <c r="AR110" s="18">
        <v>4675.2690000000002</v>
      </c>
      <c r="AS110" s="18">
        <v>4685.4440000000004</v>
      </c>
      <c r="AT110" s="18">
        <v>4692.5929999999998</v>
      </c>
      <c r="AU110" s="18">
        <v>4711.4449999999997</v>
      </c>
      <c r="AV110" s="18">
        <v>4746.74</v>
      </c>
      <c r="AW110" s="18">
        <v>4790.2929999999997</v>
      </c>
      <c r="AX110" s="18">
        <v>4831.9480000000003</v>
      </c>
      <c r="AY110" s="18">
        <v>4877.058</v>
      </c>
      <c r="AZ110" s="18">
        <v>4896.2790000000005</v>
      </c>
      <c r="BA110" s="18">
        <v>4875.03</v>
      </c>
      <c r="BB110" s="18">
        <v>4827.6440000000002</v>
      </c>
      <c r="BC110" s="18">
        <v>4783.1530000000002</v>
      </c>
      <c r="BD110" s="18">
        <v>4735.8940000000002</v>
      </c>
      <c r="BE110" s="18">
        <v>4696.0969999999998</v>
      </c>
      <c r="BF110" s="18">
        <v>4671.8289999999997</v>
      </c>
      <c r="BG110" s="18">
        <v>4657.91</v>
      </c>
      <c r="BH110" s="18">
        <v>4637.0749999999998</v>
      </c>
      <c r="BI110" s="18">
        <v>4607.951</v>
      </c>
      <c r="BJ110" s="18">
        <v>4593.9949999999999</v>
      </c>
      <c r="BK110" s="18">
        <v>4603.598</v>
      </c>
      <c r="BL110" s="18">
        <v>4624.4669999999996</v>
      </c>
      <c r="BM110" s="18">
        <v>4638.29</v>
      </c>
      <c r="BN110" s="18">
        <v>4651.5789999999997</v>
      </c>
      <c r="BO110" s="18">
        <v>4632.4880000000003</v>
      </c>
      <c r="BP110" s="18">
        <v>4564.2060000000001</v>
      </c>
      <c r="BQ110" s="18">
        <v>4461.8980000000001</v>
      </c>
      <c r="BR110" s="18">
        <v>4358.2449999999999</v>
      </c>
      <c r="BS110" s="18">
        <v>4247.5659999999998</v>
      </c>
      <c r="BT110" s="18">
        <v>4134.1450000000004</v>
      </c>
      <c r="BU110" s="18">
        <v>4023.6759999999999</v>
      </c>
      <c r="BV110" s="18">
        <v>3913.5529999999999</v>
      </c>
      <c r="BW110" s="18">
        <v>3796.0410000000002</v>
      </c>
      <c r="BX110" s="18">
        <v>3673.364</v>
      </c>
      <c r="BY110" s="18">
        <v>3548.6410000000001</v>
      </c>
      <c r="BZ110" s="18">
        <v>3422.8870000000002</v>
      </c>
      <c r="CA110" s="18">
        <v>3296.366</v>
      </c>
      <c r="CB110" s="18">
        <v>3167.4560000000001</v>
      </c>
      <c r="CC110" s="18">
        <v>3035.4279999999999</v>
      </c>
      <c r="CD110" s="18">
        <v>2908.2150000000001</v>
      </c>
      <c r="CE110" s="18">
        <v>2789.2739999999999</v>
      </c>
      <c r="CF110" s="18">
        <v>2674.837</v>
      </c>
      <c r="CG110" s="18">
        <v>2557.9580000000001</v>
      </c>
      <c r="CH110" s="18">
        <v>2440.3580000000002</v>
      </c>
      <c r="CI110" s="18">
        <v>2316.8240000000001</v>
      </c>
      <c r="CJ110" s="18">
        <v>2184.163</v>
      </c>
      <c r="CK110" s="18">
        <v>2044.9639999999999</v>
      </c>
      <c r="CL110" s="18">
        <v>1900.36</v>
      </c>
      <c r="CM110" s="18">
        <v>1782.079</v>
      </c>
      <c r="CN110" s="18">
        <v>1650.4749999999999</v>
      </c>
      <c r="CO110" s="18">
        <v>1482.578</v>
      </c>
      <c r="CP110" s="18">
        <v>1279.5830000000001</v>
      </c>
      <c r="CQ110" s="18">
        <v>1121.921</v>
      </c>
      <c r="CR110" s="18">
        <v>1038.74</v>
      </c>
      <c r="CS110" s="18">
        <v>923.46199999999999</v>
      </c>
      <c r="CT110" s="18">
        <v>762.09</v>
      </c>
      <c r="CU110" s="18">
        <v>554.62400000000002</v>
      </c>
      <c r="CV110" s="18">
        <v>465.68099999999998</v>
      </c>
      <c r="CW110" s="18">
        <v>301.60500000000002</v>
      </c>
      <c r="CX110" s="18">
        <v>642.524</v>
      </c>
      <c r="CY110" s="3">
        <f t="shared" si="172"/>
        <v>388995.48299999989</v>
      </c>
      <c r="CZ110" s="21">
        <f t="shared" si="88"/>
        <v>312675.11999999982</v>
      </c>
      <c r="DA110">
        <f t="shared" si="89"/>
        <v>1.4014837509297199E-2</v>
      </c>
      <c r="DB110">
        <f t="shared" si="90"/>
        <v>1.414519645822796E-2</v>
      </c>
      <c r="DC110">
        <f t="shared" si="91"/>
        <v>1.4277704602783882E-2</v>
      </c>
      <c r="DD110">
        <f t="shared" si="92"/>
        <v>1.4408808734126343E-2</v>
      </c>
      <c r="DE110">
        <f t="shared" si="93"/>
        <v>1.4537520606052705E-2</v>
      </c>
      <c r="DF110">
        <f t="shared" si="94"/>
        <v>1.4664799680895631E-2</v>
      </c>
      <c r="DG110">
        <f t="shared" si="95"/>
        <v>1.4788525546899934E-2</v>
      </c>
      <c r="DH110">
        <f t="shared" si="96"/>
        <v>1.4904086388453301E-2</v>
      </c>
      <c r="DI110">
        <f t="shared" si="97"/>
        <v>1.5008626206012177E-2</v>
      </c>
      <c r="DJ110">
        <f t="shared" si="98"/>
        <v>1.510138382612599E-2</v>
      </c>
      <c r="DK110">
        <f t="shared" si="99"/>
        <v>1.5185675790257961E-2</v>
      </c>
      <c r="DL110">
        <f t="shared" si="100"/>
        <v>1.5262327236014181E-2</v>
      </c>
      <c r="DM110">
        <f t="shared" si="101"/>
        <v>1.5315139241011572E-2</v>
      </c>
      <c r="DN110">
        <f t="shared" si="102"/>
        <v>1.5336845477184122E-2</v>
      </c>
      <c r="DO110">
        <f t="shared" si="103"/>
        <v>1.533434767691143E-2</v>
      </c>
      <c r="DP110">
        <f t="shared" si="104"/>
        <v>1.5327602656712831E-2</v>
      </c>
      <c r="DQ110">
        <f t="shared" si="105"/>
        <v>1.531955276774181E-2</v>
      </c>
      <c r="DR110">
        <f t="shared" si="106"/>
        <v>1.5285872441657663E-2</v>
      </c>
      <c r="DS110">
        <f t="shared" si="107"/>
        <v>1.521871007837145E-2</v>
      </c>
      <c r="DT110">
        <f t="shared" si="108"/>
        <v>1.5132927749416079E-2</v>
      </c>
      <c r="DU110">
        <f t="shared" si="109"/>
        <v>1.504987988810879E-2</v>
      </c>
      <c r="DV110">
        <f t="shared" si="110"/>
        <v>1.4963646611857071E-2</v>
      </c>
      <c r="DW110">
        <f t="shared" si="111"/>
        <v>1.4911237581039394E-2</v>
      </c>
      <c r="DX110">
        <f t="shared" si="112"/>
        <v>1.4912743936901672E-2</v>
      </c>
      <c r="DY110">
        <f t="shared" si="113"/>
        <v>1.4952481668512681E-2</v>
      </c>
      <c r="DZ110">
        <f t="shared" si="114"/>
        <v>1.498502343262874E-2</v>
      </c>
      <c r="EA110">
        <f t="shared" si="115"/>
        <v>1.500788742001603E-2</v>
      </c>
      <c r="EB110">
        <f t="shared" si="116"/>
        <v>1.5068180033000395E-2</v>
      </c>
      <c r="EC110">
        <f t="shared" si="117"/>
        <v>1.5181060776437865E-2</v>
      </c>
      <c r="ED110">
        <f t="shared" si="118"/>
        <v>1.5320352319685693E-2</v>
      </c>
      <c r="EE110">
        <f t="shared" si="119"/>
        <v>1.5453573664575561E-2</v>
      </c>
      <c r="EF110">
        <f t="shared" si="120"/>
        <v>1.5597844817329894E-2</v>
      </c>
      <c r="EG110">
        <f t="shared" si="121"/>
        <v>1.5659317568983432E-2</v>
      </c>
      <c r="EH110">
        <f t="shared" si="122"/>
        <v>1.5591358851961111E-2</v>
      </c>
      <c r="EI110">
        <f t="shared" si="123"/>
        <v>1.5439808578309662E-2</v>
      </c>
      <c r="EJ110">
        <f t="shared" si="124"/>
        <v>1.5297517116168382E-2</v>
      </c>
      <c r="EK110">
        <f t="shared" si="125"/>
        <v>1.5146373014904426E-2</v>
      </c>
      <c r="EL110">
        <f t="shared" si="126"/>
        <v>1.50190939400615E-2</v>
      </c>
      <c r="EM110">
        <f t="shared" si="127"/>
        <v>1.4941479833764842E-2</v>
      </c>
      <c r="EN110">
        <f t="shared" si="128"/>
        <v>1.4896963979737186E-2</v>
      </c>
      <c r="EO110">
        <f t="shared" si="129"/>
        <v>1.4830329320733937E-2</v>
      </c>
      <c r="EP110">
        <f t="shared" si="130"/>
        <v>1.4737184717479288E-2</v>
      </c>
      <c r="EQ110">
        <f t="shared" si="131"/>
        <v>1.4692550529763936E-2</v>
      </c>
      <c r="ER110">
        <f t="shared" si="132"/>
        <v>1.4723262919032389E-2</v>
      </c>
      <c r="ES110">
        <f t="shared" si="133"/>
        <v>1.4790006317100006E-2</v>
      </c>
      <c r="ET110">
        <f t="shared" si="134"/>
        <v>1.4834215143181211E-2</v>
      </c>
      <c r="EU110">
        <f t="shared" si="135"/>
        <v>1.4876716126310282E-2</v>
      </c>
      <c r="EV110">
        <f t="shared" si="136"/>
        <v>1.4815659141667565E-2</v>
      </c>
      <c r="EW110">
        <f t="shared" si="137"/>
        <v>1.4597279118338557E-2</v>
      </c>
      <c r="EX110">
        <f t="shared" si="138"/>
        <v>1.4270076877239234E-2</v>
      </c>
      <c r="EY110">
        <f t="shared" si="139"/>
        <v>1.3938573046681816E-2</v>
      </c>
      <c r="EZ110">
        <f t="shared" si="140"/>
        <v>1.3584598608293497E-2</v>
      </c>
      <c r="FA110">
        <f t="shared" si="141"/>
        <v>1.3221854684184667E-2</v>
      </c>
      <c r="FB110">
        <f t="shared" si="142"/>
        <v>1.2868551869429208E-2</v>
      </c>
      <c r="FC110">
        <f t="shared" si="143"/>
        <v>1.2516355634564087E-2</v>
      </c>
      <c r="FD110">
        <f t="shared" si="144"/>
        <v>1.2140527842445547E-2</v>
      </c>
      <c r="FE110">
        <f t="shared" si="145"/>
        <v>1.1748181307166372E-2</v>
      </c>
      <c r="FF110">
        <f t="shared" si="146"/>
        <v>1.1349291238778455E-2</v>
      </c>
      <c r="FG110">
        <f t="shared" si="147"/>
        <v>1.0947103818173964E-2</v>
      </c>
      <c r="FH110">
        <f t="shared" si="148"/>
        <v>1.0542463372205636E-2</v>
      </c>
      <c r="FI110">
        <f t="shared" si="149"/>
        <v>1.0130182407861558E-2</v>
      </c>
      <c r="FJ110">
        <f t="shared" si="150"/>
        <v>9.707929431673366E-3</v>
      </c>
      <c r="FK110">
        <f t="shared" si="151"/>
        <v>9.3010758259243712E-3</v>
      </c>
      <c r="FL110">
        <f t="shared" si="152"/>
        <v>8.9206777948945912E-3</v>
      </c>
      <c r="FM110">
        <f t="shared" si="153"/>
        <v>8.5546844916858152E-3</v>
      </c>
      <c r="FN110">
        <f t="shared" si="154"/>
        <v>8.1808811650891881E-3</v>
      </c>
      <c r="FO110">
        <f t="shared" si="155"/>
        <v>7.8047719306863989E-3</v>
      </c>
      <c r="FP110">
        <f t="shared" si="156"/>
        <v>7.4096845313435921E-3</v>
      </c>
      <c r="FQ110">
        <f t="shared" si="157"/>
        <v>6.9854070896334872E-3</v>
      </c>
      <c r="FR110">
        <f t="shared" si="158"/>
        <v>6.5402197654869411E-3</v>
      </c>
      <c r="FS110">
        <f t="shared" si="159"/>
        <v>6.0777461283136342E-3</v>
      </c>
      <c r="FT110">
        <f t="shared" si="160"/>
        <v>5.6994589144157073E-3</v>
      </c>
      <c r="FU110">
        <f t="shared" si="161"/>
        <v>5.278561978324341E-3</v>
      </c>
      <c r="FV110">
        <f t="shared" si="162"/>
        <v>4.7415924874355236E-3</v>
      </c>
      <c r="FW110">
        <f t="shared" si="163"/>
        <v>4.0923723000410167E-3</v>
      </c>
      <c r="FX110">
        <f t="shared" si="164"/>
        <v>3.588136465734788E-3</v>
      </c>
      <c r="FY110">
        <f t="shared" si="165"/>
        <v>3.322106344758101E-3</v>
      </c>
      <c r="FZ110">
        <f t="shared" si="166"/>
        <v>2.9534233488101021E-3</v>
      </c>
      <c r="GA110">
        <f t="shared" si="167"/>
        <v>2.4373221636566429E-3</v>
      </c>
      <c r="GB110">
        <f t="shared" si="168"/>
        <v>1.7738027892977232E-3</v>
      </c>
      <c r="GC110">
        <f t="shared" si="169"/>
        <v>1.4893445951184099E-3</v>
      </c>
      <c r="GD110">
        <f t="shared" si="170"/>
        <v>9.6459545613990715E-4</v>
      </c>
      <c r="GE110">
        <f t="shared" si="171"/>
        <v>2.0549252527671544E-3</v>
      </c>
    </row>
    <row r="111" spans="1:187">
      <c r="A111" s="15">
        <v>2059</v>
      </c>
      <c r="B111" s="18">
        <v>4268.7920000000004</v>
      </c>
      <c r="C111" s="18">
        <v>4270.3490000000002</v>
      </c>
      <c r="D111" s="18">
        <v>4267.7259999999997</v>
      </c>
      <c r="E111" s="18">
        <v>4261.7920000000004</v>
      </c>
      <c r="F111" s="18">
        <v>4248.5810000000001</v>
      </c>
      <c r="G111" s="18">
        <v>4239.4350000000004</v>
      </c>
      <c r="H111" s="18">
        <v>4229.7160000000003</v>
      </c>
      <c r="I111" s="18">
        <v>4220.2979999999998</v>
      </c>
      <c r="J111" s="18">
        <v>4212.0569999999998</v>
      </c>
      <c r="K111" s="18">
        <v>4204.9070000000002</v>
      </c>
      <c r="L111" s="18">
        <v>4198.7640000000001</v>
      </c>
      <c r="M111" s="18">
        <v>4199.3059999999996</v>
      </c>
      <c r="N111" s="18">
        <v>4209.3370000000004</v>
      </c>
      <c r="O111" s="18">
        <v>4226.8450000000003</v>
      </c>
      <c r="P111" s="18">
        <v>4246.0720000000001</v>
      </c>
      <c r="Q111" s="18">
        <v>4267.027</v>
      </c>
      <c r="R111" s="18">
        <v>4294.9139999999998</v>
      </c>
      <c r="S111" s="18">
        <v>4331.3789999999999</v>
      </c>
      <c r="T111" s="18">
        <v>4373.74</v>
      </c>
      <c r="U111" s="18">
        <v>4417.1499999999996</v>
      </c>
      <c r="V111" s="18">
        <v>4461.9620000000004</v>
      </c>
      <c r="W111" s="18">
        <v>4505.9070000000002</v>
      </c>
      <c r="X111" s="18">
        <v>4547.1629999999996</v>
      </c>
      <c r="Y111" s="18">
        <v>4586.0860000000002</v>
      </c>
      <c r="Z111" s="18">
        <v>4624.43</v>
      </c>
      <c r="AA111" s="18">
        <v>4661.3339999999998</v>
      </c>
      <c r="AB111" s="18">
        <v>4695.3959999999997</v>
      </c>
      <c r="AC111" s="18">
        <v>4725.9210000000003</v>
      </c>
      <c r="AD111" s="18">
        <v>4752.6629999999996</v>
      </c>
      <c r="AE111" s="18">
        <v>4776.4639999999999</v>
      </c>
      <c r="AF111" s="18">
        <v>4797.6260000000002</v>
      </c>
      <c r="AG111" s="18">
        <v>4811.5420000000004</v>
      </c>
      <c r="AH111" s="18">
        <v>4816.1509999999998</v>
      </c>
      <c r="AI111" s="18">
        <v>4813.4809999999998</v>
      </c>
      <c r="AJ111" s="18">
        <v>4809.415</v>
      </c>
      <c r="AK111" s="18">
        <v>4804.9309999999996</v>
      </c>
      <c r="AL111" s="18">
        <v>4792.5969999999998</v>
      </c>
      <c r="AM111" s="18">
        <v>4770.0050000000001</v>
      </c>
      <c r="AN111" s="18">
        <v>4741.7489999999998</v>
      </c>
      <c r="AO111" s="18">
        <v>4714.3900000000003</v>
      </c>
      <c r="AP111" s="18">
        <v>4686.0829999999996</v>
      </c>
      <c r="AQ111" s="18">
        <v>4668.4040000000005</v>
      </c>
      <c r="AR111" s="18">
        <v>4667.62</v>
      </c>
      <c r="AS111" s="18">
        <v>4678.8130000000001</v>
      </c>
      <c r="AT111" s="18">
        <v>4687.7860000000001</v>
      </c>
      <c r="AU111" s="18">
        <v>4693.7619999999997</v>
      </c>
      <c r="AV111" s="18">
        <v>4711.3869999999997</v>
      </c>
      <c r="AW111" s="18">
        <v>4745.3620000000001</v>
      </c>
      <c r="AX111" s="18">
        <v>4787.5280000000002</v>
      </c>
      <c r="AY111" s="18">
        <v>4827.7979999999998</v>
      </c>
      <c r="AZ111" s="18">
        <v>4871.5039999999999</v>
      </c>
      <c r="BA111" s="18">
        <v>4889.308</v>
      </c>
      <c r="BB111" s="18">
        <v>4866.6329999999998</v>
      </c>
      <c r="BC111" s="18">
        <v>4817.8050000000003</v>
      </c>
      <c r="BD111" s="18">
        <v>4771.835</v>
      </c>
      <c r="BE111" s="18">
        <v>4723.0519999999997</v>
      </c>
      <c r="BF111" s="18">
        <v>4681.7110000000002</v>
      </c>
      <c r="BG111" s="18">
        <v>4655.8810000000003</v>
      </c>
      <c r="BH111" s="18">
        <v>4640.3680000000004</v>
      </c>
      <c r="BI111" s="18">
        <v>4617.8990000000003</v>
      </c>
      <c r="BJ111" s="18">
        <v>4587.12</v>
      </c>
      <c r="BK111" s="18">
        <v>4571.393</v>
      </c>
      <c r="BL111" s="18">
        <v>4579.0690000000004</v>
      </c>
      <c r="BM111" s="18">
        <v>4597.902</v>
      </c>
      <c r="BN111" s="18">
        <v>4609.634</v>
      </c>
      <c r="BO111" s="18">
        <v>4620.7250000000004</v>
      </c>
      <c r="BP111" s="18">
        <v>4599.5479999999998</v>
      </c>
      <c r="BQ111" s="18">
        <v>4529.3969999999999</v>
      </c>
      <c r="BR111" s="18">
        <v>4425.3100000000004</v>
      </c>
      <c r="BS111" s="18">
        <v>4319.7129999999997</v>
      </c>
      <c r="BT111" s="18">
        <v>4206.9409999999998</v>
      </c>
      <c r="BU111" s="18">
        <v>4091.268</v>
      </c>
      <c r="BV111" s="18">
        <v>3978.3440000000001</v>
      </c>
      <c r="BW111" s="18">
        <v>3865.5430000000001</v>
      </c>
      <c r="BX111" s="18">
        <v>3745.125</v>
      </c>
      <c r="BY111" s="18">
        <v>3619.2849999999999</v>
      </c>
      <c r="BZ111" s="18">
        <v>3491.0909999999999</v>
      </c>
      <c r="CA111" s="18">
        <v>3361.5169999999998</v>
      </c>
      <c r="CB111" s="18">
        <v>3230.8139999999999</v>
      </c>
      <c r="CC111" s="18">
        <v>3097.4749999999999</v>
      </c>
      <c r="CD111" s="18">
        <v>2960.87</v>
      </c>
      <c r="CE111" s="18">
        <v>2828.2629999999999</v>
      </c>
      <c r="CF111" s="18">
        <v>2702.826</v>
      </c>
      <c r="CG111" s="18">
        <v>2581.1509999999998</v>
      </c>
      <c r="CH111" s="18">
        <v>2457.183</v>
      </c>
      <c r="CI111" s="18">
        <v>2332.7660000000001</v>
      </c>
      <c r="CJ111" s="18">
        <v>2201.9180000000001</v>
      </c>
      <c r="CK111" s="18">
        <v>2061.2489999999998</v>
      </c>
      <c r="CL111" s="18">
        <v>1913.9</v>
      </c>
      <c r="CM111" s="18">
        <v>1759.9659999999999</v>
      </c>
      <c r="CN111" s="18">
        <v>1641.7560000000001</v>
      </c>
      <c r="CO111" s="18">
        <v>1508.742</v>
      </c>
      <c r="CP111" s="18">
        <v>1331.229</v>
      </c>
      <c r="CQ111" s="18">
        <v>1109.818</v>
      </c>
      <c r="CR111" s="18">
        <v>952.46299999999997</v>
      </c>
      <c r="CS111" s="18">
        <v>876.30700000000002</v>
      </c>
      <c r="CT111" s="18">
        <v>768.27</v>
      </c>
      <c r="CU111" s="18">
        <v>621.35500000000002</v>
      </c>
      <c r="CV111" s="18">
        <v>435.56200000000001</v>
      </c>
      <c r="CW111" s="18">
        <v>309.68</v>
      </c>
      <c r="CX111" s="18">
        <v>669.58500000000004</v>
      </c>
      <c r="CY111" s="3">
        <f t="shared" si="172"/>
        <v>390240.01199999999</v>
      </c>
      <c r="CZ111" s="21">
        <f t="shared" si="88"/>
        <v>313842.71499999991</v>
      </c>
      <c r="DA111">
        <f t="shared" si="89"/>
        <v>1.3936088973739604E-2</v>
      </c>
      <c r="DB111">
        <f t="shared" si="90"/>
        <v>1.407440666577206E-2</v>
      </c>
      <c r="DC111">
        <f t="shared" si="91"/>
        <v>1.4217191563614921E-2</v>
      </c>
      <c r="DD111">
        <f t="shared" si="92"/>
        <v>1.4357213931188434E-2</v>
      </c>
      <c r="DE111">
        <f t="shared" si="93"/>
        <v>1.4488668312724738E-2</v>
      </c>
      <c r="DF111">
        <f t="shared" si="94"/>
        <v>1.4612689034378261E-2</v>
      </c>
      <c r="DG111">
        <f t="shared" si="95"/>
        <v>1.473486488287613E-2</v>
      </c>
      <c r="DH111">
        <f t="shared" si="96"/>
        <v>1.485245244580554E-2</v>
      </c>
      <c r="DI111">
        <f t="shared" si="97"/>
        <v>1.4960984517356094E-2</v>
      </c>
      <c r="DJ111">
        <f t="shared" si="98"/>
        <v>1.5058246612479126E-2</v>
      </c>
      <c r="DK111">
        <f t="shared" si="99"/>
        <v>1.5143454899056686E-2</v>
      </c>
      <c r="DL111">
        <f t="shared" si="100"/>
        <v>1.5219292249622558E-2</v>
      </c>
      <c r="DM111">
        <f t="shared" si="101"/>
        <v>1.5286720929622348E-2</v>
      </c>
      <c r="DN111">
        <f t="shared" si="102"/>
        <v>1.5331061611546414E-2</v>
      </c>
      <c r="DO111">
        <f t="shared" si="103"/>
        <v>1.5345747311674898E-2</v>
      </c>
      <c r="DP111">
        <f t="shared" si="104"/>
        <v>1.5337239865516716E-2</v>
      </c>
      <c r="DQ111">
        <f t="shared" si="105"/>
        <v>1.532428433140467E-2</v>
      </c>
      <c r="DR111">
        <f t="shared" si="106"/>
        <v>1.5309996919953999E-2</v>
      </c>
      <c r="DS111">
        <f t="shared" si="107"/>
        <v>1.5270696979536393E-2</v>
      </c>
      <c r="DT111">
        <f t="shared" si="108"/>
        <v>1.5198711877062373E-2</v>
      </c>
      <c r="DU111">
        <f t="shared" si="109"/>
        <v>1.5108679518019086E-2</v>
      </c>
      <c r="DV111">
        <f t="shared" si="110"/>
        <v>1.5021505278527818E-2</v>
      </c>
      <c r="DW111">
        <f t="shared" si="111"/>
        <v>1.4931310417703979E-2</v>
      </c>
      <c r="DX111">
        <f t="shared" si="112"/>
        <v>1.4874979653422899E-2</v>
      </c>
      <c r="DY111">
        <f t="shared" si="113"/>
        <v>1.4872481586835627E-2</v>
      </c>
      <c r="DZ111">
        <f t="shared" si="114"/>
        <v>1.4908145948202115E-2</v>
      </c>
      <c r="EA111">
        <f t="shared" si="115"/>
        <v>1.4936736702650567E-2</v>
      </c>
      <c r="EB111">
        <f t="shared" si="116"/>
        <v>1.4955778087759664E-2</v>
      </c>
      <c r="EC111">
        <f t="shared" si="117"/>
        <v>1.5011936791331929E-2</v>
      </c>
      <c r="ED111">
        <f t="shared" si="118"/>
        <v>1.5120191653962722E-2</v>
      </c>
      <c r="EE111">
        <f t="shared" si="119"/>
        <v>1.525454557707354E-2</v>
      </c>
      <c r="EF111">
        <f t="shared" si="120"/>
        <v>1.538285825751922E-2</v>
      </c>
      <c r="EG111">
        <f t="shared" si="121"/>
        <v>1.5522119097140749E-2</v>
      </c>
      <c r="EH111">
        <f t="shared" si="122"/>
        <v>1.5578848150099649E-2</v>
      </c>
      <c r="EI111">
        <f t="shared" si="123"/>
        <v>1.5506598583943557E-2</v>
      </c>
      <c r="EJ111">
        <f t="shared" si="124"/>
        <v>1.5351017467459781E-2</v>
      </c>
      <c r="EK111">
        <f t="shared" si="125"/>
        <v>1.5204542823305621E-2</v>
      </c>
      <c r="EL111">
        <f t="shared" si="126"/>
        <v>1.5049105090745857E-2</v>
      </c>
      <c r="EM111">
        <f t="shared" si="127"/>
        <v>1.4917379872908637E-2</v>
      </c>
      <c r="EN111">
        <f t="shared" si="128"/>
        <v>1.4835077500524431E-2</v>
      </c>
      <c r="EO111">
        <f t="shared" si="129"/>
        <v>1.478564828245257E-2</v>
      </c>
      <c r="EP111">
        <f t="shared" si="130"/>
        <v>1.4714055096037522E-2</v>
      </c>
      <c r="EQ111">
        <f t="shared" si="131"/>
        <v>1.4615983678321166E-2</v>
      </c>
      <c r="ER111">
        <f t="shared" si="132"/>
        <v>1.4565872590032881E-2</v>
      </c>
      <c r="ES111">
        <f t="shared" si="133"/>
        <v>1.4590330701160299E-2</v>
      </c>
      <c r="ET111">
        <f t="shared" si="134"/>
        <v>1.465033846651499E-2</v>
      </c>
      <c r="EU111">
        <f t="shared" si="135"/>
        <v>1.4687720248660229E-2</v>
      </c>
      <c r="EV111">
        <f t="shared" si="136"/>
        <v>1.4723059606465619E-2</v>
      </c>
      <c r="EW111">
        <f t="shared" si="137"/>
        <v>1.465558313182449E-2</v>
      </c>
      <c r="EX111">
        <f t="shared" si="138"/>
        <v>1.4432060339523895E-2</v>
      </c>
      <c r="EY111">
        <f t="shared" si="139"/>
        <v>1.4100406950659988E-2</v>
      </c>
      <c r="EZ111">
        <f t="shared" si="140"/>
        <v>1.3763942234568042E-2</v>
      </c>
      <c r="FA111">
        <f t="shared" si="141"/>
        <v>1.3404615748369373E-2</v>
      </c>
      <c r="FB111">
        <f t="shared" si="142"/>
        <v>1.3036045778535918E-2</v>
      </c>
      <c r="FC111">
        <f t="shared" si="143"/>
        <v>1.2676234973305023E-2</v>
      </c>
      <c r="FD111">
        <f t="shared" si="144"/>
        <v>1.2316816084133103E-2</v>
      </c>
      <c r="FE111">
        <f t="shared" si="145"/>
        <v>1.1933127076089694E-2</v>
      </c>
      <c r="FF111">
        <f t="shared" si="146"/>
        <v>1.1532161898357275E-2</v>
      </c>
      <c r="FG111">
        <f t="shared" si="147"/>
        <v>1.1123696148244195E-2</v>
      </c>
      <c r="FH111">
        <f t="shared" si="148"/>
        <v>1.0710833291128012E-2</v>
      </c>
      <c r="FI111">
        <f t="shared" si="149"/>
        <v>1.0294373090673782E-2</v>
      </c>
      <c r="FJ111">
        <f t="shared" si="150"/>
        <v>9.8695137785817354E-3</v>
      </c>
      <c r="FK111">
        <f t="shared" si="151"/>
        <v>9.4342479799156744E-3</v>
      </c>
      <c r="FL111">
        <f t="shared" si="152"/>
        <v>9.0117210463209283E-3</v>
      </c>
      <c r="FM111">
        <f t="shared" si="153"/>
        <v>8.6120399512857916E-3</v>
      </c>
      <c r="FN111">
        <f t="shared" si="154"/>
        <v>8.2243457522982507E-3</v>
      </c>
      <c r="FO111">
        <f t="shared" si="155"/>
        <v>7.8293453458048272E-3</v>
      </c>
      <c r="FP111">
        <f t="shared" si="156"/>
        <v>7.4329142863806819E-3</v>
      </c>
      <c r="FQ111">
        <f t="shared" si="157"/>
        <v>7.0159920710601833E-3</v>
      </c>
      <c r="FR111">
        <f t="shared" si="158"/>
        <v>6.567777110900919E-3</v>
      </c>
      <c r="FS111">
        <f t="shared" si="159"/>
        <v>6.0982776037990898E-3</v>
      </c>
      <c r="FT111">
        <f t="shared" si="160"/>
        <v>5.6077962491498344E-3</v>
      </c>
      <c r="FU111">
        <f t="shared" si="161"/>
        <v>5.2311426123113946E-3</v>
      </c>
      <c r="FV111">
        <f t="shared" si="162"/>
        <v>4.8073188507816739E-3</v>
      </c>
      <c r="FW111">
        <f t="shared" si="163"/>
        <v>4.2417075062583512E-3</v>
      </c>
      <c r="FX111">
        <f t="shared" si="164"/>
        <v>3.5362235507043721E-3</v>
      </c>
      <c r="FY111">
        <f t="shared" si="165"/>
        <v>3.0348418315206079E-3</v>
      </c>
      <c r="FZ111">
        <f t="shared" si="166"/>
        <v>2.7921852511376606E-3</v>
      </c>
      <c r="GA111">
        <f t="shared" si="167"/>
        <v>2.4479459400547189E-3</v>
      </c>
      <c r="GB111">
        <f t="shared" si="168"/>
        <v>1.9798292912422714E-3</v>
      </c>
      <c r="GC111">
        <f t="shared" si="169"/>
        <v>1.3878353047003182E-3</v>
      </c>
      <c r="GD111">
        <f t="shared" si="170"/>
        <v>9.8673630197215214E-4</v>
      </c>
      <c r="GE111">
        <f t="shared" si="171"/>
        <v>2.1335049946913701E-3</v>
      </c>
    </row>
    <row r="112" spans="1:187">
      <c r="A112" s="15">
        <v>2060</v>
      </c>
      <c r="B112" s="18">
        <v>4276.5810000000001</v>
      </c>
      <c r="C112" s="18">
        <v>4280.1689999999999</v>
      </c>
      <c r="D112" s="18">
        <v>4278.8670000000002</v>
      </c>
      <c r="E112" s="18">
        <v>4273.6139999999996</v>
      </c>
      <c r="F112" s="18">
        <v>4265.357</v>
      </c>
      <c r="G112" s="18">
        <v>4255.0339999999997</v>
      </c>
      <c r="H112" s="18">
        <v>4243.59</v>
      </c>
      <c r="I112" s="18">
        <v>4231.9669999999996</v>
      </c>
      <c r="J112" s="18">
        <v>4221.1059999999998</v>
      </c>
      <c r="K112" s="18">
        <v>4211.95</v>
      </c>
      <c r="L112" s="18">
        <v>4204.24</v>
      </c>
      <c r="M112" s="18">
        <v>4197.7169999999996</v>
      </c>
      <c r="N112" s="18">
        <v>4199.3289999999997</v>
      </c>
      <c r="O112" s="18">
        <v>4212.4210000000003</v>
      </c>
      <c r="P112" s="18">
        <v>4234.3310000000001</v>
      </c>
      <c r="Q112" s="18">
        <v>4257.942</v>
      </c>
      <c r="R112" s="18">
        <v>4283.3429999999998</v>
      </c>
      <c r="S112" s="18">
        <v>4315.741</v>
      </c>
      <c r="T112" s="18">
        <v>4356.5820000000003</v>
      </c>
      <c r="U112" s="18">
        <v>4403.049</v>
      </c>
      <c r="V112" s="18">
        <v>4450.4769999999999</v>
      </c>
      <c r="W112" s="18">
        <v>4499.3190000000004</v>
      </c>
      <c r="X112" s="18">
        <v>4545.759</v>
      </c>
      <c r="Y112" s="18">
        <v>4587.2610000000004</v>
      </c>
      <c r="Z112" s="18">
        <v>4624.848</v>
      </c>
      <c r="AA112" s="18">
        <v>4661.7269999999999</v>
      </c>
      <c r="AB112" s="18">
        <v>4696.835</v>
      </c>
      <c r="AC112" s="18">
        <v>4728.8149999999996</v>
      </c>
      <c r="AD112" s="18">
        <v>4757.1679999999997</v>
      </c>
      <c r="AE112" s="18">
        <v>4781.6409999999996</v>
      </c>
      <c r="AF112" s="18">
        <v>4802.8779999999997</v>
      </c>
      <c r="AG112" s="18">
        <v>4821.2290000000003</v>
      </c>
      <c r="AH112" s="18">
        <v>4832.5460000000003</v>
      </c>
      <c r="AI112" s="18">
        <v>4834.9759999999997</v>
      </c>
      <c r="AJ112" s="18">
        <v>4830.4189999999999</v>
      </c>
      <c r="AK112" s="18">
        <v>4824.4009999999998</v>
      </c>
      <c r="AL112" s="18">
        <v>4817.9520000000002</v>
      </c>
      <c r="AM112" s="18">
        <v>4803.8209999999999</v>
      </c>
      <c r="AN112" s="18">
        <v>4779.6469999999999</v>
      </c>
      <c r="AO112" s="18">
        <v>4749.9690000000001</v>
      </c>
      <c r="AP112" s="18">
        <v>4721.2290000000003</v>
      </c>
      <c r="AQ112" s="18">
        <v>4691.59</v>
      </c>
      <c r="AR112" s="18">
        <v>4672.6270000000004</v>
      </c>
      <c r="AS112" s="18">
        <v>4670.59</v>
      </c>
      <c r="AT112" s="18">
        <v>4680.5479999999998</v>
      </c>
      <c r="AU112" s="18">
        <v>4688.317</v>
      </c>
      <c r="AV112" s="18">
        <v>4693.1170000000002</v>
      </c>
      <c r="AW112" s="18">
        <v>4709.51</v>
      </c>
      <c r="AX112" s="18">
        <v>4742.152</v>
      </c>
      <c r="AY112" s="18">
        <v>4782.9179999999997</v>
      </c>
      <c r="AZ112" s="18">
        <v>4821.7860000000001</v>
      </c>
      <c r="BA112" s="18">
        <v>4864.0739999999996</v>
      </c>
      <c r="BB112" s="18">
        <v>4880.4539999999997</v>
      </c>
      <c r="BC112" s="18">
        <v>4856.3639999999996</v>
      </c>
      <c r="BD112" s="18">
        <v>4806.1139999999996</v>
      </c>
      <c r="BE112" s="18">
        <v>4758.68</v>
      </c>
      <c r="BF112" s="18">
        <v>4708.3969999999999</v>
      </c>
      <c r="BG112" s="18">
        <v>4665.5280000000002</v>
      </c>
      <c r="BH112" s="18">
        <v>4638.1469999999999</v>
      </c>
      <c r="BI112" s="18">
        <v>4621.0469999999996</v>
      </c>
      <c r="BJ112" s="18">
        <v>4596.9560000000001</v>
      </c>
      <c r="BK112" s="18">
        <v>4564.5339999999997</v>
      </c>
      <c r="BL112" s="18">
        <v>4547.0429999999997</v>
      </c>
      <c r="BM112" s="18">
        <v>4552.7910000000002</v>
      </c>
      <c r="BN112" s="18">
        <v>4569.5810000000001</v>
      </c>
      <c r="BO112" s="18">
        <v>4579.2179999999998</v>
      </c>
      <c r="BP112" s="18">
        <v>4588.1090000000004</v>
      </c>
      <c r="BQ112" s="18">
        <v>4564.857</v>
      </c>
      <c r="BR112" s="18">
        <v>4492.8649999999998</v>
      </c>
      <c r="BS112" s="18">
        <v>4387.0410000000002</v>
      </c>
      <c r="BT112" s="18">
        <v>4279.5420000000004</v>
      </c>
      <c r="BU112" s="18">
        <v>4164.7219999999998</v>
      </c>
      <c r="BV112" s="18">
        <v>4046.8409999999999</v>
      </c>
      <c r="BW112" s="18">
        <v>3931.5079999999998</v>
      </c>
      <c r="BX112" s="18">
        <v>3816.0749999999998</v>
      </c>
      <c r="BY112" s="18">
        <v>3692.8009999999999</v>
      </c>
      <c r="BZ112" s="18">
        <v>3563.848</v>
      </c>
      <c r="CA112" s="18">
        <v>3432.232</v>
      </c>
      <c r="CB112" s="18">
        <v>3298.895</v>
      </c>
      <c r="CC112" s="18">
        <v>3164.0610000000001</v>
      </c>
      <c r="CD112" s="18">
        <v>3026.35</v>
      </c>
      <c r="CE112" s="18">
        <v>2885.2240000000002</v>
      </c>
      <c r="CF112" s="18">
        <v>2747.279</v>
      </c>
      <c r="CG112" s="18">
        <v>2615.4</v>
      </c>
      <c r="CH112" s="18">
        <v>2486.538</v>
      </c>
      <c r="CI112" s="18">
        <v>2355.5349999999999</v>
      </c>
      <c r="CJ112" s="18">
        <v>2224.355</v>
      </c>
      <c r="CK112" s="18">
        <v>2086.248</v>
      </c>
      <c r="CL112" s="18">
        <v>1937.634</v>
      </c>
      <c r="CM112" s="18">
        <v>1782.1959999999999</v>
      </c>
      <c r="CN112" s="18">
        <v>1619.0029999999999</v>
      </c>
      <c r="CO112" s="18">
        <v>1500.91</v>
      </c>
      <c r="CP112" s="18">
        <v>1366.5360000000001</v>
      </c>
      <c r="CQ112" s="18">
        <v>1179.4860000000001</v>
      </c>
      <c r="CR112" s="18">
        <v>939.76</v>
      </c>
      <c r="CS112" s="18">
        <v>782.77300000000002</v>
      </c>
      <c r="CT112" s="18">
        <v>713.66600000000005</v>
      </c>
      <c r="CU112" s="18">
        <v>612.90599999999995</v>
      </c>
      <c r="CV112" s="18">
        <v>480.49299999999999</v>
      </c>
      <c r="CW112" s="18">
        <v>316.428</v>
      </c>
      <c r="CX112" s="18">
        <v>694.84500000000003</v>
      </c>
      <c r="CY112" s="3">
        <f t="shared" si="172"/>
        <v>391494.89200000005</v>
      </c>
      <c r="CZ112" s="21">
        <f t="shared" si="88"/>
        <v>315051.59299999994</v>
      </c>
      <c r="DA112">
        <f t="shared" si="89"/>
        <v>1.3828154171561358E-2</v>
      </c>
      <c r="DB112">
        <f t="shared" si="90"/>
        <v>1.3975644300265452E-2</v>
      </c>
      <c r="DC112">
        <f t="shared" si="91"/>
        <v>1.4126184723020907E-2</v>
      </c>
      <c r="DD112">
        <f t="shared" si="92"/>
        <v>1.4281213299562657E-2</v>
      </c>
      <c r="DE112">
        <f t="shared" si="93"/>
        <v>1.4428617728017649E-2</v>
      </c>
      <c r="DF112">
        <f t="shared" si="94"/>
        <v>1.4560348533136924E-2</v>
      </c>
      <c r="DG112">
        <f t="shared" si="95"/>
        <v>1.4679652802136445E-2</v>
      </c>
      <c r="DH112">
        <f t="shared" si="96"/>
        <v>1.4796709820159522E-2</v>
      </c>
      <c r="DI112">
        <f t="shared" si="97"/>
        <v>1.4908145536658184E-2</v>
      </c>
      <c r="DJ112">
        <f t="shared" si="98"/>
        <v>1.5009652720594244E-2</v>
      </c>
      <c r="DK112">
        <f t="shared" si="99"/>
        <v>1.5099647504400971E-2</v>
      </c>
      <c r="DL112">
        <f t="shared" si="100"/>
        <v>1.5177326845003449E-2</v>
      </c>
      <c r="DM112">
        <f t="shared" si="101"/>
        <v>1.5244734852046917E-2</v>
      </c>
      <c r="DN112">
        <f t="shared" si="102"/>
        <v>1.5302982454686403E-2</v>
      </c>
      <c r="DO112">
        <f t="shared" si="103"/>
        <v>1.5338903555393231E-2</v>
      </c>
      <c r="DP112">
        <f t="shared" si="104"/>
        <v>1.5346616577812385E-2</v>
      </c>
      <c r="DQ112">
        <f t="shared" si="105"/>
        <v>1.5332152280213993E-2</v>
      </c>
      <c r="DR112">
        <f t="shared" si="106"/>
        <v>1.5313050646914204E-2</v>
      </c>
      <c r="DS112">
        <f t="shared" si="107"/>
        <v>1.5292580983712091E-2</v>
      </c>
      <c r="DT112">
        <f t="shared" si="108"/>
        <v>1.5247728012598879E-2</v>
      </c>
      <c r="DU112">
        <f t="shared" si="109"/>
        <v>1.5170997722903121E-2</v>
      </c>
      <c r="DV112">
        <f t="shared" si="110"/>
        <v>1.5076797278723809E-2</v>
      </c>
      <c r="DW112">
        <f t="shared" si="111"/>
        <v>1.4985574124679957E-2</v>
      </c>
      <c r="DX112">
        <f t="shared" si="112"/>
        <v>1.4891497469749347E-2</v>
      </c>
      <c r="DY112">
        <f t="shared" si="113"/>
        <v>1.4831307328130226E-2</v>
      </c>
      <c r="DZ112">
        <f t="shared" si="114"/>
        <v>1.4824841720447993E-2</v>
      </c>
      <c r="EA112">
        <f t="shared" si="115"/>
        <v>1.4856449241950034E-2</v>
      </c>
      <c r="EB112">
        <f t="shared" si="116"/>
        <v>1.4881108695108235E-2</v>
      </c>
      <c r="EC112">
        <f t="shared" si="117"/>
        <v>1.4896344294948545E-2</v>
      </c>
      <c r="ED112">
        <f t="shared" si="118"/>
        <v>1.4948377042486503E-2</v>
      </c>
      <c r="EE112">
        <f t="shared" si="119"/>
        <v>1.5051985469567205E-2</v>
      </c>
      <c r="EF112">
        <f t="shared" si="120"/>
        <v>1.5181380149377631E-2</v>
      </c>
      <c r="EG112">
        <f t="shared" si="121"/>
        <v>1.5304750419084537E-2</v>
      </c>
      <c r="EH112">
        <f t="shared" si="122"/>
        <v>1.5438976053677661E-2</v>
      </c>
      <c r="EI112">
        <f t="shared" si="123"/>
        <v>1.5490967538132717E-2</v>
      </c>
      <c r="EJ112">
        <f t="shared" si="124"/>
        <v>1.5414503871434164E-2</v>
      </c>
      <c r="EK112">
        <f t="shared" si="125"/>
        <v>1.5255006185605926E-2</v>
      </c>
      <c r="EL112">
        <f t="shared" si="126"/>
        <v>1.5104446718350671E-2</v>
      </c>
      <c r="EM112">
        <f t="shared" si="127"/>
        <v>1.4944844287773529E-2</v>
      </c>
      <c r="EN112">
        <f t="shared" si="128"/>
        <v>1.4808774510783067E-2</v>
      </c>
      <c r="EO112">
        <f t="shared" si="129"/>
        <v>1.4721864935944002E-2</v>
      </c>
      <c r="EP112">
        <f t="shared" si="130"/>
        <v>1.4667588111512898E-2</v>
      </c>
      <c r="EQ112">
        <f t="shared" si="131"/>
        <v>1.4591121270731049E-2</v>
      </c>
      <c r="ER112">
        <f t="shared" si="132"/>
        <v>1.4488211141976357E-2</v>
      </c>
      <c r="ES112">
        <f t="shared" si="133"/>
        <v>1.443269325097493E-2</v>
      </c>
      <c r="ET112">
        <f t="shared" si="134"/>
        <v>1.4450937881783702E-2</v>
      </c>
      <c r="EU112">
        <f t="shared" si="135"/>
        <v>1.4504230740391784E-2</v>
      </c>
      <c r="EV112">
        <f t="shared" si="136"/>
        <v>1.4534819381154505E-2</v>
      </c>
      <c r="EW112">
        <f t="shared" si="137"/>
        <v>1.456304015577538E-2</v>
      </c>
      <c r="EX112">
        <f t="shared" si="138"/>
        <v>1.4489236370882279E-2</v>
      </c>
      <c r="EY112">
        <f t="shared" si="139"/>
        <v>1.426072776594404E-2</v>
      </c>
      <c r="EZ112">
        <f t="shared" si="140"/>
        <v>1.3924833574798021E-2</v>
      </c>
      <c r="FA112">
        <f t="shared" si="141"/>
        <v>1.3583622794124393E-2</v>
      </c>
      <c r="FB112">
        <f t="shared" si="142"/>
        <v>1.3219174549610992E-2</v>
      </c>
      <c r="FC112">
        <f t="shared" si="143"/>
        <v>1.2845010436116095E-2</v>
      </c>
      <c r="FD112">
        <f t="shared" si="144"/>
        <v>1.2478933886869763E-2</v>
      </c>
      <c r="FE112">
        <f t="shared" si="145"/>
        <v>1.2112539929293424E-2</v>
      </c>
      <c r="FF112">
        <f t="shared" si="146"/>
        <v>1.172125798456128E-2</v>
      </c>
      <c r="FG112">
        <f t="shared" si="147"/>
        <v>1.1311950420768069E-2</v>
      </c>
      <c r="FH112">
        <f t="shared" si="148"/>
        <v>1.0894190273146788E-2</v>
      </c>
      <c r="FI112">
        <f t="shared" si="149"/>
        <v>1.0470967528166095E-2</v>
      </c>
      <c r="FJ112">
        <f t="shared" si="150"/>
        <v>1.0042993180485207E-2</v>
      </c>
      <c r="FK112">
        <f t="shared" si="151"/>
        <v>9.6058869951500311E-3</v>
      </c>
      <c r="FL112">
        <f t="shared" si="152"/>
        <v>9.1579413153451365E-3</v>
      </c>
      <c r="FM112">
        <f t="shared" si="153"/>
        <v>8.7200923945177471E-3</v>
      </c>
      <c r="FN112">
        <f t="shared" si="154"/>
        <v>8.3014974629885482E-3</v>
      </c>
      <c r="FO112">
        <f t="shared" si="155"/>
        <v>7.8924787407756436E-3</v>
      </c>
      <c r="FP112">
        <f t="shared" si="156"/>
        <v>7.4766643062173007E-3</v>
      </c>
      <c r="FQ112">
        <f t="shared" si="157"/>
        <v>7.0602880589148475E-3</v>
      </c>
      <c r="FR112">
        <f t="shared" si="158"/>
        <v>6.6219249365928471E-3</v>
      </c>
      <c r="FS112">
        <f t="shared" si="159"/>
        <v>6.1502117210370695E-3</v>
      </c>
      <c r="FT112">
        <f t="shared" si="160"/>
        <v>5.6568385610416523E-3</v>
      </c>
      <c r="FU112">
        <f t="shared" si="161"/>
        <v>5.1388503850542354E-3</v>
      </c>
      <c r="FV112">
        <f t="shared" si="162"/>
        <v>4.7640133658997256E-3</v>
      </c>
      <c r="FW112">
        <f t="shared" si="163"/>
        <v>4.337499096536866E-3</v>
      </c>
      <c r="FX112">
        <f t="shared" si="164"/>
        <v>3.7437868152598117E-3</v>
      </c>
      <c r="FY112">
        <f t="shared" si="165"/>
        <v>2.9828765220685622E-3</v>
      </c>
      <c r="FZ112">
        <f t="shared" si="166"/>
        <v>2.4845867070413456E-3</v>
      </c>
      <c r="GA112">
        <f t="shared" si="167"/>
        <v>2.265235332423792E-3</v>
      </c>
      <c r="GB112">
        <f t="shared" si="168"/>
        <v>1.9454146991092981E-3</v>
      </c>
      <c r="GC112">
        <f t="shared" si="169"/>
        <v>1.525124807097865E-3</v>
      </c>
      <c r="GD112">
        <f t="shared" si="170"/>
        <v>1.0043688304727919E-3</v>
      </c>
      <c r="GE112">
        <f t="shared" si="171"/>
        <v>2.2054959106332789E-3</v>
      </c>
    </row>
    <row r="113" spans="1:187">
      <c r="A113" s="15">
        <v>2061</v>
      </c>
      <c r="B113" s="18">
        <v>4286.7259999999997</v>
      </c>
      <c r="C113" s="18">
        <v>4288.3969999999999</v>
      </c>
      <c r="D113" s="18">
        <v>4289.2969999999996</v>
      </c>
      <c r="E113" s="18">
        <v>4285.8419999999996</v>
      </c>
      <c r="F113" s="18">
        <v>4279.0150000000003</v>
      </c>
      <c r="G113" s="18">
        <v>4269.8050000000003</v>
      </c>
      <c r="H113" s="18">
        <v>4258.9809999999998</v>
      </c>
      <c r="I113" s="18">
        <v>4247.3130000000001</v>
      </c>
      <c r="J113" s="18">
        <v>4236.87</v>
      </c>
      <c r="K113" s="18">
        <v>4229.0739999999996</v>
      </c>
      <c r="L113" s="18">
        <v>4224.26</v>
      </c>
      <c r="M113" s="18">
        <v>4220.924</v>
      </c>
      <c r="N113" s="18">
        <v>4218.8630000000003</v>
      </c>
      <c r="O113" s="18">
        <v>4225.0119999999997</v>
      </c>
      <c r="P113" s="18">
        <v>4242.5200000000004</v>
      </c>
      <c r="Q113" s="18">
        <v>4268.5889999999999</v>
      </c>
      <c r="R113" s="18">
        <v>4296.2700000000004</v>
      </c>
      <c r="S113" s="18">
        <v>4325.7579999999998</v>
      </c>
      <c r="T113" s="18">
        <v>4360.7079999999996</v>
      </c>
      <c r="U113" s="18">
        <v>4401.8590000000004</v>
      </c>
      <c r="V113" s="18">
        <v>4447.0569999999998</v>
      </c>
      <c r="W113" s="18">
        <v>4493.085</v>
      </c>
      <c r="X113" s="18">
        <v>4540.1959999999999</v>
      </c>
      <c r="Y113" s="18">
        <v>4584.6120000000001</v>
      </c>
      <c r="Z113" s="18">
        <v>4623.9930000000004</v>
      </c>
      <c r="AA113" s="18">
        <v>4659.3540000000003</v>
      </c>
      <c r="AB113" s="18">
        <v>4693.7110000000002</v>
      </c>
      <c r="AC113" s="18">
        <v>4726.0469999999996</v>
      </c>
      <c r="AD113" s="18">
        <v>4755.451</v>
      </c>
      <c r="AE113" s="18">
        <v>4781.634</v>
      </c>
      <c r="AF113" s="18">
        <v>4804.2139999999999</v>
      </c>
      <c r="AG113" s="18">
        <v>4823.4930000000004</v>
      </c>
      <c r="AH113" s="18">
        <v>4839.8770000000004</v>
      </c>
      <c r="AI113" s="18">
        <v>4849.3819999999996</v>
      </c>
      <c r="AJ113" s="18">
        <v>4850.1989999999996</v>
      </c>
      <c r="AK113" s="18">
        <v>4844.1809999999996</v>
      </c>
      <c r="AL113" s="18">
        <v>4836.75</v>
      </c>
      <c r="AM113" s="18">
        <v>4828.9390000000003</v>
      </c>
      <c r="AN113" s="18">
        <v>4813.5200000000004</v>
      </c>
      <c r="AO113" s="18">
        <v>4788.125</v>
      </c>
      <c r="AP113" s="18">
        <v>4757.2749999999996</v>
      </c>
      <c r="AQ113" s="18">
        <v>4727.3879999999999</v>
      </c>
      <c r="AR113" s="18">
        <v>4696.6229999999996</v>
      </c>
      <c r="AS113" s="18">
        <v>4676.5169999999998</v>
      </c>
      <c r="AT113" s="18">
        <v>4673.2969999999996</v>
      </c>
      <c r="AU113" s="18">
        <v>4682.0360000000001</v>
      </c>
      <c r="AV113" s="18">
        <v>4688.5829999999996</v>
      </c>
      <c r="AW113" s="18">
        <v>4692.1679999999997</v>
      </c>
      <c r="AX113" s="18">
        <v>4707.2299999999996</v>
      </c>
      <c r="AY113" s="18">
        <v>4738.375</v>
      </c>
      <c r="AZ113" s="18">
        <v>4777.5320000000002</v>
      </c>
      <c r="BA113" s="18">
        <v>4814.7780000000002</v>
      </c>
      <c r="BB113" s="18">
        <v>4855.3999999999996</v>
      </c>
      <c r="BC113" s="18">
        <v>4870.1710000000003</v>
      </c>
      <c r="BD113" s="18">
        <v>4844.5820000000003</v>
      </c>
      <c r="BE113" s="18">
        <v>4792.8919999999998</v>
      </c>
      <c r="BF113" s="18">
        <v>4743.9449999999997</v>
      </c>
      <c r="BG113" s="18">
        <v>4692.0649999999996</v>
      </c>
      <c r="BH113" s="18">
        <v>4647.6220000000003</v>
      </c>
      <c r="BI113" s="18">
        <v>4618.7129999999997</v>
      </c>
      <c r="BJ113" s="18">
        <v>4600.0720000000001</v>
      </c>
      <c r="BK113" s="18">
        <v>4574.34</v>
      </c>
      <c r="BL113" s="18">
        <v>4540.2020000000002</v>
      </c>
      <c r="BM113" s="18">
        <v>4520.7489999999998</v>
      </c>
      <c r="BN113" s="18">
        <v>4524.1959999999999</v>
      </c>
      <c r="BO113" s="18">
        <v>4538.4179999999997</v>
      </c>
      <c r="BP113" s="18">
        <v>4545.3509999999997</v>
      </c>
      <c r="BQ113" s="18">
        <v>4551.3360000000002</v>
      </c>
      <c r="BR113" s="18">
        <v>4525.1369999999997</v>
      </c>
      <c r="BS113" s="18">
        <v>4450.24</v>
      </c>
      <c r="BT113" s="18">
        <v>4341.4449999999997</v>
      </c>
      <c r="BU113" s="18">
        <v>4230.7240000000002</v>
      </c>
      <c r="BV113" s="18">
        <v>4112.4750000000004</v>
      </c>
      <c r="BW113" s="18">
        <v>3990.7840000000001</v>
      </c>
      <c r="BX113" s="18">
        <v>3871.1559999999999</v>
      </c>
      <c r="BY113" s="18">
        <v>3751.02</v>
      </c>
      <c r="BZ113" s="18">
        <v>3622.8760000000002</v>
      </c>
      <c r="CA113" s="18">
        <v>3488.913</v>
      </c>
      <c r="CB113" s="18">
        <v>3351.819</v>
      </c>
      <c r="CC113" s="18">
        <v>3212.4160000000002</v>
      </c>
      <c r="CD113" s="18">
        <v>3071.1149999999998</v>
      </c>
      <c r="CE113" s="18">
        <v>2927.058</v>
      </c>
      <c r="CF113" s="18">
        <v>2779.875</v>
      </c>
      <c r="CG113" s="18">
        <v>2635.355</v>
      </c>
      <c r="CH113" s="18">
        <v>2496.1239999999998</v>
      </c>
      <c r="CI113" s="18">
        <v>2359.6819999999998</v>
      </c>
      <c r="CJ113" s="18">
        <v>2219.7759999999998</v>
      </c>
      <c r="CK113" s="18">
        <v>2089.0390000000002</v>
      </c>
      <c r="CL113" s="18">
        <v>1949.8879999999999</v>
      </c>
      <c r="CM113" s="18">
        <v>1792.05</v>
      </c>
      <c r="CN113" s="18">
        <v>1618.4749999999999</v>
      </c>
      <c r="CO113" s="18">
        <v>1454.979</v>
      </c>
      <c r="CP113" s="18">
        <v>1345.413</v>
      </c>
      <c r="CQ113" s="18">
        <v>1217.5450000000001</v>
      </c>
      <c r="CR113" s="18">
        <v>1042.2439999999999</v>
      </c>
      <c r="CS113" s="18">
        <v>819.51099999999997</v>
      </c>
      <c r="CT113" s="18">
        <v>717.43399999999997</v>
      </c>
      <c r="CU113" s="18">
        <v>616.73599999999999</v>
      </c>
      <c r="CV113" s="18">
        <v>485.005</v>
      </c>
      <c r="CW113" s="18">
        <v>322.24200000000002</v>
      </c>
      <c r="CX113" s="18">
        <v>719.33100000000002</v>
      </c>
      <c r="CY113" s="3">
        <f t="shared" si="172"/>
        <v>392759.64099999995</v>
      </c>
      <c r="CZ113" s="21">
        <f t="shared" si="88"/>
        <v>316066.125</v>
      </c>
      <c r="DA113">
        <f t="shared" si="89"/>
        <v>1.3796821788478596E-2</v>
      </c>
      <c r="DB113">
        <f t="shared" si="90"/>
        <v>1.3927019227384776E-2</v>
      </c>
      <c r="DC113">
        <f t="shared" si="91"/>
        <v>1.4070020948939086E-2</v>
      </c>
      <c r="DD113">
        <f t="shared" si="92"/>
        <v>1.4215648703257902E-2</v>
      </c>
      <c r="DE113">
        <f t="shared" si="93"/>
        <v>1.4364702955750161E-2</v>
      </c>
      <c r="DF113">
        <f t="shared" si="94"/>
        <v>1.4505230511495024E-2</v>
      </c>
      <c r="DG113">
        <f t="shared" si="95"/>
        <v>1.4629827856433525E-2</v>
      </c>
      <c r="DH113">
        <f t="shared" si="96"/>
        <v>1.4741706343886111E-2</v>
      </c>
      <c r="DI113">
        <f t="shared" si="97"/>
        <v>1.4850408280862116E-2</v>
      </c>
      <c r="DJ113">
        <f t="shared" si="98"/>
        <v>1.4952715986251293E-2</v>
      </c>
      <c r="DK113">
        <f t="shared" si="99"/>
        <v>1.5045747151802491E-2</v>
      </c>
      <c r="DL113">
        <f t="shared" si="100"/>
        <v>1.512858741189047E-2</v>
      </c>
      <c r="DM113">
        <f t="shared" si="101"/>
        <v>1.5200028158664582E-2</v>
      </c>
      <c r="DN113">
        <f t="shared" si="102"/>
        <v>1.5261024888383722E-2</v>
      </c>
      <c r="DO113">
        <f t="shared" si="103"/>
        <v>1.5312862142376062E-2</v>
      </c>
      <c r="DP113">
        <f t="shared" si="104"/>
        <v>1.5342934963371984E-2</v>
      </c>
      <c r="DQ113">
        <f t="shared" si="105"/>
        <v>1.5345519865502828E-2</v>
      </c>
      <c r="DR113">
        <f t="shared" si="106"/>
        <v>1.532647954601272E-2</v>
      </c>
      <c r="DS113">
        <f t="shared" si="107"/>
        <v>1.5302968643033163E-2</v>
      </c>
      <c r="DT113">
        <f t="shared" si="108"/>
        <v>1.5278255459992748E-2</v>
      </c>
      <c r="DU113">
        <f t="shared" si="109"/>
        <v>1.5229471364576006E-2</v>
      </c>
      <c r="DV113">
        <f t="shared" si="110"/>
        <v>1.5149124253666855E-2</v>
      </c>
      <c r="DW113">
        <f t="shared" si="111"/>
        <v>1.5051518096094606E-2</v>
      </c>
      <c r="DX113">
        <f t="shared" si="112"/>
        <v>1.4956958769308163E-2</v>
      </c>
      <c r="DY113">
        <f t="shared" si="113"/>
        <v>1.4859621542802157E-2</v>
      </c>
      <c r="DZ113">
        <f t="shared" si="114"/>
        <v>1.4796008272003208E-2</v>
      </c>
      <c r="EA113">
        <f t="shared" si="115"/>
        <v>1.4785820530434889E-2</v>
      </c>
      <c r="EB113">
        <f t="shared" si="116"/>
        <v>1.4813469807939716E-2</v>
      </c>
      <c r="EC113">
        <f t="shared" si="117"/>
        <v>1.4834183827830329E-2</v>
      </c>
      <c r="ED113">
        <f t="shared" si="118"/>
        <v>1.4845526391036052E-2</v>
      </c>
      <c r="EE113">
        <f t="shared" si="119"/>
        <v>1.4893180975974567E-2</v>
      </c>
      <c r="EF113">
        <f t="shared" si="120"/>
        <v>1.499172048254143E-2</v>
      </c>
      <c r="EG113">
        <f t="shared" si="121"/>
        <v>1.5115609115023004E-2</v>
      </c>
      <c r="EH113">
        <f t="shared" si="122"/>
        <v>1.5233451544356423E-2</v>
      </c>
      <c r="EI113">
        <f t="shared" si="123"/>
        <v>1.536197528286209E-2</v>
      </c>
      <c r="EJ113">
        <f t="shared" si="124"/>
        <v>1.5408709174385582E-2</v>
      </c>
      <c r="EK113">
        <f t="shared" si="125"/>
        <v>1.5327748267866417E-2</v>
      </c>
      <c r="EL113">
        <f t="shared" si="126"/>
        <v>1.5164206540640823E-2</v>
      </c>
      <c r="EM113">
        <f t="shared" si="127"/>
        <v>1.5009343377117682E-2</v>
      </c>
      <c r="EN113">
        <f t="shared" si="128"/>
        <v>1.4845200509861661E-2</v>
      </c>
      <c r="EO113">
        <f t="shared" si="129"/>
        <v>1.4704587528954583E-2</v>
      </c>
      <c r="EP113">
        <f t="shared" si="130"/>
        <v>1.4613122491377396E-2</v>
      </c>
      <c r="EQ113">
        <f t="shared" si="131"/>
        <v>1.4554144326602543E-2</v>
      </c>
      <c r="ER113">
        <f t="shared" si="132"/>
        <v>1.4472730983113106E-2</v>
      </c>
      <c r="ES113">
        <f t="shared" si="133"/>
        <v>1.4364721939119545E-2</v>
      </c>
      <c r="ET113">
        <f t="shared" si="134"/>
        <v>1.4303174691688328E-2</v>
      </c>
      <c r="EU113">
        <f t="shared" si="135"/>
        <v>1.4314080637398266E-2</v>
      </c>
      <c r="EV113">
        <f t="shared" si="136"/>
        <v>1.4359077550623305E-2</v>
      </c>
      <c r="EW113">
        <f t="shared" si="137"/>
        <v>1.4381012833944162E-2</v>
      </c>
      <c r="EX113">
        <f t="shared" si="138"/>
        <v>1.439994874490267E-2</v>
      </c>
      <c r="EY113">
        <f t="shared" si="139"/>
        <v>1.4317057862496336E-2</v>
      </c>
      <c r="EZ113">
        <f t="shared" si="140"/>
        <v>1.4080091626396216E-2</v>
      </c>
      <c r="FA113">
        <f t="shared" si="141"/>
        <v>1.3735875681077812E-2</v>
      </c>
      <c r="FB113">
        <f t="shared" si="142"/>
        <v>1.33855660741878E-2</v>
      </c>
      <c r="FC113">
        <f t="shared" si="143"/>
        <v>1.3011438666513218E-2</v>
      </c>
      <c r="FD113">
        <f t="shared" si="144"/>
        <v>1.2626421132603186E-2</v>
      </c>
      <c r="FE113">
        <f t="shared" si="145"/>
        <v>1.2247930713865651E-2</v>
      </c>
      <c r="FF113">
        <f t="shared" si="146"/>
        <v>1.1867833036520442E-2</v>
      </c>
      <c r="FG113">
        <f t="shared" si="147"/>
        <v>1.1462398888840113E-2</v>
      </c>
      <c r="FH113">
        <f t="shared" si="148"/>
        <v>1.1038554036754177E-2</v>
      </c>
      <c r="FI113">
        <f t="shared" si="149"/>
        <v>1.0604803029745754E-2</v>
      </c>
      <c r="FJ113">
        <f t="shared" si="150"/>
        <v>1.0163746589420174E-2</v>
      </c>
      <c r="FK113">
        <f t="shared" si="151"/>
        <v>9.7166850765800974E-3</v>
      </c>
      <c r="FL113">
        <f t="shared" si="152"/>
        <v>9.2609038694039109E-3</v>
      </c>
      <c r="FM113">
        <f t="shared" si="153"/>
        <v>8.7952323267797214E-3</v>
      </c>
      <c r="FN113">
        <f t="shared" si="154"/>
        <v>8.337986236266224E-3</v>
      </c>
      <c r="FO113">
        <f t="shared" si="155"/>
        <v>7.8974739858629264E-3</v>
      </c>
      <c r="FP113">
        <f t="shared" si="156"/>
        <v>7.4657858383273433E-3</v>
      </c>
      <c r="FQ113">
        <f t="shared" si="157"/>
        <v>7.0231379588685744E-3</v>
      </c>
      <c r="FR113">
        <f t="shared" si="158"/>
        <v>6.6094998317203406E-3</v>
      </c>
      <c r="FS113">
        <f t="shared" si="159"/>
        <v>6.1692406929088018E-3</v>
      </c>
      <c r="FT113">
        <f t="shared" si="160"/>
        <v>5.6698578501571464E-3</v>
      </c>
      <c r="FU113">
        <f t="shared" si="161"/>
        <v>5.1206847934115052E-3</v>
      </c>
      <c r="FV113">
        <f t="shared" si="162"/>
        <v>4.6034006333326612E-3</v>
      </c>
      <c r="FW113">
        <f t="shared" si="163"/>
        <v>4.2567453250486748E-3</v>
      </c>
      <c r="FX113">
        <f t="shared" si="164"/>
        <v>3.8521844123599138E-3</v>
      </c>
      <c r="FY113">
        <f t="shared" si="165"/>
        <v>3.297550473022061E-3</v>
      </c>
      <c r="FZ113">
        <f t="shared" si="166"/>
        <v>2.5928466709300149E-3</v>
      </c>
      <c r="GA113">
        <f t="shared" si="167"/>
        <v>2.2698857715296125E-3</v>
      </c>
      <c r="GB113">
        <f t="shared" si="168"/>
        <v>1.9512878831921643E-3</v>
      </c>
      <c r="GC113">
        <f t="shared" si="169"/>
        <v>1.5345048445163177E-3</v>
      </c>
      <c r="GD113">
        <f t="shared" si="170"/>
        <v>1.0195398193969696E-3</v>
      </c>
      <c r="GE113">
        <f t="shared" si="171"/>
        <v>2.2758876801492094E-3</v>
      </c>
    </row>
    <row r="114" spans="1:187">
      <c r="A114" s="15">
        <v>2062</v>
      </c>
      <c r="B114" s="18">
        <v>4293.8050000000003</v>
      </c>
      <c r="C114" s="18">
        <v>4303.4219999999996</v>
      </c>
      <c r="D114" s="18">
        <v>4299.4799999999996</v>
      </c>
      <c r="E114" s="18">
        <v>4297.6909999999998</v>
      </c>
      <c r="F114" s="18">
        <v>4292.0810000000001</v>
      </c>
      <c r="G114" s="18">
        <v>4283.6790000000001</v>
      </c>
      <c r="H114" s="18">
        <v>4273.518</v>
      </c>
      <c r="I114" s="18">
        <v>4262.1930000000002</v>
      </c>
      <c r="J114" s="18">
        <v>4250.3019999999997</v>
      </c>
      <c r="K114" s="18">
        <v>4241.0429999999997</v>
      </c>
      <c r="L114" s="18">
        <v>4236.3149999999996</v>
      </c>
      <c r="M114" s="18">
        <v>4235.848</v>
      </c>
      <c r="N114" s="18">
        <v>4236.8900000000003</v>
      </c>
      <c r="O114" s="18">
        <v>4239.2950000000001</v>
      </c>
      <c r="P114" s="18">
        <v>4249.9849999999997</v>
      </c>
      <c r="Q114" s="18">
        <v>4271.9110000000001</v>
      </c>
      <c r="R114" s="18">
        <v>4302.1360000000004</v>
      </c>
      <c r="S114" s="18">
        <v>4333.8869999999997</v>
      </c>
      <c r="T114" s="18">
        <v>4367.4589999999998</v>
      </c>
      <c r="U114" s="18">
        <v>4404.96</v>
      </c>
      <c r="V114" s="18">
        <v>4446.4139999999998</v>
      </c>
      <c r="W114" s="18">
        <v>4490.3320000000003</v>
      </c>
      <c r="X114" s="18">
        <v>4534.9520000000002</v>
      </c>
      <c r="Y114" s="18">
        <v>4580.3209999999999</v>
      </c>
      <c r="Z114" s="18">
        <v>4622.7039999999997</v>
      </c>
      <c r="AA114" s="18">
        <v>4659.9539999999997</v>
      </c>
      <c r="AB114" s="18">
        <v>4693.0839999999998</v>
      </c>
      <c r="AC114" s="18">
        <v>4724.91</v>
      </c>
      <c r="AD114" s="18">
        <v>4754.4660000000003</v>
      </c>
      <c r="AE114" s="18">
        <v>4781.2879999999996</v>
      </c>
      <c r="AF114" s="18">
        <v>4805.2920000000004</v>
      </c>
      <c r="AG114" s="18">
        <v>4825.9740000000002</v>
      </c>
      <c r="AH114" s="18">
        <v>4843.29</v>
      </c>
      <c r="AI114" s="18">
        <v>4857.7020000000002</v>
      </c>
      <c r="AJ114" s="18">
        <v>4865.3909999999996</v>
      </c>
      <c r="AK114" s="18">
        <v>4864.5940000000001</v>
      </c>
      <c r="AL114" s="18">
        <v>4857.1149999999998</v>
      </c>
      <c r="AM114" s="18">
        <v>4848.2709999999997</v>
      </c>
      <c r="AN114" s="18">
        <v>4839.098</v>
      </c>
      <c r="AO114" s="18">
        <v>4822.3909999999996</v>
      </c>
      <c r="AP114" s="18">
        <v>4795.78</v>
      </c>
      <c r="AQ114" s="18">
        <v>4763.7610000000004</v>
      </c>
      <c r="AR114" s="18">
        <v>4732.732</v>
      </c>
      <c r="AS114" s="18">
        <v>4700.8440000000001</v>
      </c>
      <c r="AT114" s="18">
        <v>4679.598</v>
      </c>
      <c r="AU114" s="18">
        <v>4675.1949999999997</v>
      </c>
      <c r="AV114" s="18">
        <v>4682.7120000000004</v>
      </c>
      <c r="AW114" s="18">
        <v>4688.0349999999999</v>
      </c>
      <c r="AX114" s="18">
        <v>4690.4030000000002</v>
      </c>
      <c r="AY114" s="18">
        <v>4704.1310000000003</v>
      </c>
      <c r="AZ114" s="18">
        <v>4733.7719999999999</v>
      </c>
      <c r="BA114" s="18">
        <v>4771.3119999999999</v>
      </c>
      <c r="BB114" s="18">
        <v>4806.9279999999999</v>
      </c>
      <c r="BC114" s="18">
        <v>4845.8760000000002</v>
      </c>
      <c r="BD114" s="18">
        <v>4859.0330000000004</v>
      </c>
      <c r="BE114" s="18">
        <v>4831.9489999999996</v>
      </c>
      <c r="BF114" s="18">
        <v>4778.8280000000004</v>
      </c>
      <c r="BG114" s="18">
        <v>4728.3729999999996</v>
      </c>
      <c r="BH114" s="18">
        <v>4674.9059999999999</v>
      </c>
      <c r="BI114" s="18">
        <v>4628.893</v>
      </c>
      <c r="BJ114" s="18">
        <v>4598.4610000000002</v>
      </c>
      <c r="BK114" s="18">
        <v>4578.2790000000005</v>
      </c>
      <c r="BL114" s="18">
        <v>4550.9089999999997</v>
      </c>
      <c r="BM114" s="18">
        <v>4515.0590000000002</v>
      </c>
      <c r="BN114" s="18">
        <v>4493.6469999999999</v>
      </c>
      <c r="BO114" s="18">
        <v>4494.79</v>
      </c>
      <c r="BP114" s="18">
        <v>4506.4390000000003</v>
      </c>
      <c r="BQ114" s="18">
        <v>4510.6629999999996</v>
      </c>
      <c r="BR114" s="18">
        <v>4513.7389999999996</v>
      </c>
      <c r="BS114" s="18">
        <v>4484.5969999999998</v>
      </c>
      <c r="BT114" s="18">
        <v>4406.8050000000003</v>
      </c>
      <c r="BU114" s="18">
        <v>4295.0550000000003</v>
      </c>
      <c r="BV114" s="18">
        <v>4181.13</v>
      </c>
      <c r="BW114" s="18">
        <v>4059.4670000000001</v>
      </c>
      <c r="BX114" s="18">
        <v>3933.9830000000002</v>
      </c>
      <c r="BY114" s="18">
        <v>3810.0790000000002</v>
      </c>
      <c r="BZ114" s="18">
        <v>3685.2559999999999</v>
      </c>
      <c r="CA114" s="18">
        <v>3552.2579999999998</v>
      </c>
      <c r="CB114" s="18">
        <v>3413.3049999999998</v>
      </c>
      <c r="CC114" s="18">
        <v>3270.75</v>
      </c>
      <c r="CD114" s="18">
        <v>3125.3009999999999</v>
      </c>
      <c r="CE114" s="18">
        <v>2977.5520000000001</v>
      </c>
      <c r="CF114" s="18">
        <v>2827.1680000000001</v>
      </c>
      <c r="CG114" s="18">
        <v>2673.9470000000001</v>
      </c>
      <c r="CH114" s="18">
        <v>2522.8710000000001</v>
      </c>
      <c r="CI114" s="18">
        <v>2376.306</v>
      </c>
      <c r="CJ114" s="18">
        <v>2232.3020000000001</v>
      </c>
      <c r="CK114" s="18">
        <v>2083.5079999999998</v>
      </c>
      <c r="CL114" s="18">
        <v>1953.2380000000001</v>
      </c>
      <c r="CM114" s="18">
        <v>1813.0640000000001</v>
      </c>
      <c r="CN114" s="18">
        <v>1646.0219999999999</v>
      </c>
      <c r="CO114" s="18">
        <v>1454.325</v>
      </c>
      <c r="CP114" s="18">
        <v>1290.5540000000001</v>
      </c>
      <c r="CQ114" s="18">
        <v>1189.5409999999999</v>
      </c>
      <c r="CR114" s="18">
        <v>1068.2080000000001</v>
      </c>
      <c r="CS114" s="18">
        <v>904.697</v>
      </c>
      <c r="CT114" s="18">
        <v>699.01</v>
      </c>
      <c r="CU114" s="18">
        <v>618.04499999999996</v>
      </c>
      <c r="CV114" s="18">
        <v>487.4</v>
      </c>
      <c r="CW114" s="18">
        <v>326.81900000000002</v>
      </c>
      <c r="CX114" s="18">
        <v>742.14800000000002</v>
      </c>
      <c r="CY114" s="3">
        <f t="shared" si="172"/>
        <v>394033.201</v>
      </c>
      <c r="CZ114" s="21">
        <f t="shared" si="88"/>
        <v>317129.71999999997</v>
      </c>
      <c r="DA114">
        <f t="shared" si="89"/>
        <v>1.3771837593777083E-2</v>
      </c>
      <c r="DB114">
        <f t="shared" si="90"/>
        <v>1.3890088888546934E-2</v>
      </c>
      <c r="DC114">
        <f t="shared" si="91"/>
        <v>1.4020805114071302E-2</v>
      </c>
      <c r="DD114">
        <f t="shared" si="92"/>
        <v>1.4159291030812251E-2</v>
      </c>
      <c r="DE114">
        <f t="shared" si="93"/>
        <v>1.4299990552761817E-2</v>
      </c>
      <c r="DF114">
        <f t="shared" si="94"/>
        <v>1.4443051884257332E-2</v>
      </c>
      <c r="DG114">
        <f t="shared" si="95"/>
        <v>1.4576697510406782E-2</v>
      </c>
      <c r="DH114">
        <f t="shared" si="96"/>
        <v>1.4694157330949619E-2</v>
      </c>
      <c r="DI114">
        <f t="shared" si="97"/>
        <v>1.4798625622347853E-2</v>
      </c>
      <c r="DJ114">
        <f t="shared" si="98"/>
        <v>1.4898982031706143E-2</v>
      </c>
      <c r="DK114">
        <f t="shared" si="99"/>
        <v>1.4992180486899811E-2</v>
      </c>
      <c r="DL114">
        <f t="shared" si="100"/>
        <v>1.5076757864258198E-2</v>
      </c>
      <c r="DM114">
        <f t="shared" si="101"/>
        <v>1.515244928794438E-2</v>
      </c>
      <c r="DN114">
        <f t="shared" si="102"/>
        <v>1.5217665502936781E-2</v>
      </c>
      <c r="DO114">
        <f t="shared" si="103"/>
        <v>1.5272267764749391E-2</v>
      </c>
      <c r="DP114">
        <f t="shared" si="104"/>
        <v>1.5317712890485322E-2</v>
      </c>
      <c r="DQ114">
        <f t="shared" si="105"/>
        <v>1.5341958489415625E-2</v>
      </c>
      <c r="DR114">
        <f t="shared" si="106"/>
        <v>1.5339445322248575E-2</v>
      </c>
      <c r="DS114">
        <f t="shared" si="107"/>
        <v>1.5315861912910591E-2</v>
      </c>
      <c r="DT114">
        <f t="shared" si="108"/>
        <v>1.5287974271222514E-2</v>
      </c>
      <c r="DU114">
        <f t="shared" si="109"/>
        <v>1.5259049199173135E-2</v>
      </c>
      <c r="DV114">
        <f t="shared" si="110"/>
        <v>1.5206367287178257E-2</v>
      </c>
      <c r="DW114">
        <f t="shared" si="111"/>
        <v>1.5122455252695963E-2</v>
      </c>
      <c r="DX114">
        <f t="shared" si="112"/>
        <v>1.5021490259569493E-2</v>
      </c>
      <c r="DY114">
        <f t="shared" si="113"/>
        <v>1.4923647017378253E-2</v>
      </c>
      <c r="DZ114">
        <f t="shared" si="114"/>
        <v>1.4823095104426039E-2</v>
      </c>
      <c r="EA114">
        <f t="shared" si="115"/>
        <v>1.4756100437385686E-2</v>
      </c>
      <c r="EB114">
        <f t="shared" si="116"/>
        <v>1.4742216528933334E-2</v>
      </c>
      <c r="EC114">
        <f t="shared" si="117"/>
        <v>1.4765919763054693E-2</v>
      </c>
      <c r="ED114">
        <f t="shared" si="118"/>
        <v>1.4782704692578167E-2</v>
      </c>
      <c r="EE114">
        <f t="shared" si="119"/>
        <v>1.4790171668552543E-2</v>
      </c>
      <c r="EF114">
        <f t="shared" si="120"/>
        <v>1.4833459948187766E-2</v>
      </c>
      <c r="EG114">
        <f t="shared" si="121"/>
        <v>1.4926926432502133E-2</v>
      </c>
      <c r="EH114">
        <f t="shared" si="122"/>
        <v>1.5045300705339128E-2</v>
      </c>
      <c r="EI114">
        <f t="shared" si="123"/>
        <v>1.5157608060196944E-2</v>
      </c>
      <c r="EJ114">
        <f t="shared" si="124"/>
        <v>1.5280422156586272E-2</v>
      </c>
      <c r="EK114">
        <f t="shared" si="125"/>
        <v>1.5321909911187134E-2</v>
      </c>
      <c r="EL114">
        <f t="shared" si="126"/>
        <v>1.5236506373480228E-2</v>
      </c>
      <c r="EM114">
        <f t="shared" si="127"/>
        <v>1.5069000786176713E-2</v>
      </c>
      <c r="EN114">
        <f t="shared" si="128"/>
        <v>1.490990185341191E-2</v>
      </c>
      <c r="EO114">
        <f t="shared" si="129"/>
        <v>1.4741305229922948E-2</v>
      </c>
      <c r="EP114">
        <f t="shared" si="130"/>
        <v>1.4596213183677646E-2</v>
      </c>
      <c r="EQ114">
        <f t="shared" si="131"/>
        <v>1.4500252451898865E-2</v>
      </c>
      <c r="ER114">
        <f t="shared" si="132"/>
        <v>1.4436612878792946E-2</v>
      </c>
      <c r="ES114">
        <f t="shared" si="133"/>
        <v>1.4350307501926972E-2</v>
      </c>
      <c r="ET114">
        <f t="shared" si="134"/>
        <v>1.4237262278666283E-2</v>
      </c>
      <c r="EU114">
        <f t="shared" si="135"/>
        <v>1.4169744166519619E-2</v>
      </c>
      <c r="EV114">
        <f t="shared" si="136"/>
        <v>1.4173348369872116E-2</v>
      </c>
      <c r="EW114">
        <f t="shared" si="137"/>
        <v>1.4210080972543351E-2</v>
      </c>
      <c r="EX114">
        <f t="shared" si="138"/>
        <v>1.422340044320034E-2</v>
      </c>
      <c r="EY114">
        <f t="shared" si="139"/>
        <v>1.4233099944085972E-2</v>
      </c>
      <c r="EZ114">
        <f t="shared" si="140"/>
        <v>1.4141206948374313E-2</v>
      </c>
      <c r="FA114">
        <f t="shared" si="141"/>
        <v>1.389590669710805E-2</v>
      </c>
      <c r="FB114">
        <f t="shared" si="142"/>
        <v>1.354352723547954E-2</v>
      </c>
      <c r="FC114">
        <f t="shared" si="143"/>
        <v>1.3184289381644837E-2</v>
      </c>
      <c r="FD114">
        <f t="shared" si="144"/>
        <v>1.2800651417974955E-2</v>
      </c>
      <c r="FE114">
        <f t="shared" si="145"/>
        <v>1.2404964757008585E-2</v>
      </c>
      <c r="FF114">
        <f t="shared" si="146"/>
        <v>1.2014260284403494E-2</v>
      </c>
      <c r="FG114">
        <f t="shared" si="147"/>
        <v>1.1620657944011051E-2</v>
      </c>
      <c r="FH114">
        <f t="shared" si="148"/>
        <v>1.1201277508774643E-2</v>
      </c>
      <c r="FI114">
        <f t="shared" si="149"/>
        <v>1.0763119268670247E-2</v>
      </c>
      <c r="FJ114">
        <f t="shared" si="150"/>
        <v>1.0313602900415641E-2</v>
      </c>
      <c r="FK114">
        <f t="shared" si="151"/>
        <v>9.8549609289220828E-3</v>
      </c>
      <c r="FL114">
        <f t="shared" si="152"/>
        <v>9.3890664047507136E-3</v>
      </c>
      <c r="FM114">
        <f t="shared" si="153"/>
        <v>8.9148629778375878E-3</v>
      </c>
      <c r="FN114">
        <f t="shared" si="154"/>
        <v>8.431713684860568E-3</v>
      </c>
      <c r="FO114">
        <f t="shared" si="155"/>
        <v>7.9553281855765535E-3</v>
      </c>
      <c r="FP114">
        <f t="shared" si="156"/>
        <v>7.4931671493923694E-3</v>
      </c>
      <c r="FQ114">
        <f t="shared" si="157"/>
        <v>7.039081672950742E-3</v>
      </c>
      <c r="FR114">
        <f t="shared" si="158"/>
        <v>6.5698919672366246E-3</v>
      </c>
      <c r="FS114">
        <f t="shared" si="159"/>
        <v>6.1591136901328588E-3</v>
      </c>
      <c r="FT114">
        <f t="shared" si="160"/>
        <v>5.7171052905416759E-3</v>
      </c>
      <c r="FU114">
        <f t="shared" si="161"/>
        <v>5.1903744625385476E-3</v>
      </c>
      <c r="FV114">
        <f t="shared" si="162"/>
        <v>4.5858994231130412E-3</v>
      </c>
      <c r="FW114">
        <f t="shared" si="163"/>
        <v>4.069482986331272E-3</v>
      </c>
      <c r="FX114">
        <f t="shared" si="164"/>
        <v>3.7509603325730557E-3</v>
      </c>
      <c r="FY114">
        <f t="shared" si="165"/>
        <v>3.368362952548251E-3</v>
      </c>
      <c r="FZ114">
        <f t="shared" si="166"/>
        <v>2.8527663695474522E-3</v>
      </c>
      <c r="GA114">
        <f t="shared" si="167"/>
        <v>2.2041768901382062E-3</v>
      </c>
      <c r="GB114">
        <f t="shared" si="168"/>
        <v>1.9488712694603332E-3</v>
      </c>
      <c r="GC114">
        <f t="shared" si="169"/>
        <v>1.5369105109417057E-3</v>
      </c>
      <c r="GD114">
        <f t="shared" si="170"/>
        <v>1.0305530493956859E-3</v>
      </c>
      <c r="GE114">
        <f t="shared" si="171"/>
        <v>2.3402032455362431E-3</v>
      </c>
    </row>
    <row r="115" spans="1:187">
      <c r="A115" s="15">
        <v>2063</v>
      </c>
      <c r="B115" s="18">
        <v>4297.9930000000004</v>
      </c>
      <c r="C115" s="18">
        <v>4311.0990000000002</v>
      </c>
      <c r="D115" s="18">
        <v>4317.0379999999996</v>
      </c>
      <c r="E115" s="18">
        <v>4309.3919999999998</v>
      </c>
      <c r="F115" s="18">
        <v>4304.9129999999996</v>
      </c>
      <c r="G115" s="18">
        <v>4297.1499999999996</v>
      </c>
      <c r="H115" s="18">
        <v>4287.1750000000002</v>
      </c>
      <c r="I115" s="18">
        <v>4276.0640000000003</v>
      </c>
      <c r="J115" s="18">
        <v>4264.2420000000002</v>
      </c>
      <c r="K115" s="18">
        <v>4252.1310000000003</v>
      </c>
      <c r="L115" s="18">
        <v>4244.0590000000002</v>
      </c>
      <c r="M115" s="18">
        <v>4242.402</v>
      </c>
      <c r="N115" s="18">
        <v>4246.2830000000004</v>
      </c>
      <c r="O115" s="18">
        <v>4251.7060000000001</v>
      </c>
      <c r="P115" s="18">
        <v>4258.5789999999997</v>
      </c>
      <c r="Q115" s="18">
        <v>4273.808</v>
      </c>
      <c r="R115" s="18">
        <v>4300.1469999999999</v>
      </c>
      <c r="S115" s="18">
        <v>4334.5219999999999</v>
      </c>
      <c r="T115" s="18">
        <v>4370.3360000000002</v>
      </c>
      <c r="U115" s="18">
        <v>4407.9859999999999</v>
      </c>
      <c r="V115" s="18">
        <v>4448.027</v>
      </c>
      <c r="W115" s="18">
        <v>4489.7719999999999</v>
      </c>
      <c r="X115" s="18">
        <v>4532.3990000000003</v>
      </c>
      <c r="Y115" s="18">
        <v>4575.5969999999998</v>
      </c>
      <c r="Z115" s="18">
        <v>4619.2120000000004</v>
      </c>
      <c r="AA115" s="18">
        <v>4659.549</v>
      </c>
      <c r="AB115" s="18">
        <v>4694.6589999999997</v>
      </c>
      <c r="AC115" s="18">
        <v>4725.5439999999999</v>
      </c>
      <c r="AD115" s="18">
        <v>4754.83</v>
      </c>
      <c r="AE115" s="18">
        <v>4781.5959999999995</v>
      </c>
      <c r="AF115" s="18">
        <v>4805.8270000000002</v>
      </c>
      <c r="AG115" s="18">
        <v>4827.6459999999997</v>
      </c>
      <c r="AH115" s="18">
        <v>4846.4229999999998</v>
      </c>
      <c r="AI115" s="18">
        <v>4861.7719999999999</v>
      </c>
      <c r="AJ115" s="18">
        <v>4874.2060000000001</v>
      </c>
      <c r="AK115" s="18">
        <v>4880.0770000000002</v>
      </c>
      <c r="AL115" s="18">
        <v>4877.6660000000002</v>
      </c>
      <c r="AM115" s="18">
        <v>4868.7259999999997</v>
      </c>
      <c r="AN115" s="18">
        <v>4858.47</v>
      </c>
      <c r="AO115" s="18">
        <v>4847.9369999999999</v>
      </c>
      <c r="AP115" s="18">
        <v>4829.9470000000001</v>
      </c>
      <c r="AQ115" s="18">
        <v>4802.125</v>
      </c>
      <c r="AR115" s="18">
        <v>4768.9470000000001</v>
      </c>
      <c r="AS115" s="18">
        <v>4736.7839999999997</v>
      </c>
      <c r="AT115" s="18">
        <v>4703.7809999999999</v>
      </c>
      <c r="AU115" s="18">
        <v>4681.3999999999996</v>
      </c>
      <c r="AV115" s="18">
        <v>4675.8159999999998</v>
      </c>
      <c r="AW115" s="18">
        <v>4682.1080000000002</v>
      </c>
      <c r="AX115" s="18">
        <v>4686.2049999999999</v>
      </c>
      <c r="AY115" s="18">
        <v>4687.3549999999996</v>
      </c>
      <c r="AZ115" s="18">
        <v>4699.7439999999997</v>
      </c>
      <c r="BA115" s="18">
        <v>4727.8710000000001</v>
      </c>
      <c r="BB115" s="18">
        <v>4763.7830000000004</v>
      </c>
      <c r="BC115" s="18">
        <v>4797.7579999999998</v>
      </c>
      <c r="BD115" s="18">
        <v>4835.0219999999999</v>
      </c>
      <c r="BE115" s="18">
        <v>4846.5600000000004</v>
      </c>
      <c r="BF115" s="18">
        <v>4817.9870000000001</v>
      </c>
      <c r="BG115" s="18">
        <v>4763.45</v>
      </c>
      <c r="BH115" s="18">
        <v>4711.4989999999998</v>
      </c>
      <c r="BI115" s="18">
        <v>4656.4579999999996</v>
      </c>
      <c r="BJ115" s="18">
        <v>4608.8890000000001</v>
      </c>
      <c r="BK115" s="18">
        <v>4576.9399999999996</v>
      </c>
      <c r="BL115" s="18">
        <v>4555.2219999999998</v>
      </c>
      <c r="BM115" s="18">
        <v>4526.2209999999995</v>
      </c>
      <c r="BN115" s="18">
        <v>4488.67</v>
      </c>
      <c r="BO115" s="18">
        <v>4465.3010000000004</v>
      </c>
      <c r="BP115" s="18">
        <v>4464.1400000000003</v>
      </c>
      <c r="BQ115" s="18">
        <v>4473.2120000000004</v>
      </c>
      <c r="BR115" s="18">
        <v>4474.7259999999997</v>
      </c>
      <c r="BS115" s="18">
        <v>4474.8900000000003</v>
      </c>
      <c r="BT115" s="18">
        <v>4442.8100000000004</v>
      </c>
      <c r="BU115" s="18">
        <v>4362.143</v>
      </c>
      <c r="BV115" s="18">
        <v>4247.4669999999996</v>
      </c>
      <c r="BW115" s="18">
        <v>4130.366</v>
      </c>
      <c r="BX115" s="18">
        <v>4005.3240000000001</v>
      </c>
      <c r="BY115" s="18">
        <v>3876.0790000000002</v>
      </c>
      <c r="BZ115" s="18">
        <v>3747.9279999999999</v>
      </c>
      <c r="CA115" s="18">
        <v>3618.451</v>
      </c>
      <c r="CB115" s="18">
        <v>3480.634</v>
      </c>
      <c r="CC115" s="18">
        <v>3336.7260000000001</v>
      </c>
      <c r="CD115" s="18">
        <v>3188.7469999999998</v>
      </c>
      <c r="CE115" s="18">
        <v>3037.288</v>
      </c>
      <c r="CF115" s="18">
        <v>2883.1280000000002</v>
      </c>
      <c r="CG115" s="18">
        <v>2726.4560000000001</v>
      </c>
      <c r="CH115" s="18">
        <v>2567.2379999999998</v>
      </c>
      <c r="CI115" s="18">
        <v>2409.6439999999998</v>
      </c>
      <c r="CJ115" s="18">
        <v>2255.7809999999999</v>
      </c>
      <c r="CK115" s="18">
        <v>2104.25</v>
      </c>
      <c r="CL115" s="18">
        <v>1946.606</v>
      </c>
      <c r="CM115" s="18">
        <v>1816.838</v>
      </c>
      <c r="CN115" s="18">
        <v>1675.68</v>
      </c>
      <c r="CO115" s="18">
        <v>1499.4749999999999</v>
      </c>
      <c r="CP115" s="18">
        <v>1289.7</v>
      </c>
      <c r="CQ115" s="18">
        <v>1125.701</v>
      </c>
      <c r="CR115" s="18">
        <v>1033.2719999999999</v>
      </c>
      <c r="CS115" s="18">
        <v>918.50900000000001</v>
      </c>
      <c r="CT115" s="18">
        <v>766.83900000000006</v>
      </c>
      <c r="CU115" s="18">
        <v>578.26300000000003</v>
      </c>
      <c r="CV115" s="18">
        <v>488.43900000000002</v>
      </c>
      <c r="CW115" s="18">
        <v>330.428</v>
      </c>
      <c r="CX115" s="18">
        <v>762.82899999999995</v>
      </c>
      <c r="CY115" s="3">
        <f t="shared" si="172"/>
        <v>395312.81000000011</v>
      </c>
      <c r="CZ115" s="21">
        <f t="shared" si="88"/>
        <v>318244.10700000025</v>
      </c>
      <c r="DA115">
        <f t="shared" si="89"/>
        <v>1.3732653343365748E-2</v>
      </c>
      <c r="DB115">
        <f t="shared" si="90"/>
        <v>1.3850958754752358E-2</v>
      </c>
      <c r="DC115">
        <f t="shared" si="91"/>
        <v>1.3976777266766471E-2</v>
      </c>
      <c r="DD115">
        <f t="shared" si="92"/>
        <v>1.4107950159152503E-2</v>
      </c>
      <c r="DE115">
        <f t="shared" si="93"/>
        <v>1.4241894508984566E-2</v>
      </c>
      <c r="DF115">
        <f t="shared" si="94"/>
        <v>1.4377633078999939E-2</v>
      </c>
      <c r="DG115">
        <f t="shared" si="95"/>
        <v>1.4514681963930276E-2</v>
      </c>
      <c r="DH115">
        <f t="shared" si="96"/>
        <v>1.4641430579577067E-2</v>
      </c>
      <c r="DI115">
        <f t="shared" si="97"/>
        <v>1.4751754696277835E-2</v>
      </c>
      <c r="DJ115">
        <f t="shared" si="98"/>
        <v>1.4848802840518885E-2</v>
      </c>
      <c r="DK115">
        <f t="shared" si="99"/>
        <v>1.4940826539798257E-2</v>
      </c>
      <c r="DL115">
        <f t="shared" si="100"/>
        <v>1.5024931789231829E-2</v>
      </c>
      <c r="DM115">
        <f t="shared" si="101"/>
        <v>1.5101071455189574E-2</v>
      </c>
      <c r="DN115">
        <f t="shared" si="102"/>
        <v>1.5169632033437765E-2</v>
      </c>
      <c r="DO115">
        <f t="shared" si="103"/>
        <v>1.5228633911514961E-2</v>
      </c>
      <c r="DP115">
        <f t="shared" si="104"/>
        <v>1.5276864184008272E-2</v>
      </c>
      <c r="DQ115">
        <f t="shared" si="105"/>
        <v>1.5315934821064876E-2</v>
      </c>
      <c r="DR115">
        <f t="shared" si="106"/>
        <v>1.5334382923860383E-2</v>
      </c>
      <c r="DS115">
        <f t="shared" si="107"/>
        <v>1.5326806978392836E-2</v>
      </c>
      <c r="DT115">
        <f t="shared" si="108"/>
        <v>1.5298715334892268E-2</v>
      </c>
      <c r="DU115">
        <f t="shared" si="109"/>
        <v>1.5266488500916676E-2</v>
      </c>
      <c r="DV115">
        <f t="shared" si="110"/>
        <v>1.5233391265906445E-2</v>
      </c>
      <c r="DW115">
        <f t="shared" si="111"/>
        <v>1.517686233228506E-2</v>
      </c>
      <c r="DX115">
        <f t="shared" si="112"/>
        <v>1.5089438875297057E-2</v>
      </c>
      <c r="DY115">
        <f t="shared" si="113"/>
        <v>1.4985185570144733E-2</v>
      </c>
      <c r="DZ115">
        <f t="shared" si="114"/>
        <v>1.4884121640624743E-2</v>
      </c>
      <c r="EA115">
        <f t="shared" si="115"/>
        <v>1.4780418227822821E-2</v>
      </c>
      <c r="EB115">
        <f t="shared" si="116"/>
        <v>1.4710091709569334E-2</v>
      </c>
      <c r="EC115">
        <f t="shared" si="117"/>
        <v>1.4692545430228488E-2</v>
      </c>
      <c r="ED115">
        <f t="shared" si="118"/>
        <v>1.4712316416906963E-2</v>
      </c>
      <c r="EE115">
        <f t="shared" si="119"/>
        <v>1.4725190182390388E-2</v>
      </c>
      <c r="EF115">
        <f t="shared" si="120"/>
        <v>1.4728803760693033E-2</v>
      </c>
      <c r="EG115">
        <f t="shared" si="121"/>
        <v>1.4767732996859533E-2</v>
      </c>
      <c r="EH115">
        <f t="shared" si="122"/>
        <v>1.485611483765824E-2</v>
      </c>
      <c r="EI115">
        <f t="shared" si="123"/>
        <v>1.4968959032444855E-2</v>
      </c>
      <c r="EJ115">
        <f t="shared" si="124"/>
        <v>1.5075716704473011E-2</v>
      </c>
      <c r="EK115">
        <f t="shared" si="125"/>
        <v>1.5192809210446735E-2</v>
      </c>
      <c r="EL115">
        <f t="shared" si="126"/>
        <v>1.5229064398669279E-2</v>
      </c>
      <c r="EM115">
        <f t="shared" si="127"/>
        <v>1.5139281117937546E-2</v>
      </c>
      <c r="EN115">
        <f t="shared" si="128"/>
        <v>1.4967912665858086E-2</v>
      </c>
      <c r="EO115">
        <f t="shared" si="129"/>
        <v>1.4804670051596575E-2</v>
      </c>
      <c r="EP115">
        <f t="shared" si="130"/>
        <v>1.4631717909547955E-2</v>
      </c>
      <c r="EQ115">
        <f t="shared" si="131"/>
        <v>1.4482244599740526E-2</v>
      </c>
      <c r="ER115">
        <f t="shared" si="132"/>
        <v>1.4381853110009028E-2</v>
      </c>
      <c r="ES115">
        <f t="shared" si="133"/>
        <v>1.4313609898203067E-2</v>
      </c>
      <c r="ET115">
        <f t="shared" si="134"/>
        <v>1.4222481737894352E-2</v>
      </c>
      <c r="EU115">
        <f t="shared" si="135"/>
        <v>1.4104487408465968E-2</v>
      </c>
      <c r="EV115">
        <f t="shared" si="136"/>
        <v>1.4031056355114211E-2</v>
      </c>
      <c r="EW115">
        <f t="shared" si="137"/>
        <v>1.4027408212149539E-2</v>
      </c>
      <c r="EX115">
        <f t="shared" si="138"/>
        <v>1.405591463159441E-2</v>
      </c>
      <c r="EY115">
        <f t="shared" si="139"/>
        <v>1.406067198598589E-2</v>
      </c>
      <c r="EZ115">
        <f t="shared" si="140"/>
        <v>1.406118731367427E-2</v>
      </c>
      <c r="FA115">
        <f t="shared" si="141"/>
        <v>1.3960384190240472E-2</v>
      </c>
      <c r="FB115">
        <f t="shared" si="142"/>
        <v>1.37069089546409E-2</v>
      </c>
      <c r="FC115">
        <f t="shared" si="143"/>
        <v>1.3346569210785092E-2</v>
      </c>
      <c r="FD115">
        <f t="shared" si="144"/>
        <v>1.2978609530073707E-2</v>
      </c>
      <c r="FE115">
        <f t="shared" si="145"/>
        <v>1.2585697305622055E-2</v>
      </c>
      <c r="FF115">
        <f t="shared" si="146"/>
        <v>1.2179578238034732E-2</v>
      </c>
      <c r="FG115">
        <f t="shared" si="147"/>
        <v>1.1776896783197927E-2</v>
      </c>
      <c r="FH115">
        <f t="shared" si="148"/>
        <v>1.1370048715466072E-2</v>
      </c>
      <c r="FI115">
        <f t="shared" si="149"/>
        <v>1.093699434943503E-2</v>
      </c>
      <c r="FJ115">
        <f t="shared" si="150"/>
        <v>1.0484800587367978E-2</v>
      </c>
      <c r="FK115">
        <f t="shared" si="151"/>
        <v>1.0019814758109558E-2</v>
      </c>
      <c r="FL115">
        <f t="shared" si="152"/>
        <v>9.5438939266831342E-3</v>
      </c>
      <c r="FM115">
        <f t="shared" si="153"/>
        <v>9.0594858996084979E-3</v>
      </c>
      <c r="FN115">
        <f t="shared" si="154"/>
        <v>8.5671845606240804E-3</v>
      </c>
      <c r="FO115">
        <f t="shared" si="155"/>
        <v>8.0668830735018075E-3</v>
      </c>
      <c r="FP115">
        <f t="shared" si="156"/>
        <v>7.5716845873912688E-3</v>
      </c>
      <c r="FQ115">
        <f t="shared" si="157"/>
        <v>7.0882098061913149E-3</v>
      </c>
      <c r="FR115">
        <f t="shared" si="158"/>
        <v>6.612062733340726E-3</v>
      </c>
      <c r="FS115">
        <f t="shared" si="159"/>
        <v>6.1167071351300728E-3</v>
      </c>
      <c r="FT115">
        <f t="shared" si="160"/>
        <v>5.7089446749755482E-3</v>
      </c>
      <c r="FU115">
        <f t="shared" si="161"/>
        <v>5.2653920784148213E-3</v>
      </c>
      <c r="FV115">
        <f t="shared" si="162"/>
        <v>4.7117133263994693E-3</v>
      </c>
      <c r="FW115">
        <f t="shared" si="163"/>
        <v>4.0525495103668928E-3</v>
      </c>
      <c r="FX115">
        <f t="shared" si="164"/>
        <v>3.537224964231621E-3</v>
      </c>
      <c r="FY115">
        <f t="shared" si="165"/>
        <v>3.2467906782009922E-3</v>
      </c>
      <c r="FZ115">
        <f t="shared" si="166"/>
        <v>2.8861775592909857E-3</v>
      </c>
      <c r="GA115">
        <f t="shared" si="167"/>
        <v>2.4095937148020763E-3</v>
      </c>
      <c r="GB115">
        <f t="shared" si="168"/>
        <v>1.8170422869762662E-3</v>
      </c>
      <c r="GC115">
        <f t="shared" si="169"/>
        <v>1.5347935413616304E-3</v>
      </c>
      <c r="GD115">
        <f t="shared" si="170"/>
        <v>1.0382847403361338E-3</v>
      </c>
      <c r="GE115">
        <f t="shared" si="171"/>
        <v>2.3969933243728511E-3</v>
      </c>
    </row>
    <row r="116" spans="1:187">
      <c r="A116" s="15">
        <v>2064</v>
      </c>
      <c r="B116" s="18">
        <v>4299.8630000000003</v>
      </c>
      <c r="C116" s="18">
        <v>4316.0940000000001</v>
      </c>
      <c r="D116" s="18">
        <v>4324.6090000000004</v>
      </c>
      <c r="E116" s="18">
        <v>4326.5659999999998</v>
      </c>
      <c r="F116" s="18">
        <v>4317.7730000000001</v>
      </c>
      <c r="G116" s="18">
        <v>4310.6049999999996</v>
      </c>
      <c r="H116" s="18">
        <v>4300.692</v>
      </c>
      <c r="I116" s="18">
        <v>4289.1480000000001</v>
      </c>
      <c r="J116" s="18">
        <v>4277.0929999999998</v>
      </c>
      <c r="K116" s="18">
        <v>4264.7759999999998</v>
      </c>
      <c r="L116" s="18">
        <v>4252.45</v>
      </c>
      <c r="M116" s="18">
        <v>4245.567</v>
      </c>
      <c r="N116" s="18">
        <v>4246.9809999999998</v>
      </c>
      <c r="O116" s="18">
        <v>4255.2089999999998</v>
      </c>
      <c r="P116" s="18">
        <v>4265.009</v>
      </c>
      <c r="Q116" s="18">
        <v>4276.3469999999998</v>
      </c>
      <c r="R116" s="18">
        <v>4296.1080000000002</v>
      </c>
      <c r="S116" s="18">
        <v>4326.8509999999997</v>
      </c>
      <c r="T116" s="18">
        <v>4365.3639999999996</v>
      </c>
      <c r="U116" s="18">
        <v>4405.2259999999997</v>
      </c>
      <c r="V116" s="18">
        <v>4446.9390000000003</v>
      </c>
      <c r="W116" s="18">
        <v>4489.5060000000003</v>
      </c>
      <c r="X116" s="18">
        <v>4531.5280000000002</v>
      </c>
      <c r="Y116" s="18">
        <v>4572.848</v>
      </c>
      <c r="Z116" s="18">
        <v>4614.607</v>
      </c>
      <c r="AA116" s="18">
        <v>4656.4530000000004</v>
      </c>
      <c r="AB116" s="18">
        <v>4694.7309999999998</v>
      </c>
      <c r="AC116" s="18">
        <v>4727.6880000000001</v>
      </c>
      <c r="AD116" s="18">
        <v>4756.3190000000004</v>
      </c>
      <c r="AE116" s="18">
        <v>4783.0540000000001</v>
      </c>
      <c r="AF116" s="18">
        <v>4807.0219999999999</v>
      </c>
      <c r="AG116" s="18">
        <v>4828.6540000000005</v>
      </c>
      <c r="AH116" s="18">
        <v>4848.2809999999999</v>
      </c>
      <c r="AI116" s="18">
        <v>4865.1459999999997</v>
      </c>
      <c r="AJ116" s="18">
        <v>4878.5209999999997</v>
      </c>
      <c r="AK116" s="18">
        <v>4888.9740000000002</v>
      </c>
      <c r="AL116" s="18">
        <v>4893.0259999999998</v>
      </c>
      <c r="AM116" s="18">
        <v>4889</v>
      </c>
      <c r="AN116" s="18">
        <v>4878.6049999999996</v>
      </c>
      <c r="AO116" s="18">
        <v>4866.9409999999998</v>
      </c>
      <c r="AP116" s="18">
        <v>4855.0519999999997</v>
      </c>
      <c r="AQ116" s="18">
        <v>4835.7849999999999</v>
      </c>
      <c r="AR116" s="18">
        <v>4806.7619999999997</v>
      </c>
      <c r="AS116" s="18">
        <v>4772.4369999999999</v>
      </c>
      <c r="AT116" s="18">
        <v>4739.1509999999998</v>
      </c>
      <c r="AU116" s="18">
        <v>4705.0450000000001</v>
      </c>
      <c r="AV116" s="18">
        <v>4681.5379999999996</v>
      </c>
      <c r="AW116" s="18">
        <v>4674.7740000000003</v>
      </c>
      <c r="AX116" s="18">
        <v>4679.8389999999999</v>
      </c>
      <c r="AY116" s="18">
        <v>4682.7089999999998</v>
      </c>
      <c r="AZ116" s="18">
        <v>4682.6400000000003</v>
      </c>
      <c r="BA116" s="18">
        <v>4693.6859999999997</v>
      </c>
      <c r="BB116" s="18">
        <v>4720.2910000000002</v>
      </c>
      <c r="BC116" s="18">
        <v>4754.5619999999999</v>
      </c>
      <c r="BD116" s="18">
        <v>4786.8850000000002</v>
      </c>
      <c r="BE116" s="18">
        <v>4822.45</v>
      </c>
      <c r="BF116" s="18">
        <v>4832.3670000000002</v>
      </c>
      <c r="BG116" s="18">
        <v>4802.3159999999998</v>
      </c>
      <c r="BH116" s="18">
        <v>4746.3789999999999</v>
      </c>
      <c r="BI116" s="18">
        <v>4692.9530000000004</v>
      </c>
      <c r="BJ116" s="18">
        <v>4636.3580000000002</v>
      </c>
      <c r="BK116" s="18">
        <v>4587.2489999999998</v>
      </c>
      <c r="BL116" s="18">
        <v>4553.7960000000003</v>
      </c>
      <c r="BM116" s="18">
        <v>4530.549</v>
      </c>
      <c r="BN116" s="18">
        <v>4499.9279999999999</v>
      </c>
      <c r="BO116" s="18">
        <v>4460.6880000000001</v>
      </c>
      <c r="BP116" s="18">
        <v>4435.3720000000003</v>
      </c>
      <c r="BQ116" s="18">
        <v>4431.9070000000002</v>
      </c>
      <c r="BR116" s="18">
        <v>4438.3990000000003</v>
      </c>
      <c r="BS116" s="18">
        <v>4437.2020000000002</v>
      </c>
      <c r="BT116" s="18">
        <v>4434.4549999999999</v>
      </c>
      <c r="BU116" s="18">
        <v>4399.4489999999996</v>
      </c>
      <c r="BV116" s="18">
        <v>4315.9380000000001</v>
      </c>
      <c r="BW116" s="18">
        <v>4198.375</v>
      </c>
      <c r="BX116" s="18">
        <v>4078.1419999999998</v>
      </c>
      <c r="BY116" s="18">
        <v>3949.7629999999999</v>
      </c>
      <c r="BZ116" s="18">
        <v>3816.8049999999998</v>
      </c>
      <c r="CA116" s="18">
        <v>3684.453</v>
      </c>
      <c r="CB116" s="18">
        <v>3550.3679999999999</v>
      </c>
      <c r="CC116" s="18">
        <v>3407.7829999999999</v>
      </c>
      <c r="CD116" s="18">
        <v>3258.971</v>
      </c>
      <c r="CE116" s="18">
        <v>3105.6210000000001</v>
      </c>
      <c r="CF116" s="18">
        <v>2948.2080000000001</v>
      </c>
      <c r="CG116" s="18">
        <v>2787.6930000000002</v>
      </c>
      <c r="CH116" s="18">
        <v>2624.79</v>
      </c>
      <c r="CI116" s="18">
        <v>2459.63</v>
      </c>
      <c r="CJ116" s="18">
        <v>2295.5770000000002</v>
      </c>
      <c r="CK116" s="18">
        <v>2134.473</v>
      </c>
      <c r="CL116" s="18">
        <v>1975.4690000000001</v>
      </c>
      <c r="CM116" s="18">
        <v>1809.0340000000001</v>
      </c>
      <c r="CN116" s="18">
        <v>1679.8140000000001</v>
      </c>
      <c r="CO116" s="18">
        <v>1537.721</v>
      </c>
      <c r="CP116" s="18">
        <v>1352.4190000000001</v>
      </c>
      <c r="CQ116" s="18">
        <v>1124.645</v>
      </c>
      <c r="CR116" s="18">
        <v>960.476</v>
      </c>
      <c r="CS116" s="18">
        <v>876.66300000000001</v>
      </c>
      <c r="CT116" s="18">
        <v>768.51</v>
      </c>
      <c r="CU116" s="18">
        <v>628.73199999999997</v>
      </c>
      <c r="CV116" s="18">
        <v>457.33100000000002</v>
      </c>
      <c r="CW116" s="18">
        <v>333.483</v>
      </c>
      <c r="CX116" s="18">
        <v>780.87400000000002</v>
      </c>
      <c r="CY116" s="3">
        <f t="shared" si="172"/>
        <v>396594.90800000011</v>
      </c>
      <c r="CZ116" s="21">
        <f t="shared" si="88"/>
        <v>319403.16700000007</v>
      </c>
      <c r="DA116">
        <f t="shared" si="89"/>
        <v>1.3667253336908831E-2</v>
      </c>
      <c r="DB116">
        <f t="shared" si="90"/>
        <v>1.3792054854609499E-2</v>
      </c>
      <c r="DC116">
        <f t="shared" si="91"/>
        <v>1.3922651555925239E-2</v>
      </c>
      <c r="DD116">
        <f t="shared" si="92"/>
        <v>1.405592199403583E-2</v>
      </c>
      <c r="DE116">
        <f t="shared" si="93"/>
        <v>1.4187486124707082E-2</v>
      </c>
      <c r="DF116">
        <f t="shared" si="94"/>
        <v>1.4316852406162895E-2</v>
      </c>
      <c r="DG116">
        <f t="shared" si="95"/>
        <v>1.4447593126088192E-2</v>
      </c>
      <c r="DH116">
        <f t="shared" si="96"/>
        <v>1.4578606229035918E-2</v>
      </c>
      <c r="DI116">
        <f t="shared" si="97"/>
        <v>1.4698448497224821E-2</v>
      </c>
      <c r="DJ116">
        <f t="shared" si="98"/>
        <v>1.4801631569294987E-2</v>
      </c>
      <c r="DK116">
        <f t="shared" si="99"/>
        <v>1.4891270630387955E-2</v>
      </c>
      <c r="DL116">
        <f t="shared" si="100"/>
        <v>1.497497362009563E-2</v>
      </c>
      <c r="DM116">
        <f t="shared" si="101"/>
        <v>1.5050013577354412E-2</v>
      </c>
      <c r="DN116">
        <f t="shared" si="102"/>
        <v>1.5117739893919084E-2</v>
      </c>
      <c r="DO116">
        <f t="shared" si="103"/>
        <v>1.5179188877610593E-2</v>
      </c>
      <c r="DP116">
        <f t="shared" si="104"/>
        <v>1.5231990483049903E-2</v>
      </c>
      <c r="DQ116">
        <f t="shared" si="105"/>
        <v>1.5273865459198777E-2</v>
      </c>
      <c r="DR116">
        <f t="shared" si="106"/>
        <v>1.5306592122801334E-2</v>
      </c>
      <c r="DS116">
        <f t="shared" si="107"/>
        <v>1.5319278283799856E-2</v>
      </c>
      <c r="DT116">
        <f t="shared" si="108"/>
        <v>1.5306673524624127E-2</v>
      </c>
      <c r="DU116">
        <f t="shared" si="109"/>
        <v>1.5274128449703188E-2</v>
      </c>
      <c r="DV116">
        <f t="shared" si="110"/>
        <v>1.5237610339662032E-2</v>
      </c>
      <c r="DW116">
        <f t="shared" si="111"/>
        <v>1.5200387790769772E-2</v>
      </c>
      <c r="DX116">
        <f t="shared" si="112"/>
        <v>1.5140065909240026E-2</v>
      </c>
      <c r="DY116">
        <f t="shared" si="113"/>
        <v>1.5049199559126472E-2</v>
      </c>
      <c r="DZ116">
        <f t="shared" si="114"/>
        <v>1.4941733498841602E-2</v>
      </c>
      <c r="EA116">
        <f t="shared" si="115"/>
        <v>1.4837520380629158E-2</v>
      </c>
      <c r="EB116">
        <f t="shared" si="116"/>
        <v>1.4730739974159364E-2</v>
      </c>
      <c r="EC116">
        <f t="shared" si="117"/>
        <v>1.4657143333835505E-2</v>
      </c>
      <c r="ED116">
        <f t="shared" si="118"/>
        <v>1.4635966336551695E-2</v>
      </c>
      <c r="EE116">
        <f t="shared" si="119"/>
        <v>1.4651824037799847E-2</v>
      </c>
      <c r="EF116">
        <f t="shared" si="120"/>
        <v>1.4660809546700578E-2</v>
      </c>
      <c r="EG116">
        <f t="shared" si="121"/>
        <v>1.4660593518786241E-2</v>
      </c>
      <c r="EH116">
        <f t="shared" si="122"/>
        <v>1.4695176770116367E-2</v>
      </c>
      <c r="EI116">
        <f t="shared" si="123"/>
        <v>1.4778472750710073E-2</v>
      </c>
      <c r="EJ116">
        <f t="shared" si="124"/>
        <v>1.4885769745670676E-2</v>
      </c>
      <c r="EK116">
        <f t="shared" si="125"/>
        <v>1.4986967865600402E-2</v>
      </c>
      <c r="EL116">
        <f t="shared" si="126"/>
        <v>1.5098316166664681E-2</v>
      </c>
      <c r="EM116">
        <f t="shared" si="127"/>
        <v>1.5129364700381944E-2</v>
      </c>
      <c r="EN116">
        <f t="shared" si="128"/>
        <v>1.5035279847428685E-2</v>
      </c>
      <c r="EO116">
        <f t="shared" si="129"/>
        <v>1.4860150087365912E-2</v>
      </c>
      <c r="EP116">
        <f t="shared" si="130"/>
        <v>1.4692881864881444E-2</v>
      </c>
      <c r="EQ116">
        <f t="shared" si="131"/>
        <v>1.4515692012534113E-2</v>
      </c>
      <c r="ER116">
        <f t="shared" si="132"/>
        <v>1.4361939623472797E-2</v>
      </c>
      <c r="ES116">
        <f t="shared" si="133"/>
        <v>1.4257203655090868E-2</v>
      </c>
      <c r="ET116">
        <f t="shared" si="134"/>
        <v>1.4184421032994951E-2</v>
      </c>
      <c r="EU116">
        <f t="shared" si="135"/>
        <v>1.40885516016189E-2</v>
      </c>
      <c r="EV116">
        <f t="shared" si="136"/>
        <v>1.3965697465986613E-2</v>
      </c>
      <c r="EW116">
        <f t="shared" si="137"/>
        <v>1.3886437137299892E-2</v>
      </c>
      <c r="EX116">
        <f t="shared" si="138"/>
        <v>1.3875588778992911E-2</v>
      </c>
      <c r="EY116">
        <f t="shared" si="139"/>
        <v>1.3895914187976725E-2</v>
      </c>
      <c r="EZ116">
        <f t="shared" si="140"/>
        <v>1.3892166573288858E-2</v>
      </c>
      <c r="FA116">
        <f t="shared" si="141"/>
        <v>1.3883566157626731E-2</v>
      </c>
      <c r="FB116">
        <f t="shared" si="142"/>
        <v>1.3773967995752524E-2</v>
      </c>
      <c r="FC116">
        <f t="shared" si="143"/>
        <v>1.3512508471777297E-2</v>
      </c>
      <c r="FD116">
        <f t="shared" si="144"/>
        <v>1.3144437606656539E-2</v>
      </c>
      <c r="FE116">
        <f t="shared" si="145"/>
        <v>1.2768007400502697E-2</v>
      </c>
      <c r="FF116">
        <f t="shared" si="146"/>
        <v>1.2366073377099605E-2</v>
      </c>
      <c r="FG116">
        <f t="shared" si="147"/>
        <v>1.1949803240366741E-2</v>
      </c>
      <c r="FH116">
        <f t="shared" si="148"/>
        <v>1.1535430392272845E-2</v>
      </c>
      <c r="FI116">
        <f t="shared" si="149"/>
        <v>1.1115631799605792E-2</v>
      </c>
      <c r="FJ116">
        <f t="shared" si="150"/>
        <v>1.0669221072563751E-2</v>
      </c>
      <c r="FK116">
        <f t="shared" si="151"/>
        <v>1.0203314608962531E-2</v>
      </c>
      <c r="FL116">
        <f t="shared" si="152"/>
        <v>9.7232003964444081E-3</v>
      </c>
      <c r="FM116">
        <f t="shared" si="153"/>
        <v>9.230365583695041E-3</v>
      </c>
      <c r="FN116">
        <f t="shared" si="154"/>
        <v>8.7278189073184721E-3</v>
      </c>
      <c r="FO116">
        <f t="shared" si="155"/>
        <v>8.2177957866022017E-3</v>
      </c>
      <c r="FP116">
        <f t="shared" si="156"/>
        <v>7.7007063614995385E-3</v>
      </c>
      <c r="FQ116">
        <f t="shared" si="157"/>
        <v>7.1870827755443007E-3</v>
      </c>
      <c r="FR116">
        <f t="shared" si="158"/>
        <v>6.6826920347975117E-3</v>
      </c>
      <c r="FS116">
        <f t="shared" si="159"/>
        <v>6.184876056661015E-3</v>
      </c>
      <c r="FT116">
        <f t="shared" si="160"/>
        <v>5.6637948114021041E-3</v>
      </c>
      <c r="FU116">
        <f t="shared" si="161"/>
        <v>5.2592277521155565E-3</v>
      </c>
      <c r="FV116">
        <f t="shared" si="162"/>
        <v>4.8143573980279275E-3</v>
      </c>
      <c r="FW116">
        <f t="shared" si="163"/>
        <v>4.2342066069745634E-3</v>
      </c>
      <c r="FX116">
        <f t="shared" si="164"/>
        <v>3.5210828075477401E-3</v>
      </c>
      <c r="FY116">
        <f t="shared" si="165"/>
        <v>3.0070960442292664E-3</v>
      </c>
      <c r="FZ116">
        <f t="shared" si="166"/>
        <v>2.7446910067738927E-3</v>
      </c>
      <c r="GA116">
        <f t="shared" si="167"/>
        <v>2.4060813398259131E-3</v>
      </c>
      <c r="GB116">
        <f t="shared" si="168"/>
        <v>1.9684588788062953E-3</v>
      </c>
      <c r="GC116">
        <f t="shared" si="169"/>
        <v>1.4318298853937159E-3</v>
      </c>
      <c r="GD116">
        <f t="shared" si="170"/>
        <v>1.0440816950321595E-3</v>
      </c>
      <c r="GE116">
        <f t="shared" si="171"/>
        <v>2.4447910374038335E-3</v>
      </c>
    </row>
    <row r="117" spans="1:187">
      <c r="A117" s="15">
        <v>2065</v>
      </c>
      <c r="B117" s="18">
        <v>4299.8559999999998</v>
      </c>
      <c r="C117" s="18">
        <v>4318.4650000000001</v>
      </c>
      <c r="D117" s="18">
        <v>4329.0609999999997</v>
      </c>
      <c r="E117" s="18">
        <v>4332.8029999999999</v>
      </c>
      <c r="F117" s="18">
        <v>4330.8559999999998</v>
      </c>
      <c r="G117" s="18">
        <v>4324.3760000000002</v>
      </c>
      <c r="H117" s="18">
        <v>4314.5259999999998</v>
      </c>
      <c r="I117" s="18">
        <v>4302.4679999999998</v>
      </c>
      <c r="J117" s="18">
        <v>4289.3599999999997</v>
      </c>
      <c r="K117" s="18">
        <v>4276.3670000000002</v>
      </c>
      <c r="L117" s="18">
        <v>4263.5619999999999</v>
      </c>
      <c r="M117" s="18">
        <v>4251.0259999999998</v>
      </c>
      <c r="N117" s="18">
        <v>4245.335</v>
      </c>
      <c r="O117" s="18">
        <v>4249.8159999999998</v>
      </c>
      <c r="P117" s="18">
        <v>4262.3810000000003</v>
      </c>
      <c r="Q117" s="18">
        <v>4276.5510000000004</v>
      </c>
      <c r="R117" s="18">
        <v>4292.3440000000001</v>
      </c>
      <c r="S117" s="18">
        <v>4316.6260000000002</v>
      </c>
      <c r="T117" s="18">
        <v>4351.7539999999999</v>
      </c>
      <c r="U117" s="18">
        <v>4394.3850000000002</v>
      </c>
      <c r="V117" s="18">
        <v>4438.277</v>
      </c>
      <c r="W117" s="18">
        <v>4484.03</v>
      </c>
      <c r="X117" s="18">
        <v>4529.1030000000001</v>
      </c>
      <c r="Y117" s="18">
        <v>4571.384</v>
      </c>
      <c r="Z117" s="18">
        <v>4611.3829999999998</v>
      </c>
      <c r="AA117" s="18">
        <v>4651.6890000000003</v>
      </c>
      <c r="AB117" s="18">
        <v>4691.7489999999998</v>
      </c>
      <c r="AC117" s="18">
        <v>4727.9539999999997</v>
      </c>
      <c r="AD117" s="18">
        <v>4758.7460000000001</v>
      </c>
      <c r="AE117" s="18">
        <v>4785.1130000000003</v>
      </c>
      <c r="AF117" s="18">
        <v>4809.29</v>
      </c>
      <c r="AG117" s="18">
        <v>4830.4520000000002</v>
      </c>
      <c r="AH117" s="18">
        <v>4849.4780000000001</v>
      </c>
      <c r="AI117" s="18">
        <v>4866.9070000000002</v>
      </c>
      <c r="AJ117" s="18">
        <v>4881.8559999999998</v>
      </c>
      <c r="AK117" s="18">
        <v>4893.2520000000004</v>
      </c>
      <c r="AL117" s="18">
        <v>4901.723</v>
      </c>
      <c r="AM117" s="18">
        <v>4903.9539999999997</v>
      </c>
      <c r="AN117" s="18">
        <v>4898.3180000000002</v>
      </c>
      <c r="AO117" s="18">
        <v>4886.4719999999998</v>
      </c>
      <c r="AP117" s="18">
        <v>4873.4059999999999</v>
      </c>
      <c r="AQ117" s="18">
        <v>4860.1670000000004</v>
      </c>
      <c r="AR117" s="18">
        <v>4839.6329999999998</v>
      </c>
      <c r="AS117" s="18">
        <v>4809.4229999999998</v>
      </c>
      <c r="AT117" s="18">
        <v>4773.9650000000001</v>
      </c>
      <c r="AU117" s="18">
        <v>4739.5709999999999</v>
      </c>
      <c r="AV117" s="18">
        <v>4704.3770000000004</v>
      </c>
      <c r="AW117" s="18">
        <v>4679.7529999999997</v>
      </c>
      <c r="AX117" s="18">
        <v>4671.8149999999996</v>
      </c>
      <c r="AY117" s="18">
        <v>4675.6509999999998</v>
      </c>
      <c r="AZ117" s="18">
        <v>4677.2950000000001</v>
      </c>
      <c r="BA117" s="18">
        <v>4676.0079999999998</v>
      </c>
      <c r="BB117" s="18">
        <v>4685.7089999999998</v>
      </c>
      <c r="BC117" s="18">
        <v>4710.7809999999999</v>
      </c>
      <c r="BD117" s="18">
        <v>4743.3980000000001</v>
      </c>
      <c r="BE117" s="18">
        <v>4774.058</v>
      </c>
      <c r="BF117" s="18">
        <v>4807.9110000000001</v>
      </c>
      <c r="BG117" s="18">
        <v>4816.2020000000002</v>
      </c>
      <c r="BH117" s="18">
        <v>4784.6869999999999</v>
      </c>
      <c r="BI117" s="18">
        <v>4727.3770000000004</v>
      </c>
      <c r="BJ117" s="18">
        <v>4672.4989999999998</v>
      </c>
      <c r="BK117" s="18">
        <v>4614.3729999999996</v>
      </c>
      <c r="BL117" s="18">
        <v>4563.7460000000001</v>
      </c>
      <c r="BM117" s="18">
        <v>4528.8029999999999</v>
      </c>
      <c r="BN117" s="18">
        <v>4504.0389999999998</v>
      </c>
      <c r="BO117" s="18">
        <v>4471.8109999999997</v>
      </c>
      <c r="BP117" s="18">
        <v>4430.8999999999996</v>
      </c>
      <c r="BQ117" s="18">
        <v>4403.6490000000003</v>
      </c>
      <c r="BR117" s="18">
        <v>4397.884</v>
      </c>
      <c r="BS117" s="18">
        <v>4401.7960000000003</v>
      </c>
      <c r="BT117" s="18">
        <v>4397.8909999999996</v>
      </c>
      <c r="BU117" s="18">
        <v>4392.2370000000001</v>
      </c>
      <c r="BV117" s="18">
        <v>4354.3220000000001</v>
      </c>
      <c r="BW117" s="18">
        <v>4268.0020000000004</v>
      </c>
      <c r="BX117" s="18">
        <v>4147.6059999999998</v>
      </c>
      <c r="BY117" s="18">
        <v>4024.29</v>
      </c>
      <c r="BZ117" s="18">
        <v>3892.6320000000001</v>
      </c>
      <c r="CA117" s="18">
        <v>3756.0169999999998</v>
      </c>
      <c r="CB117" s="18">
        <v>3619.5239999999999</v>
      </c>
      <c r="CC117" s="18">
        <v>3480.89</v>
      </c>
      <c r="CD117" s="18">
        <v>3333.5990000000002</v>
      </c>
      <c r="CE117" s="18">
        <v>3179.9479999999999</v>
      </c>
      <c r="CF117" s="18">
        <v>3021.2959999999998</v>
      </c>
      <c r="CG117" s="18">
        <v>2857.998</v>
      </c>
      <c r="CH117" s="18">
        <v>2691.2</v>
      </c>
      <c r="CI117" s="18">
        <v>2522.1379999999999</v>
      </c>
      <c r="CJ117" s="18">
        <v>2351.1120000000001</v>
      </c>
      <c r="CK117" s="18">
        <v>2180.6709999999998</v>
      </c>
      <c r="CL117" s="18">
        <v>2012.3989999999999</v>
      </c>
      <c r="CM117" s="18">
        <v>1845.9970000000001</v>
      </c>
      <c r="CN117" s="18">
        <v>1670.846</v>
      </c>
      <c r="CO117" s="18">
        <v>1542.2270000000001</v>
      </c>
      <c r="CP117" s="18">
        <v>1399.26</v>
      </c>
      <c r="CQ117" s="18">
        <v>1204.9459999999999</v>
      </c>
      <c r="CR117" s="18">
        <v>959.28399999999999</v>
      </c>
      <c r="CS117" s="18">
        <v>795.01099999999997</v>
      </c>
      <c r="CT117" s="18">
        <v>719.84100000000001</v>
      </c>
      <c r="CU117" s="18">
        <v>618.33699999999999</v>
      </c>
      <c r="CV117" s="18">
        <v>490.49900000000002</v>
      </c>
      <c r="CW117" s="18">
        <v>336.32600000000002</v>
      </c>
      <c r="CX117" s="18">
        <v>796.01300000000003</v>
      </c>
      <c r="CY117" s="3">
        <f t="shared" si="172"/>
        <v>397876.09399999981</v>
      </c>
      <c r="CZ117" s="21">
        <f t="shared" si="88"/>
        <v>320600.31499999983</v>
      </c>
      <c r="DA117">
        <f t="shared" si="89"/>
        <v>1.357376707505731E-2</v>
      </c>
      <c r="DB117">
        <f t="shared" si="90"/>
        <v>1.3706739495873553E-2</v>
      </c>
      <c r="DC117">
        <f t="shared" si="91"/>
        <v>1.384364516298121E-2</v>
      </c>
      <c r="DD117">
        <f t="shared" si="92"/>
        <v>1.3986355565495942E-2</v>
      </c>
      <c r="DE117">
        <f t="shared" si="93"/>
        <v>1.4126944947012927E-2</v>
      </c>
      <c r="DF117">
        <f t="shared" si="94"/>
        <v>1.4258825665845033E-2</v>
      </c>
      <c r="DG117">
        <f t="shared" si="95"/>
        <v>1.4383588487740576E-2</v>
      </c>
      <c r="DH117">
        <f t="shared" si="96"/>
        <v>1.4509308888233634E-2</v>
      </c>
      <c r="DI117">
        <f t="shared" si="97"/>
        <v>1.4634261978189268E-2</v>
      </c>
      <c r="DJ117">
        <f t="shared" si="98"/>
        <v>1.474719075057678E-2</v>
      </c>
      <c r="DK117">
        <f t="shared" si="99"/>
        <v>1.4843235571992507E-2</v>
      </c>
      <c r="DL117">
        <f t="shared" si="100"/>
        <v>1.4925478161180231E-2</v>
      </c>
      <c r="DM117">
        <f t="shared" si="101"/>
        <v>1.5000889815095791E-2</v>
      </c>
      <c r="DN117">
        <f t="shared" si="102"/>
        <v>1.5066897236205157E-2</v>
      </c>
      <c r="DO117">
        <f t="shared" si="103"/>
        <v>1.5126242156062768E-2</v>
      </c>
      <c r="DP117">
        <f t="shared" si="104"/>
        <v>1.5180605795724196E-2</v>
      </c>
      <c r="DQ117">
        <f t="shared" si="105"/>
        <v>1.522723394704089E-2</v>
      </c>
      <c r="DR117">
        <f t="shared" si="106"/>
        <v>1.5262779763644346E-2</v>
      </c>
      <c r="DS117">
        <f t="shared" si="107"/>
        <v>1.5289202070808952E-2</v>
      </c>
      <c r="DT117">
        <f t="shared" si="108"/>
        <v>1.5296160891170685E-2</v>
      </c>
      <c r="DU117">
        <f t="shared" si="109"/>
        <v>1.5278581370077577E-2</v>
      </c>
      <c r="DV117">
        <f t="shared" si="110"/>
        <v>1.5241631936637376E-2</v>
      </c>
      <c r="DW117">
        <f t="shared" si="111"/>
        <v>1.520087714199533E-2</v>
      </c>
      <c r="DX117">
        <f t="shared" si="112"/>
        <v>1.5159582734658271E-2</v>
      </c>
      <c r="DY117">
        <f t="shared" si="113"/>
        <v>1.5095534138823296E-2</v>
      </c>
      <c r="DZ117">
        <f t="shared" si="114"/>
        <v>1.5001304661849763E-2</v>
      </c>
      <c r="EA117">
        <f t="shared" si="115"/>
        <v>1.4890705893411248E-2</v>
      </c>
      <c r="EB117">
        <f t="shared" si="116"/>
        <v>1.4783425899004506E-2</v>
      </c>
      <c r="EC117">
        <f t="shared" si="117"/>
        <v>1.4673650585776882E-2</v>
      </c>
      <c r="ED117">
        <f t="shared" si="118"/>
        <v>1.459684467247015E-2</v>
      </c>
      <c r="EE117">
        <f t="shared" si="119"/>
        <v>1.4572084871469954E-2</v>
      </c>
      <c r="EF117">
        <f t="shared" si="120"/>
        <v>1.4584049925216083E-2</v>
      </c>
      <c r="EG117">
        <f t="shared" si="121"/>
        <v>1.4589177805392994E-2</v>
      </c>
      <c r="EH117">
        <f t="shared" si="122"/>
        <v>1.45851634612399E-2</v>
      </c>
      <c r="EI117">
        <f t="shared" si="123"/>
        <v>1.4615422321091613E-2</v>
      </c>
      <c r="EJ117">
        <f t="shared" si="124"/>
        <v>1.4693625612938035E-2</v>
      </c>
      <c r="EK117">
        <f t="shared" si="125"/>
        <v>1.4795362880413897E-2</v>
      </c>
      <c r="EL117">
        <f t="shared" si="126"/>
        <v>1.4890995974224176E-2</v>
      </c>
      <c r="EM117">
        <f t="shared" si="127"/>
        <v>1.4996588509278298E-2</v>
      </c>
      <c r="EN117">
        <f t="shared" si="128"/>
        <v>1.5022449369708207E-2</v>
      </c>
      <c r="EO117">
        <f t="shared" si="129"/>
        <v>1.4924149403908111E-2</v>
      </c>
      <c r="EP117">
        <f t="shared" si="130"/>
        <v>1.4745391001877222E-2</v>
      </c>
      <c r="EQ117">
        <f t="shared" si="131"/>
        <v>1.4574218369061809E-2</v>
      </c>
      <c r="ER117">
        <f t="shared" si="132"/>
        <v>1.439291474183362E-2</v>
      </c>
      <c r="ES117">
        <f t="shared" si="133"/>
        <v>1.423500160940267E-2</v>
      </c>
      <c r="ET117">
        <f t="shared" si="134"/>
        <v>1.4126009202455094E-2</v>
      </c>
      <c r="EU117">
        <f t="shared" si="135"/>
        <v>1.4048766608354711E-2</v>
      </c>
      <c r="EV117">
        <f t="shared" si="136"/>
        <v>1.3948242689655504E-2</v>
      </c>
      <c r="EW117">
        <f t="shared" si="137"/>
        <v>1.3820635204304156E-2</v>
      </c>
      <c r="EX117">
        <f t="shared" si="138"/>
        <v>1.373563528781936E-2</v>
      </c>
      <c r="EY117">
        <f t="shared" si="139"/>
        <v>1.3717653396566384E-2</v>
      </c>
      <c r="EZ117">
        <f t="shared" si="140"/>
        <v>1.3729855505600495E-2</v>
      </c>
      <c r="FA117">
        <f t="shared" si="141"/>
        <v>1.3717675230606064E-2</v>
      </c>
      <c r="FB117">
        <f t="shared" si="142"/>
        <v>1.3700039564839487E-2</v>
      </c>
      <c r="FC117">
        <f t="shared" si="143"/>
        <v>1.358177704847234E-2</v>
      </c>
      <c r="FD117">
        <f t="shared" si="144"/>
        <v>1.331253214769924E-2</v>
      </c>
      <c r="FE117">
        <f t="shared" si="145"/>
        <v>1.2936999141750694E-2</v>
      </c>
      <c r="FF117">
        <f t="shared" si="146"/>
        <v>1.2552358222105934E-2</v>
      </c>
      <c r="FG117">
        <f t="shared" si="147"/>
        <v>1.2141697365456432E-2</v>
      </c>
      <c r="FH117">
        <f t="shared" si="148"/>
        <v>1.1715574889563042E-2</v>
      </c>
      <c r="FI117">
        <f t="shared" si="149"/>
        <v>1.128983294978984E-2</v>
      </c>
      <c r="FJ117">
        <f t="shared" si="150"/>
        <v>1.0857412913022252E-2</v>
      </c>
      <c r="FK117">
        <f t="shared" si="151"/>
        <v>1.0397990407464204E-2</v>
      </c>
      <c r="FL117">
        <f t="shared" si="152"/>
        <v>9.9187301172801463E-3</v>
      </c>
      <c r="FM117">
        <f t="shared" si="153"/>
        <v>9.4238709653170528E-3</v>
      </c>
      <c r="FN117">
        <f t="shared" si="154"/>
        <v>8.9145202493016943E-3</v>
      </c>
      <c r="FO117">
        <f t="shared" si="155"/>
        <v>8.3942525134449771E-3</v>
      </c>
      <c r="FP117">
        <f t="shared" si="156"/>
        <v>7.8669230253251669E-3</v>
      </c>
      <c r="FQ117">
        <f t="shared" si="157"/>
        <v>7.333467529500092E-3</v>
      </c>
      <c r="FR117">
        <f t="shared" si="158"/>
        <v>6.8018367355627864E-3</v>
      </c>
      <c r="FS117">
        <f t="shared" si="159"/>
        <v>6.2769713747785963E-3</v>
      </c>
      <c r="FT117">
        <f t="shared" si="160"/>
        <v>5.7579388217382163E-3</v>
      </c>
      <c r="FU117">
        <f t="shared" si="161"/>
        <v>5.2116168382429721E-3</v>
      </c>
      <c r="FV117">
        <f t="shared" si="162"/>
        <v>4.8104350739642939E-3</v>
      </c>
      <c r="FW117">
        <f t="shared" si="163"/>
        <v>4.3644997666331077E-3</v>
      </c>
      <c r="FX117">
        <f t="shared" si="164"/>
        <v>3.7584055399321756E-3</v>
      </c>
      <c r="FY117">
        <f t="shared" si="165"/>
        <v>2.9921492747129724E-3</v>
      </c>
      <c r="FZ117">
        <f t="shared" si="166"/>
        <v>2.4797573888846627E-3</v>
      </c>
      <c r="GA117">
        <f t="shared" si="167"/>
        <v>2.2452909941775958E-3</v>
      </c>
      <c r="GB117">
        <f t="shared" si="168"/>
        <v>1.9286849421841657E-3</v>
      </c>
      <c r="GC117">
        <f t="shared" si="169"/>
        <v>1.5299392329043728E-3</v>
      </c>
      <c r="GD117">
        <f t="shared" si="170"/>
        <v>1.0490507471896907E-3</v>
      </c>
      <c r="GE117">
        <f t="shared" si="171"/>
        <v>2.482882775707817E-3</v>
      </c>
    </row>
    <row r="118" spans="1:187">
      <c r="A118" s="15">
        <v>2066</v>
      </c>
      <c r="B118" s="18">
        <v>4305.6170000000002</v>
      </c>
      <c r="C118" s="18">
        <v>4314.3</v>
      </c>
      <c r="D118" s="18">
        <v>4328.5469999999996</v>
      </c>
      <c r="E118" s="18">
        <v>4335.9430000000002</v>
      </c>
      <c r="F118" s="18">
        <v>4337.5870000000004</v>
      </c>
      <c r="G118" s="18">
        <v>4334.58</v>
      </c>
      <c r="H118" s="18">
        <v>4327.9110000000001</v>
      </c>
      <c r="I118" s="18">
        <v>4318.5680000000002</v>
      </c>
      <c r="J118" s="18">
        <v>4308.2120000000004</v>
      </c>
      <c r="K118" s="18">
        <v>4298.1679999999997</v>
      </c>
      <c r="L118" s="18">
        <v>4289.2</v>
      </c>
      <c r="M118" s="18">
        <v>4280.665</v>
      </c>
      <c r="N118" s="18">
        <v>4272.5910000000003</v>
      </c>
      <c r="O118" s="18">
        <v>4271.4390000000003</v>
      </c>
      <c r="P118" s="18">
        <v>4280.3410000000003</v>
      </c>
      <c r="Q118" s="18">
        <v>4297.0720000000001</v>
      </c>
      <c r="R118" s="18">
        <v>4315.3190000000004</v>
      </c>
      <c r="S118" s="18">
        <v>4335.2070000000003</v>
      </c>
      <c r="T118" s="18">
        <v>4362.0550000000003</v>
      </c>
      <c r="U118" s="18">
        <v>4397.5110000000004</v>
      </c>
      <c r="V118" s="18">
        <v>4438.8959999999997</v>
      </c>
      <c r="W118" s="18">
        <v>4481.41</v>
      </c>
      <c r="X118" s="18">
        <v>4525.4560000000001</v>
      </c>
      <c r="Y118" s="18">
        <v>4568.5259999999998</v>
      </c>
      <c r="Z118" s="18">
        <v>4608.7049999999999</v>
      </c>
      <c r="AA118" s="18">
        <v>4646.4939999999997</v>
      </c>
      <c r="AB118" s="18">
        <v>4684.2929999999997</v>
      </c>
      <c r="AC118" s="18">
        <v>4721.5950000000003</v>
      </c>
      <c r="AD118" s="18">
        <v>4755.2380000000003</v>
      </c>
      <c r="AE118" s="18">
        <v>4783.87</v>
      </c>
      <c r="AF118" s="18">
        <v>4808.3530000000001</v>
      </c>
      <c r="AG118" s="18">
        <v>4830.58</v>
      </c>
      <c r="AH118" s="18">
        <v>4849.7830000000004</v>
      </c>
      <c r="AI118" s="18">
        <v>4867.0020000000004</v>
      </c>
      <c r="AJ118" s="18">
        <v>4882.8159999999998</v>
      </c>
      <c r="AK118" s="18">
        <v>4896.3010000000004</v>
      </c>
      <c r="AL118" s="18">
        <v>4906.2820000000002</v>
      </c>
      <c r="AM118" s="18">
        <v>4913.3940000000002</v>
      </c>
      <c r="AN118" s="18">
        <v>4914.3329999999996</v>
      </c>
      <c r="AO118" s="18">
        <v>4907.4639999999999</v>
      </c>
      <c r="AP118" s="18">
        <v>4894.4309999999996</v>
      </c>
      <c r="AQ118" s="18">
        <v>4880.21</v>
      </c>
      <c r="AR118" s="18">
        <v>4865.8419999999996</v>
      </c>
      <c r="AS118" s="18">
        <v>4844.1819999999998</v>
      </c>
      <c r="AT118" s="18">
        <v>4812.8360000000002</v>
      </c>
      <c r="AU118" s="18">
        <v>4776.2290000000003</v>
      </c>
      <c r="AV118" s="18">
        <v>4740.6790000000001</v>
      </c>
      <c r="AW118" s="18">
        <v>4704.3230000000003</v>
      </c>
      <c r="AX118" s="18">
        <v>4678.4679999999998</v>
      </c>
      <c r="AY118" s="18">
        <v>4669.201</v>
      </c>
      <c r="AZ118" s="18">
        <v>4671.6310000000003</v>
      </c>
      <c r="BA118" s="18">
        <v>4671.8540000000003</v>
      </c>
      <c r="BB118" s="18">
        <v>4669.1319999999996</v>
      </c>
      <c r="BC118" s="18">
        <v>4677.3249999999998</v>
      </c>
      <c r="BD118" s="18">
        <v>4700.8040000000001</v>
      </c>
      <c r="BE118" s="18">
        <v>4731.768</v>
      </c>
      <c r="BF118" s="18">
        <v>4760.732</v>
      </c>
      <c r="BG118" s="18">
        <v>4792.808</v>
      </c>
      <c r="BH118" s="18">
        <v>4799.4409999999998</v>
      </c>
      <c r="BI118" s="18">
        <v>4766.4780000000001</v>
      </c>
      <c r="BJ118" s="18">
        <v>4707.8180000000002</v>
      </c>
      <c r="BK118" s="18">
        <v>4651.4480000000003</v>
      </c>
      <c r="BL118" s="18">
        <v>4591.6819999999998</v>
      </c>
      <c r="BM118" s="18">
        <v>4539.3440000000001</v>
      </c>
      <c r="BN118" s="18">
        <v>4502.6139999999996</v>
      </c>
      <c r="BO118" s="18">
        <v>4475.9189999999999</v>
      </c>
      <c r="BP118" s="18">
        <v>4441.5640000000003</v>
      </c>
      <c r="BQ118" s="18">
        <v>4398.3590000000004</v>
      </c>
      <c r="BR118" s="18">
        <v>4368.3289999999997</v>
      </c>
      <c r="BS118" s="18">
        <v>4359.1379999999999</v>
      </c>
      <c r="BT118" s="18">
        <v>4359.1099999999997</v>
      </c>
      <c r="BU118" s="18">
        <v>4351.0429999999997</v>
      </c>
      <c r="BV118" s="18">
        <v>4340.9489999999996</v>
      </c>
      <c r="BW118" s="18">
        <v>4298.3339999999998</v>
      </c>
      <c r="BX118" s="18">
        <v>4207.0879999999997</v>
      </c>
      <c r="BY118" s="18">
        <v>4081.5239999999999</v>
      </c>
      <c r="BZ118" s="18">
        <v>3952.84</v>
      </c>
      <c r="CA118" s="18">
        <v>3815.7269999999999</v>
      </c>
      <c r="CB118" s="18">
        <v>3673.0889999999999</v>
      </c>
      <c r="CC118" s="18">
        <v>3529.81</v>
      </c>
      <c r="CD118" s="18">
        <v>3383.9250000000002</v>
      </c>
      <c r="CE118" s="18">
        <v>3229.5880000000002</v>
      </c>
      <c r="CF118" s="18">
        <v>3069.1660000000002</v>
      </c>
      <c r="CG118" s="18">
        <v>2903.6860000000001</v>
      </c>
      <c r="CH118" s="18">
        <v>2733.4769999999999</v>
      </c>
      <c r="CI118" s="18">
        <v>2559.9850000000001</v>
      </c>
      <c r="CJ118" s="18">
        <v>2382.2370000000001</v>
      </c>
      <c r="CK118" s="18">
        <v>2212.3739999999998</v>
      </c>
      <c r="CL118" s="18">
        <v>2043.6569999999999</v>
      </c>
      <c r="CM118" s="18">
        <v>1866.35</v>
      </c>
      <c r="CN118" s="18">
        <v>1680.21</v>
      </c>
      <c r="CO118" s="18">
        <v>1504.92</v>
      </c>
      <c r="CP118" s="18">
        <v>1385.5519999999999</v>
      </c>
      <c r="CQ118" s="18">
        <v>1249.5409999999999</v>
      </c>
      <c r="CR118" s="18">
        <v>1067.271</v>
      </c>
      <c r="CS118" s="18">
        <v>838.74099999999999</v>
      </c>
      <c r="CT118" s="18">
        <v>723.923</v>
      </c>
      <c r="CU118" s="18">
        <v>621.63800000000003</v>
      </c>
      <c r="CV118" s="18">
        <v>493.56400000000002</v>
      </c>
      <c r="CW118" s="18">
        <v>339.702</v>
      </c>
      <c r="CX118" s="18">
        <v>809.49</v>
      </c>
      <c r="CY118" s="3">
        <f t="shared" si="172"/>
        <v>399154.72399999999</v>
      </c>
      <c r="CZ118" s="21">
        <f t="shared" si="88"/>
        <v>321603.45700000005</v>
      </c>
      <c r="DA118">
        <f t="shared" si="89"/>
        <v>1.3563458056982265E-2</v>
      </c>
      <c r="DB118">
        <f t="shared" si="90"/>
        <v>1.3673705628108344E-2</v>
      </c>
      <c r="DC118">
        <f t="shared" si="91"/>
        <v>1.3802388946335235E-2</v>
      </c>
      <c r="DD118">
        <f t="shared" si="92"/>
        <v>1.393458279896537E-2</v>
      </c>
      <c r="DE118">
        <f t="shared" si="93"/>
        <v>1.4071540281981482E-2</v>
      </c>
      <c r="DF118">
        <f t="shared" si="94"/>
        <v>1.4205462971749084E-2</v>
      </c>
      <c r="DG118">
        <f t="shared" si="95"/>
        <v>1.4330396330285712E-2</v>
      </c>
      <c r="DH118">
        <f t="shared" si="96"/>
        <v>1.4447898176666673E-2</v>
      </c>
      <c r="DI118">
        <f t="shared" si="97"/>
        <v>1.4565431117240754E-2</v>
      </c>
      <c r="DJ118">
        <f t="shared" si="98"/>
        <v>1.4681418676416777E-2</v>
      </c>
      <c r="DK118">
        <f t="shared" si="99"/>
        <v>1.4786028870330207E-2</v>
      </c>
      <c r="DL118">
        <f t="shared" si="100"/>
        <v>1.4875057764071234E-2</v>
      </c>
      <c r="DM118">
        <f t="shared" si="101"/>
        <v>1.4951185677086795E-2</v>
      </c>
      <c r="DN118">
        <f t="shared" si="102"/>
        <v>1.5020298740134498E-2</v>
      </c>
      <c r="DO118">
        <f t="shared" si="103"/>
        <v>1.5080008919182731E-2</v>
      </c>
      <c r="DP118">
        <f t="shared" si="104"/>
        <v>1.5133550010315964E-2</v>
      </c>
      <c r="DQ118">
        <f t="shared" si="105"/>
        <v>1.5182722367315844E-2</v>
      </c>
      <c r="DR118">
        <f t="shared" si="106"/>
        <v>1.5224652886738091E-2</v>
      </c>
      <c r="DS118">
        <f t="shared" si="107"/>
        <v>1.5255688000891108E-2</v>
      </c>
      <c r="DT118">
        <f t="shared" si="108"/>
        <v>1.5277802191038014E-2</v>
      </c>
      <c r="DU118">
        <f t="shared" si="109"/>
        <v>1.5280721935771974E-2</v>
      </c>
      <c r="DV118">
        <f t="shared" si="110"/>
        <v>1.5259363334517885E-2</v>
      </c>
      <c r="DW118">
        <f t="shared" si="111"/>
        <v>1.5218838272624659E-2</v>
      </c>
      <c r="DX118">
        <f t="shared" si="112"/>
        <v>1.5174619220588785E-2</v>
      </c>
      <c r="DY118">
        <f t="shared" si="113"/>
        <v>1.5129943083914047E-2</v>
      </c>
      <c r="DZ118">
        <f t="shared" si="114"/>
        <v>1.5062593061616248E-2</v>
      </c>
      <c r="EA118">
        <f t="shared" si="115"/>
        <v>1.4965125203862468E-2</v>
      </c>
      <c r="EB118">
        <f t="shared" si="116"/>
        <v>1.4851298691108284E-2</v>
      </c>
      <c r="EC118">
        <f t="shared" si="117"/>
        <v>1.4740758834566879E-2</v>
      </c>
      <c r="ED118">
        <f t="shared" si="118"/>
        <v>1.4627712786060006E-2</v>
      </c>
      <c r="EE118">
        <f t="shared" si="119"/>
        <v>1.4547318749748387E-2</v>
      </c>
      <c r="EF118">
        <f t="shared" si="120"/>
        <v>1.4518503760984134E-2</v>
      </c>
      <c r="EG118">
        <f t="shared" si="121"/>
        <v>1.4526059649912281E-2</v>
      </c>
      <c r="EH118">
        <f t="shared" si="122"/>
        <v>1.4526753050418856E-2</v>
      </c>
      <c r="EI118">
        <f t="shared" si="123"/>
        <v>1.4518289211051605E-2</v>
      </c>
      <c r="EJ118">
        <f t="shared" si="124"/>
        <v>1.4543764683474777E-2</v>
      </c>
      <c r="EK118">
        <f t="shared" si="125"/>
        <v>1.4616770739501097E-2</v>
      </c>
      <c r="EL118">
        <f t="shared" si="126"/>
        <v>1.4713050799077695E-2</v>
      </c>
      <c r="EM118">
        <f t="shared" si="127"/>
        <v>1.4803112020030304E-2</v>
      </c>
      <c r="EN118">
        <f t="shared" si="128"/>
        <v>1.4902849753881842E-2</v>
      </c>
      <c r="EO118">
        <f t="shared" si="129"/>
        <v>1.4923474532178301E-2</v>
      </c>
      <c r="EP118">
        <f t="shared" si="130"/>
        <v>1.4820978743397025E-2</v>
      </c>
      <c r="EQ118">
        <f t="shared" si="131"/>
        <v>1.4638580206555427E-2</v>
      </c>
      <c r="ER118">
        <f t="shared" si="132"/>
        <v>1.4463302239938296E-2</v>
      </c>
      <c r="ES118">
        <f t="shared" si="133"/>
        <v>1.4277464685337631E-2</v>
      </c>
      <c r="ET118">
        <f t="shared" si="134"/>
        <v>1.4114723897386461E-2</v>
      </c>
      <c r="EU118">
        <f t="shared" si="135"/>
        <v>1.4000514926056902E-2</v>
      </c>
      <c r="EV118">
        <f t="shared" si="136"/>
        <v>1.3917508977523209E-2</v>
      </c>
      <c r="EW118">
        <f t="shared" si="137"/>
        <v>1.3810684877059639E-2</v>
      </c>
      <c r="EX118">
        <f t="shared" si="138"/>
        <v>1.3676342415684915E-2</v>
      </c>
      <c r="EY118">
        <f t="shared" si="139"/>
        <v>1.3582966553745718E-2</v>
      </c>
      <c r="EZ118">
        <f t="shared" si="140"/>
        <v>1.3554387880849176E-2</v>
      </c>
      <c r="FA118">
        <f t="shared" si="141"/>
        <v>1.355430081710844E-2</v>
      </c>
      <c r="FB118">
        <f t="shared" si="142"/>
        <v>1.352921713151858E-2</v>
      </c>
      <c r="FC118">
        <f t="shared" si="143"/>
        <v>1.3497830652983307E-2</v>
      </c>
      <c r="FD118">
        <f t="shared" si="144"/>
        <v>1.3365322749002661E-2</v>
      </c>
      <c r="FE118">
        <f t="shared" si="145"/>
        <v>1.3081600674460408E-2</v>
      </c>
      <c r="FF118">
        <f t="shared" si="146"/>
        <v>1.2691169547969129E-2</v>
      </c>
      <c r="FG118">
        <f t="shared" si="147"/>
        <v>1.2291037033224426E-2</v>
      </c>
      <c r="FH118">
        <f t="shared" si="148"/>
        <v>1.1864695223098921E-2</v>
      </c>
      <c r="FI118">
        <f t="shared" si="149"/>
        <v>1.1421173871274646E-2</v>
      </c>
      <c r="FJ118">
        <f t="shared" si="150"/>
        <v>1.0975659381671384E-2</v>
      </c>
      <c r="FK118">
        <f t="shared" si="151"/>
        <v>1.0522041745341063E-2</v>
      </c>
      <c r="FL118">
        <f t="shared" si="152"/>
        <v>1.0042143296985764E-2</v>
      </c>
      <c r="FM118">
        <f t="shared" si="153"/>
        <v>9.5433240321169798E-3</v>
      </c>
      <c r="FN118">
        <f t="shared" si="154"/>
        <v>9.0287773243681261E-3</v>
      </c>
      <c r="FO118">
        <f t="shared" si="155"/>
        <v>8.4995261726928499E-3</v>
      </c>
      <c r="FP118">
        <f t="shared" si="156"/>
        <v>7.9600667974162962E-3</v>
      </c>
      <c r="FQ118">
        <f t="shared" si="157"/>
        <v>7.4073737335478944E-3</v>
      </c>
      <c r="FR118">
        <f t="shared" si="158"/>
        <v>6.8791984409545676E-3</v>
      </c>
      <c r="FS118">
        <f t="shared" si="159"/>
        <v>6.3545865428927886E-3</v>
      </c>
      <c r="FT118">
        <f t="shared" si="160"/>
        <v>5.803264732940976E-3</v>
      </c>
      <c r="FU118">
        <f t="shared" si="161"/>
        <v>5.2244774222063159E-3</v>
      </c>
      <c r="FV118">
        <f t="shared" si="162"/>
        <v>4.6794273110067966E-3</v>
      </c>
      <c r="FW118">
        <f t="shared" si="163"/>
        <v>4.3082621465726336E-3</v>
      </c>
      <c r="FX118">
        <f t="shared" si="164"/>
        <v>3.8853469165289469E-3</v>
      </c>
      <c r="FY118">
        <f t="shared" si="165"/>
        <v>3.3185930585317054E-3</v>
      </c>
      <c r="FZ118">
        <f t="shared" si="166"/>
        <v>2.6079974631615971E-3</v>
      </c>
      <c r="GA118">
        <f t="shared" si="167"/>
        <v>2.2509801565970102E-3</v>
      </c>
      <c r="GB118">
        <f t="shared" si="168"/>
        <v>1.9329332022696509E-3</v>
      </c>
      <c r="GC118">
        <f t="shared" si="169"/>
        <v>1.5346974333052643E-3</v>
      </c>
      <c r="GD118">
        <f t="shared" si="170"/>
        <v>1.056275959123163E-3</v>
      </c>
      <c r="GE118">
        <f t="shared" si="171"/>
        <v>2.5170438388664455E-3</v>
      </c>
    </row>
    <row r="119" spans="1:187">
      <c r="A119" s="15">
        <v>2067</v>
      </c>
      <c r="B119" s="18">
        <v>4310.3209999999999</v>
      </c>
      <c r="C119" s="18">
        <v>4331.0219999999999</v>
      </c>
      <c r="D119" s="18">
        <v>4327.6620000000003</v>
      </c>
      <c r="E119" s="18">
        <v>4337.5420000000004</v>
      </c>
      <c r="F119" s="18">
        <v>4341.7330000000002</v>
      </c>
      <c r="G119" s="18">
        <v>4341.2759999999998</v>
      </c>
      <c r="H119" s="18">
        <v>4337.21</v>
      </c>
      <c r="I119" s="18">
        <v>4330.3530000000001</v>
      </c>
      <c r="J119" s="18">
        <v>4321.518</v>
      </c>
      <c r="K119" s="18">
        <v>4312.8689999999997</v>
      </c>
      <c r="L119" s="18">
        <v>4305.893</v>
      </c>
      <c r="M119" s="18">
        <v>4300.9570000000003</v>
      </c>
      <c r="N119" s="18">
        <v>4296.6980000000003</v>
      </c>
      <c r="O119" s="18">
        <v>4293.0929999999998</v>
      </c>
      <c r="P119" s="18">
        <v>4296.4849999999997</v>
      </c>
      <c r="Q119" s="18">
        <v>4309.8109999999997</v>
      </c>
      <c r="R119" s="18">
        <v>4330.7049999999999</v>
      </c>
      <c r="S119" s="18">
        <v>4353.0309999999999</v>
      </c>
      <c r="T119" s="18">
        <v>4377.0110000000004</v>
      </c>
      <c r="U119" s="18">
        <v>4406.4210000000003</v>
      </c>
      <c r="V119" s="18">
        <v>4442.1980000000003</v>
      </c>
      <c r="W119" s="18">
        <v>4482.3230000000003</v>
      </c>
      <c r="X119" s="18">
        <v>4523.4480000000003</v>
      </c>
      <c r="Y119" s="18">
        <v>4565.7730000000001</v>
      </c>
      <c r="Z119" s="18">
        <v>4606.83</v>
      </c>
      <c r="AA119" s="18">
        <v>4644.8919999999998</v>
      </c>
      <c r="AB119" s="18">
        <v>4680.4589999999998</v>
      </c>
      <c r="AC119" s="18">
        <v>4715.7389999999996</v>
      </c>
      <c r="AD119" s="18">
        <v>4750.2719999999999</v>
      </c>
      <c r="AE119" s="18">
        <v>4781.3419999999996</v>
      </c>
      <c r="AF119" s="18">
        <v>4807.8040000000001</v>
      </c>
      <c r="AG119" s="18">
        <v>4830.3969999999999</v>
      </c>
      <c r="AH119" s="18">
        <v>4850.6660000000002</v>
      </c>
      <c r="AI119" s="18">
        <v>4867.9009999999998</v>
      </c>
      <c r="AJ119" s="18">
        <v>4883.3059999999996</v>
      </c>
      <c r="AK119" s="18">
        <v>4897.5020000000004</v>
      </c>
      <c r="AL119" s="18">
        <v>4909.5169999999998</v>
      </c>
      <c r="AM119" s="18">
        <v>4918.0789999999997</v>
      </c>
      <c r="AN119" s="18">
        <v>4923.8280000000004</v>
      </c>
      <c r="AO119" s="18">
        <v>4923.4740000000002</v>
      </c>
      <c r="AP119" s="18">
        <v>4915.3729999999996</v>
      </c>
      <c r="AQ119" s="18">
        <v>4901.1559999999999</v>
      </c>
      <c r="AR119" s="18">
        <v>4885.7830000000004</v>
      </c>
      <c r="AS119" s="18">
        <v>4870.2860000000001</v>
      </c>
      <c r="AT119" s="18">
        <v>4847.5060000000003</v>
      </c>
      <c r="AU119" s="18">
        <v>4815.0320000000002</v>
      </c>
      <c r="AV119" s="18">
        <v>4777.2820000000002</v>
      </c>
      <c r="AW119" s="18">
        <v>4740.5839999999998</v>
      </c>
      <c r="AX119" s="18">
        <v>4703.0739999999996</v>
      </c>
      <c r="AY119" s="18">
        <v>4675.9949999999999</v>
      </c>
      <c r="AZ119" s="18">
        <v>4665.3980000000001</v>
      </c>
      <c r="BA119" s="18">
        <v>4666.4210000000003</v>
      </c>
      <c r="BB119" s="18">
        <v>4665.2209999999995</v>
      </c>
      <c r="BC119" s="18">
        <v>4661.0619999999999</v>
      </c>
      <c r="BD119" s="18">
        <v>4667.7460000000001</v>
      </c>
      <c r="BE119" s="18">
        <v>4689.6239999999998</v>
      </c>
      <c r="BF119" s="18">
        <v>4718.9260000000004</v>
      </c>
      <c r="BG119" s="18">
        <v>4746.1859999999997</v>
      </c>
      <c r="BH119" s="18">
        <v>4776.473</v>
      </c>
      <c r="BI119" s="18">
        <v>4781.4440000000004</v>
      </c>
      <c r="BJ119" s="18">
        <v>4747.0389999999998</v>
      </c>
      <c r="BK119" s="18">
        <v>4687.0450000000001</v>
      </c>
      <c r="BL119" s="18">
        <v>4629.1940000000004</v>
      </c>
      <c r="BM119" s="18">
        <v>4567.8029999999999</v>
      </c>
      <c r="BN119" s="18">
        <v>4513.7650000000003</v>
      </c>
      <c r="BO119" s="18">
        <v>4475.2560000000003</v>
      </c>
      <c r="BP119" s="18">
        <v>4446.634</v>
      </c>
      <c r="BQ119" s="18">
        <v>4410.1589999999997</v>
      </c>
      <c r="BR119" s="18">
        <v>4364.6689999999999</v>
      </c>
      <c r="BS119" s="18">
        <v>4331.8630000000003</v>
      </c>
      <c r="BT119" s="18">
        <v>4319.2460000000001</v>
      </c>
      <c r="BU119" s="18">
        <v>4315.2749999999996</v>
      </c>
      <c r="BV119" s="18">
        <v>4303.0429999999997</v>
      </c>
      <c r="BW119" s="18">
        <v>4288.509</v>
      </c>
      <c r="BX119" s="18">
        <v>4241.2</v>
      </c>
      <c r="BY119" s="18">
        <v>4145.0460000000003</v>
      </c>
      <c r="BZ119" s="18">
        <v>4014.3389999999999</v>
      </c>
      <c r="CA119" s="18">
        <v>3880.3139999999999</v>
      </c>
      <c r="CB119" s="18">
        <v>3737.7759999999998</v>
      </c>
      <c r="CC119" s="18">
        <v>3589.145</v>
      </c>
      <c r="CD119" s="18">
        <v>3439.11</v>
      </c>
      <c r="CE119" s="18">
        <v>3286.0050000000001</v>
      </c>
      <c r="CF119" s="18">
        <v>3124.6550000000002</v>
      </c>
      <c r="CG119" s="18">
        <v>2957.4929999999999</v>
      </c>
      <c r="CH119" s="18">
        <v>2785.2220000000002</v>
      </c>
      <c r="CI119" s="18">
        <v>2608.1379999999999</v>
      </c>
      <c r="CJ119" s="18">
        <v>2427.989</v>
      </c>
      <c r="CK119" s="18">
        <v>2241.59</v>
      </c>
      <c r="CL119" s="18">
        <v>2072.9360000000001</v>
      </c>
      <c r="CM119" s="18">
        <v>1905.9880000000001</v>
      </c>
      <c r="CN119" s="18">
        <v>1719.68</v>
      </c>
      <c r="CO119" s="18">
        <v>1513.8320000000001</v>
      </c>
      <c r="CP119" s="18">
        <v>1338.4480000000001</v>
      </c>
      <c r="CQ119" s="18">
        <v>1228.3689999999999</v>
      </c>
      <c r="CR119" s="18">
        <v>1099.355</v>
      </c>
      <c r="CS119" s="18">
        <v>929.18799999999999</v>
      </c>
      <c r="CT119" s="18">
        <v>717.86599999999999</v>
      </c>
      <c r="CU119" s="18">
        <v>626.44600000000003</v>
      </c>
      <c r="CV119" s="18">
        <v>497.57100000000003</v>
      </c>
      <c r="CW119" s="18">
        <v>343.113</v>
      </c>
      <c r="CX119" s="18">
        <v>820.37599999999998</v>
      </c>
      <c r="CY119" s="3">
        <f t="shared" si="172"/>
        <v>400428.62300000008</v>
      </c>
      <c r="CZ119" s="21">
        <f t="shared" si="88"/>
        <v>322650.44399999996</v>
      </c>
      <c r="DA119">
        <f t="shared" si="89"/>
        <v>1.3565798781296582E-2</v>
      </c>
      <c r="DB119">
        <f t="shared" si="90"/>
        <v>1.3656950058311405E-2</v>
      </c>
      <c r="DC119">
        <f t="shared" si="91"/>
        <v>1.3767834765477653E-2</v>
      </c>
      <c r="DD119">
        <f t="shared" si="92"/>
        <v>1.3892195356780606E-2</v>
      </c>
      <c r="DE119">
        <f t="shared" si="93"/>
        <v>1.4019655277461825E-2</v>
      </c>
      <c r="DF119">
        <f t="shared" si="94"/>
        <v>1.4150834393396964E-2</v>
      </c>
      <c r="DG119">
        <f t="shared" si="95"/>
        <v>1.4278083559680459E-2</v>
      </c>
      <c r="DH119">
        <f t="shared" si="96"/>
        <v>1.4396050234476047E-2</v>
      </c>
      <c r="DI119">
        <f t="shared" si="97"/>
        <v>1.4506284082472858E-2</v>
      </c>
      <c r="DJ119">
        <f t="shared" si="98"/>
        <v>1.4615628422938107E-2</v>
      </c>
      <c r="DK119">
        <f t="shared" si="99"/>
        <v>1.4722657564357793E-2</v>
      </c>
      <c r="DL119">
        <f t="shared" si="100"/>
        <v>1.4818953728140538E-2</v>
      </c>
      <c r="DM119">
        <f t="shared" si="101"/>
        <v>1.4900968182148235E-2</v>
      </c>
      <c r="DN119">
        <f t="shared" si="102"/>
        <v>1.4970991330791415E-2</v>
      </c>
      <c r="DO119">
        <f t="shared" si="103"/>
        <v>1.5033811637959502E-2</v>
      </c>
      <c r="DP119">
        <f t="shared" si="104"/>
        <v>1.5087228579793929E-2</v>
      </c>
      <c r="DQ119">
        <f t="shared" si="105"/>
        <v>1.5134973748866127E-2</v>
      </c>
      <c r="DR119">
        <f t="shared" si="106"/>
        <v>1.5178971828720004E-2</v>
      </c>
      <c r="DS119">
        <f t="shared" si="107"/>
        <v>1.5216210271199876E-2</v>
      </c>
      <c r="DT119">
        <f t="shared" si="108"/>
        <v>1.5242746729336596E-2</v>
      </c>
      <c r="DU119">
        <f t="shared" si="109"/>
        <v>1.5260564773932252E-2</v>
      </c>
      <c r="DV119">
        <f t="shared" si="110"/>
        <v>1.5259467611332346E-2</v>
      </c>
      <c r="DW119">
        <f t="shared" si="111"/>
        <v>1.5234359944039006E-2</v>
      </c>
      <c r="DX119">
        <f t="shared" si="112"/>
        <v>1.5190296778268188E-2</v>
      </c>
      <c r="DY119">
        <f t="shared" si="113"/>
        <v>1.5142650787736096E-2</v>
      </c>
      <c r="DZ119">
        <f t="shared" si="114"/>
        <v>1.5094620480361096E-2</v>
      </c>
      <c r="EA119">
        <f t="shared" si="115"/>
        <v>1.502401775712418E-2</v>
      </c>
      <c r="EB119">
        <f t="shared" si="116"/>
        <v>1.4923370134894346E-2</v>
      </c>
      <c r="EC119">
        <f t="shared" si="117"/>
        <v>1.4806370450864777E-2</v>
      </c>
      <c r="ED119">
        <f t="shared" si="118"/>
        <v>1.4692631261341144E-2</v>
      </c>
      <c r="EE119">
        <f t="shared" si="119"/>
        <v>1.457637541636236E-2</v>
      </c>
      <c r="EF119">
        <f t="shared" si="120"/>
        <v>1.4492448676128276E-2</v>
      </c>
      <c r="EG119">
        <f t="shared" si="121"/>
        <v>1.4459605082706785E-2</v>
      </c>
      <c r="EH119">
        <f t="shared" si="122"/>
        <v>1.4462775696660752E-2</v>
      </c>
      <c r="EI119">
        <f t="shared" si="123"/>
        <v>1.4459056501406829E-2</v>
      </c>
      <c r="EJ119">
        <f t="shared" si="124"/>
        <v>1.4446166390522619E-2</v>
      </c>
      <c r="EK119">
        <f t="shared" si="125"/>
        <v>1.4466882308086954E-2</v>
      </c>
      <c r="EL119">
        <f t="shared" si="126"/>
        <v>1.4534689436224673E-2</v>
      </c>
      <c r="EM119">
        <f t="shared" si="127"/>
        <v>1.4625505985666646E-2</v>
      </c>
      <c r="EN119">
        <f t="shared" si="128"/>
        <v>1.4709993704518195E-2</v>
      </c>
      <c r="EO119">
        <f t="shared" si="129"/>
        <v>1.4803863093397759E-2</v>
      </c>
      <c r="EP119">
        <f t="shared" si="130"/>
        <v>1.4819269859737125E-2</v>
      </c>
      <c r="EQ119">
        <f t="shared" si="131"/>
        <v>1.4712637432477856E-2</v>
      </c>
      <c r="ER119">
        <f t="shared" si="132"/>
        <v>1.4526696265758124E-2</v>
      </c>
      <c r="ES119">
        <f t="shared" si="133"/>
        <v>1.4347396961896018E-2</v>
      </c>
      <c r="ET119">
        <f t="shared" si="134"/>
        <v>1.4157126032034843E-2</v>
      </c>
      <c r="EU119">
        <f t="shared" si="135"/>
        <v>1.3989644471092067E-2</v>
      </c>
      <c r="EV119">
        <f t="shared" si="136"/>
        <v>1.3870292396064394E-2</v>
      </c>
      <c r="EW119">
        <f t="shared" si="137"/>
        <v>1.3781583390599645E-2</v>
      </c>
      <c r="EX119">
        <f t="shared" si="138"/>
        <v>1.3668535351527365E-2</v>
      </c>
      <c r="EY119">
        <f t="shared" si="139"/>
        <v>1.3527546858110012E-2</v>
      </c>
      <c r="EZ119">
        <f t="shared" si="140"/>
        <v>1.3425870258526595E-2</v>
      </c>
      <c r="FA119">
        <f t="shared" si="141"/>
        <v>1.3386766019761003E-2</v>
      </c>
      <c r="FB119">
        <f t="shared" si="142"/>
        <v>1.3374458582799904E-2</v>
      </c>
      <c r="FC119">
        <f t="shared" si="143"/>
        <v>1.3336547585844946E-2</v>
      </c>
      <c r="FD119">
        <f t="shared" si="144"/>
        <v>1.329150193266122E-2</v>
      </c>
      <c r="FE119">
        <f t="shared" si="145"/>
        <v>1.3144875759104798E-2</v>
      </c>
      <c r="FF119">
        <f t="shared" si="146"/>
        <v>1.2846862842066943E-2</v>
      </c>
      <c r="FG119">
        <f t="shared" si="147"/>
        <v>1.2441758797021833E-2</v>
      </c>
      <c r="FH119">
        <f t="shared" si="148"/>
        <v>1.2026371177099636E-2</v>
      </c>
      <c r="FI119">
        <f t="shared" si="149"/>
        <v>1.1584598966180255E-2</v>
      </c>
      <c r="FJ119">
        <f t="shared" si="150"/>
        <v>1.1123942541359096E-2</v>
      </c>
      <c r="FK119">
        <f t="shared" si="151"/>
        <v>1.0658934658090849E-2</v>
      </c>
      <c r="FL119">
        <f t="shared" si="152"/>
        <v>1.0184411833631323E-2</v>
      </c>
      <c r="FM119">
        <f t="shared" si="153"/>
        <v>9.6843350384479884E-3</v>
      </c>
      <c r="FN119">
        <f t="shared" si="154"/>
        <v>9.1662449409181668E-3</v>
      </c>
      <c r="FO119">
        <f t="shared" si="155"/>
        <v>8.6323203695947825E-3</v>
      </c>
      <c r="FP119">
        <f t="shared" si="156"/>
        <v>8.0834787259737983E-3</v>
      </c>
      <c r="FQ119">
        <f t="shared" si="157"/>
        <v>7.5251376378084279E-3</v>
      </c>
      <c r="FR119">
        <f t="shared" si="158"/>
        <v>6.9474257410288903E-3</v>
      </c>
      <c r="FS119">
        <f t="shared" si="159"/>
        <v>6.4247114440666954E-3</v>
      </c>
      <c r="FT119">
        <f t="shared" si="160"/>
        <v>5.9072846030238232E-3</v>
      </c>
      <c r="FU119">
        <f t="shared" si="161"/>
        <v>5.329854745217708E-3</v>
      </c>
      <c r="FV119">
        <f t="shared" si="162"/>
        <v>4.6918639913602605E-3</v>
      </c>
      <c r="FW119">
        <f t="shared" si="163"/>
        <v>4.1482912076823307E-3</v>
      </c>
      <c r="FX119">
        <f t="shared" si="164"/>
        <v>3.8071201290521082E-3</v>
      </c>
      <c r="FY119">
        <f t="shared" si="165"/>
        <v>3.4072632486444065E-3</v>
      </c>
      <c r="FZ119">
        <f t="shared" si="166"/>
        <v>2.879859666332894E-3</v>
      </c>
      <c r="GA119">
        <f t="shared" si="167"/>
        <v>2.2249031834588148E-3</v>
      </c>
      <c r="GB119">
        <f t="shared" si="168"/>
        <v>1.9415624916976717E-3</v>
      </c>
      <c r="GC119">
        <f t="shared" si="169"/>
        <v>1.5421364180735486E-3</v>
      </c>
      <c r="GD119">
        <f t="shared" si="170"/>
        <v>1.063420200965228E-3</v>
      </c>
      <c r="GE119">
        <f t="shared" si="171"/>
        <v>2.542615438024936E-3</v>
      </c>
    </row>
    <row r="120" spans="1:187">
      <c r="A120" s="15">
        <v>2068</v>
      </c>
      <c r="B120" s="18">
        <v>4313.4560000000001</v>
      </c>
      <c r="C120" s="18">
        <v>4334.1909999999998</v>
      </c>
      <c r="D120" s="18">
        <v>4347.5870000000004</v>
      </c>
      <c r="E120" s="18">
        <v>4339.7179999999998</v>
      </c>
      <c r="F120" s="18">
        <v>4345.2240000000002</v>
      </c>
      <c r="G120" s="18">
        <v>4346.2079999999996</v>
      </c>
      <c r="H120" s="18">
        <v>4343.6490000000003</v>
      </c>
      <c r="I120" s="18">
        <v>4338.5249999999996</v>
      </c>
      <c r="J120" s="18">
        <v>4331.482</v>
      </c>
      <c r="K120" s="18">
        <v>4323.16</v>
      </c>
      <c r="L120" s="18">
        <v>4316.2209999999995</v>
      </c>
      <c r="M120" s="18">
        <v>4312.3159999999998</v>
      </c>
      <c r="N120" s="18">
        <v>4311.4160000000002</v>
      </c>
      <c r="O120" s="18">
        <v>4311.4340000000002</v>
      </c>
      <c r="P120" s="18">
        <v>4312.3010000000004</v>
      </c>
      <c r="Q120" s="18">
        <v>4320.2380000000003</v>
      </c>
      <c r="R120" s="18">
        <v>4337.9849999999997</v>
      </c>
      <c r="S120" s="18">
        <v>4363.0389999999998</v>
      </c>
      <c r="T120" s="18">
        <v>4389.4369999999999</v>
      </c>
      <c r="U120" s="18">
        <v>4417.5060000000003</v>
      </c>
      <c r="V120" s="18">
        <v>4449.4690000000001</v>
      </c>
      <c r="W120" s="18">
        <v>4485.5550000000003</v>
      </c>
      <c r="X120" s="18">
        <v>4524.41</v>
      </c>
      <c r="Y120" s="18">
        <v>4564.1319999999996</v>
      </c>
      <c r="Z120" s="18">
        <v>4604.7219999999998</v>
      </c>
      <c r="AA120" s="18">
        <v>4643.75</v>
      </c>
      <c r="AB120" s="18">
        <v>4679.6850000000004</v>
      </c>
      <c r="AC120" s="18">
        <v>4713.0190000000002</v>
      </c>
      <c r="AD120" s="18">
        <v>4745.768</v>
      </c>
      <c r="AE120" s="18">
        <v>4777.5190000000002</v>
      </c>
      <c r="AF120" s="18">
        <v>4806.0050000000001</v>
      </c>
      <c r="AG120" s="18">
        <v>4830.2889999999998</v>
      </c>
      <c r="AH120" s="18">
        <v>4850.9830000000002</v>
      </c>
      <c r="AI120" s="18">
        <v>4869.2870000000003</v>
      </c>
      <c r="AJ120" s="18">
        <v>4884.5510000000004</v>
      </c>
      <c r="AK120" s="18">
        <v>4898.1360000000004</v>
      </c>
      <c r="AL120" s="18">
        <v>4910.7079999999996</v>
      </c>
      <c r="AM120" s="18">
        <v>4921.2479999999996</v>
      </c>
      <c r="AN120" s="18">
        <v>4928.3890000000001</v>
      </c>
      <c r="AO120" s="18">
        <v>4932.7730000000001</v>
      </c>
      <c r="AP120" s="18">
        <v>4931.1260000000002</v>
      </c>
      <c r="AQ120" s="18">
        <v>4921.7939999999999</v>
      </c>
      <c r="AR120" s="18">
        <v>4906.3950000000004</v>
      </c>
      <c r="AS120" s="18">
        <v>4889.875</v>
      </c>
      <c r="AT120" s="18">
        <v>4873.2550000000001</v>
      </c>
      <c r="AU120" s="18">
        <v>4849.3609999999999</v>
      </c>
      <c r="AV120" s="18">
        <v>4815.768</v>
      </c>
      <c r="AW120" s="18">
        <v>4776.8860000000004</v>
      </c>
      <c r="AX120" s="18">
        <v>4739.05</v>
      </c>
      <c r="AY120" s="18">
        <v>4700.3980000000001</v>
      </c>
      <c r="AZ120" s="18">
        <v>4672.1000000000004</v>
      </c>
      <c r="BA120" s="18">
        <v>4660.1790000000001</v>
      </c>
      <c r="BB120" s="18">
        <v>4659.7929999999997</v>
      </c>
      <c r="BC120" s="18">
        <v>4657.17</v>
      </c>
      <c r="BD120" s="18">
        <v>4651.5749999999998</v>
      </c>
      <c r="BE120" s="18">
        <v>4656.7470000000003</v>
      </c>
      <c r="BF120" s="18">
        <v>4677.0159999999996</v>
      </c>
      <c r="BG120" s="18">
        <v>4704.6469999999999</v>
      </c>
      <c r="BH120" s="18">
        <v>4730.192</v>
      </c>
      <c r="BI120" s="18">
        <v>4758.6819999999998</v>
      </c>
      <c r="BJ120" s="18">
        <v>4761.9889999999996</v>
      </c>
      <c r="BK120" s="18">
        <v>4726.152</v>
      </c>
      <c r="BL120" s="18">
        <v>4664.8410000000003</v>
      </c>
      <c r="BM120" s="18">
        <v>4605.527</v>
      </c>
      <c r="BN120" s="18">
        <v>4542.527</v>
      </c>
      <c r="BO120" s="18">
        <v>4486.8059999999996</v>
      </c>
      <c r="BP120" s="18">
        <v>4446.527</v>
      </c>
      <c r="BQ120" s="18">
        <v>4415.9870000000001</v>
      </c>
      <c r="BR120" s="18">
        <v>4377.402</v>
      </c>
      <c r="BS120" s="18">
        <v>4329.6390000000001</v>
      </c>
      <c r="BT120" s="18">
        <v>4294.0659999999998</v>
      </c>
      <c r="BU120" s="18">
        <v>4278.027</v>
      </c>
      <c r="BV120" s="18">
        <v>4270.1109999999999</v>
      </c>
      <c r="BW120" s="18">
        <v>4253.7160000000003</v>
      </c>
      <c r="BX120" s="18">
        <v>4234.7439999999997</v>
      </c>
      <c r="BY120" s="18">
        <v>4182.7520000000004</v>
      </c>
      <c r="BZ120" s="18">
        <v>4081.7190000000001</v>
      </c>
      <c r="CA120" s="18">
        <v>3945.9070000000002</v>
      </c>
      <c r="CB120" s="18">
        <v>3806.5790000000002</v>
      </c>
      <c r="CC120" s="18">
        <v>3658.6559999999999</v>
      </c>
      <c r="CD120" s="18">
        <v>3504.0770000000002</v>
      </c>
      <c r="CE120" s="18">
        <v>3347.326</v>
      </c>
      <c r="CF120" s="18">
        <v>3187.0450000000001</v>
      </c>
      <c r="CG120" s="18">
        <v>3018.7269999999999</v>
      </c>
      <c r="CH120" s="18">
        <v>2844.875</v>
      </c>
      <c r="CI120" s="18">
        <v>2665.86</v>
      </c>
      <c r="CJ120" s="18">
        <v>2481.9540000000002</v>
      </c>
      <c r="CK120" s="18">
        <v>2295.1990000000001</v>
      </c>
      <c r="CL120" s="18">
        <v>2100.2020000000002</v>
      </c>
      <c r="CM120" s="18">
        <v>1932.809</v>
      </c>
      <c r="CN120" s="18">
        <v>1767.681</v>
      </c>
      <c r="CO120" s="18">
        <v>1572.4259999999999</v>
      </c>
      <c r="CP120" s="18">
        <v>1346.923</v>
      </c>
      <c r="CQ120" s="18">
        <v>1171.498</v>
      </c>
      <c r="CR120" s="18">
        <v>1070.7449999999999</v>
      </c>
      <c r="CS120" s="18">
        <v>948.77099999999996</v>
      </c>
      <c r="CT120" s="18">
        <v>790.76400000000001</v>
      </c>
      <c r="CU120" s="18">
        <v>596.721</v>
      </c>
      <c r="CV120" s="18">
        <v>502.38299999999998</v>
      </c>
      <c r="CW120" s="18">
        <v>346.61500000000001</v>
      </c>
      <c r="CX120" s="18">
        <v>829.47699999999998</v>
      </c>
      <c r="CY120" s="3">
        <f t="shared" si="172"/>
        <v>401693.25200000004</v>
      </c>
      <c r="CZ120" s="21">
        <f t="shared" si="88"/>
        <v>323745.10200000007</v>
      </c>
      <c r="DA120">
        <f t="shared" si="89"/>
        <v>1.3558311686828235E-2</v>
      </c>
      <c r="DB120">
        <f t="shared" si="90"/>
        <v>1.364501261242247E-2</v>
      </c>
      <c r="DC120">
        <f t="shared" si="91"/>
        <v>1.374374151921532E-2</v>
      </c>
      <c r="DD120">
        <f t="shared" si="92"/>
        <v>1.3855205753815542E-2</v>
      </c>
      <c r="DE120">
        <f t="shared" si="93"/>
        <v>1.3975223013567009E-2</v>
      </c>
      <c r="DF120">
        <f t="shared" si="94"/>
        <v>1.4097918306112315E-2</v>
      </c>
      <c r="DG120">
        <f t="shared" si="95"/>
        <v>1.4223294720301278E-2</v>
      </c>
      <c r="DH120">
        <f t="shared" si="96"/>
        <v>1.4343846351071587E-2</v>
      </c>
      <c r="DI120">
        <f t="shared" si="97"/>
        <v>1.4454844169349007E-2</v>
      </c>
      <c r="DJ120">
        <f t="shared" si="98"/>
        <v>1.4557807889244913E-2</v>
      </c>
      <c r="DK120">
        <f t="shared" si="99"/>
        <v>1.465896463199619E-2</v>
      </c>
      <c r="DL120">
        <f t="shared" si="100"/>
        <v>1.4757038702627227E-2</v>
      </c>
      <c r="DM120">
        <f t="shared" si="101"/>
        <v>1.4845027678596351E-2</v>
      </c>
      <c r="DN120">
        <f t="shared" si="102"/>
        <v>1.4920037307622336E-2</v>
      </c>
      <c r="DO120">
        <f t="shared" si="103"/>
        <v>1.4983957965794952E-2</v>
      </c>
      <c r="DP120">
        <f t="shared" si="104"/>
        <v>1.504049627289805E-2</v>
      </c>
      <c r="DQ120">
        <f t="shared" si="105"/>
        <v>1.5087644476548711E-2</v>
      </c>
      <c r="DR120">
        <f t="shared" si="106"/>
        <v>1.5129606501351794E-2</v>
      </c>
      <c r="DS120">
        <f t="shared" si="107"/>
        <v>1.5168439521287332E-2</v>
      </c>
      <c r="DT120">
        <f t="shared" si="108"/>
        <v>1.5200995998388875E-2</v>
      </c>
      <c r="DU120">
        <f t="shared" si="109"/>
        <v>1.5223053474952647E-2</v>
      </c>
      <c r="DV120">
        <f t="shared" si="110"/>
        <v>1.5236594992563005E-2</v>
      </c>
      <c r="DW120">
        <f t="shared" si="111"/>
        <v>1.523150765690966E-2</v>
      </c>
      <c r="DX120">
        <f t="shared" si="112"/>
        <v>1.5202682510390532E-2</v>
      </c>
      <c r="DY120">
        <f t="shared" si="113"/>
        <v>1.5155117312014188E-2</v>
      </c>
      <c r="DZ120">
        <f t="shared" si="114"/>
        <v>1.5104089512989756E-2</v>
      </c>
      <c r="EA120">
        <f t="shared" si="115"/>
        <v>1.5052752828983338E-2</v>
      </c>
      <c r="EB120">
        <f t="shared" si="116"/>
        <v>1.4978947851387104E-2</v>
      </c>
      <c r="EC120">
        <f t="shared" si="117"/>
        <v>1.4875184119387848E-2</v>
      </c>
      <c r="ED120">
        <f t="shared" si="118"/>
        <v>1.4755083460691243E-2</v>
      </c>
      <c r="EE120">
        <f t="shared" si="119"/>
        <v>1.463821373890623E-2</v>
      </c>
      <c r="EF120">
        <f t="shared" si="120"/>
        <v>1.4518823515668198E-2</v>
      </c>
      <c r="EG120">
        <f t="shared" si="121"/>
        <v>1.4431415243465211E-2</v>
      </c>
      <c r="EH120">
        <f t="shared" si="122"/>
        <v>1.439459306476241E-2</v>
      </c>
      <c r="EI120">
        <f t="shared" si="123"/>
        <v>1.4393400768731935E-2</v>
      </c>
      <c r="EJ120">
        <f t="shared" si="124"/>
        <v>1.4385298715654389E-2</v>
      </c>
      <c r="EK120">
        <f t="shared" si="125"/>
        <v>1.4368016600912154E-2</v>
      </c>
      <c r="EL120">
        <f t="shared" si="126"/>
        <v>1.4383992132180579E-2</v>
      </c>
      <c r="EM120">
        <f t="shared" si="127"/>
        <v>1.4446600029179742E-2</v>
      </c>
      <c r="EN120">
        <f t="shared" si="128"/>
        <v>1.453194803855287E-2</v>
      </c>
      <c r="EO120">
        <f t="shared" si="129"/>
        <v>1.4610852707201727E-2</v>
      </c>
      <c r="EP120">
        <f t="shared" si="130"/>
        <v>1.4698854038570131E-2</v>
      </c>
      <c r="EQ120">
        <f t="shared" si="131"/>
        <v>1.4709068864924476E-2</v>
      </c>
      <c r="ER120">
        <f t="shared" si="132"/>
        <v>1.4598373753929408E-2</v>
      </c>
      <c r="ES120">
        <f t="shared" si="133"/>
        <v>1.4408993282622694E-2</v>
      </c>
      <c r="ET120">
        <f t="shared" si="134"/>
        <v>1.4225781244406283E-2</v>
      </c>
      <c r="EU120">
        <f t="shared" si="135"/>
        <v>1.4031183705753791E-2</v>
      </c>
      <c r="EV120">
        <f t="shared" si="136"/>
        <v>1.3859069904940209E-2</v>
      </c>
      <c r="EW120">
        <f t="shared" si="137"/>
        <v>1.3734654123045231E-2</v>
      </c>
      <c r="EX120">
        <f t="shared" si="138"/>
        <v>1.3640320649546071E-2</v>
      </c>
      <c r="EY120">
        <f t="shared" si="139"/>
        <v>1.3521137379245969E-2</v>
      </c>
      <c r="EZ120">
        <f t="shared" si="140"/>
        <v>1.3373604645299002E-2</v>
      </c>
      <c r="FA120">
        <f t="shared" si="141"/>
        <v>1.3263724990656381E-2</v>
      </c>
      <c r="FB120">
        <f t="shared" si="142"/>
        <v>1.3214182928395312E-2</v>
      </c>
      <c r="FC120">
        <f t="shared" si="143"/>
        <v>1.3189731593221135E-2</v>
      </c>
      <c r="FD120">
        <f t="shared" si="144"/>
        <v>1.313908990042419E-2</v>
      </c>
      <c r="FE120">
        <f t="shared" si="145"/>
        <v>1.3080488241641409E-2</v>
      </c>
      <c r="FF120">
        <f t="shared" si="146"/>
        <v>1.2919892761806167E-2</v>
      </c>
      <c r="FG120">
        <f t="shared" si="147"/>
        <v>1.2607816997954147E-2</v>
      </c>
      <c r="FH120">
        <f t="shared" si="148"/>
        <v>1.2188314126216493E-2</v>
      </c>
      <c r="FI120">
        <f t="shared" si="149"/>
        <v>1.1757950858512138E-2</v>
      </c>
      <c r="FJ120">
        <f t="shared" si="150"/>
        <v>1.1301038926605904E-2</v>
      </c>
      <c r="FK120">
        <f t="shared" si="151"/>
        <v>1.0823567610298547E-2</v>
      </c>
      <c r="FL120">
        <f t="shared" si="152"/>
        <v>1.0339387312182407E-2</v>
      </c>
      <c r="FM120">
        <f t="shared" si="153"/>
        <v>9.8443033742020881E-3</v>
      </c>
      <c r="FN120">
        <f t="shared" si="154"/>
        <v>9.3243943502193862E-3</v>
      </c>
      <c r="FO120">
        <f t="shared" si="155"/>
        <v>8.7873916313334667E-3</v>
      </c>
      <c r="FP120">
        <f t="shared" si="156"/>
        <v>8.2344411808275009E-3</v>
      </c>
      <c r="FQ120">
        <f t="shared" si="157"/>
        <v>7.6663831658524972E-3</v>
      </c>
      <c r="FR120">
        <f t="shared" si="158"/>
        <v>7.0895250177406529E-3</v>
      </c>
      <c r="FS120">
        <f t="shared" si="159"/>
        <v>6.4872085694133519E-3</v>
      </c>
      <c r="FT120">
        <f t="shared" si="160"/>
        <v>5.9701567315140402E-3</v>
      </c>
      <c r="FU120">
        <f t="shared" si="161"/>
        <v>5.4601011384567593E-3</v>
      </c>
      <c r="FV120">
        <f t="shared" si="162"/>
        <v>4.8569877668759283E-3</v>
      </c>
      <c r="FW120">
        <f t="shared" si="163"/>
        <v>4.1604428659433425E-3</v>
      </c>
      <c r="FX120">
        <f t="shared" si="164"/>
        <v>3.6185813862907486E-3</v>
      </c>
      <c r="FY120">
        <f t="shared" si="165"/>
        <v>3.3073705003882951E-3</v>
      </c>
      <c r="FZ120">
        <f t="shared" si="166"/>
        <v>2.9306111324581513E-3</v>
      </c>
      <c r="GA120">
        <f t="shared" si="167"/>
        <v>2.4425512389682417E-3</v>
      </c>
      <c r="GB120">
        <f t="shared" si="168"/>
        <v>1.8431815533691066E-3</v>
      </c>
      <c r="GC120">
        <f t="shared" si="169"/>
        <v>1.5517856390611891E-3</v>
      </c>
      <c r="GD120">
        <f t="shared" si="170"/>
        <v>1.0706416803179927E-3</v>
      </c>
      <c r="GE120">
        <f t="shared" si="171"/>
        <v>2.5621298820452882E-3</v>
      </c>
    </row>
    <row r="121" spans="1:187">
      <c r="A121" s="15">
        <v>2069</v>
      </c>
      <c r="B121" s="18">
        <v>4314.2969999999996</v>
      </c>
      <c r="C121" s="18">
        <v>4334.884</v>
      </c>
      <c r="D121" s="18">
        <v>4348.5969999999998</v>
      </c>
      <c r="E121" s="18">
        <v>4356.3540000000003</v>
      </c>
      <c r="F121" s="18">
        <v>4350.2160000000003</v>
      </c>
      <c r="G121" s="18">
        <v>4351.3469999999998</v>
      </c>
      <c r="H121" s="18">
        <v>4349.1220000000003</v>
      </c>
      <c r="I121" s="18">
        <v>4344.4620000000004</v>
      </c>
      <c r="J121" s="18">
        <v>4338.2839999999997</v>
      </c>
      <c r="K121" s="18">
        <v>4331.0559999999996</v>
      </c>
      <c r="L121" s="18">
        <v>4323.25</v>
      </c>
      <c r="M121" s="18">
        <v>4318.0240000000003</v>
      </c>
      <c r="N121" s="18">
        <v>4317.1909999999998</v>
      </c>
      <c r="O121" s="18">
        <v>4320.326</v>
      </c>
      <c r="P121" s="18">
        <v>4324.6210000000001</v>
      </c>
      <c r="Q121" s="18">
        <v>4329.9579999999996</v>
      </c>
      <c r="R121" s="18">
        <v>4342.4359999999997</v>
      </c>
      <c r="S121" s="18">
        <v>4364.5969999999998</v>
      </c>
      <c r="T121" s="18">
        <v>4393.8010000000004</v>
      </c>
      <c r="U121" s="18">
        <v>4424.2619999999997</v>
      </c>
      <c r="V121" s="18">
        <v>4456.4059999999999</v>
      </c>
      <c r="W121" s="18">
        <v>4490.9110000000001</v>
      </c>
      <c r="X121" s="18">
        <v>4527.2929999999997</v>
      </c>
      <c r="Y121" s="18">
        <v>4564.8620000000001</v>
      </c>
      <c r="Z121" s="18">
        <v>4603.1689999999999</v>
      </c>
      <c r="AA121" s="18">
        <v>4642.01</v>
      </c>
      <c r="AB121" s="18">
        <v>4678.9970000000003</v>
      </c>
      <c r="AC121" s="18">
        <v>4712.7910000000002</v>
      </c>
      <c r="AD121" s="18">
        <v>4743.8810000000003</v>
      </c>
      <c r="AE121" s="18">
        <v>4774.0870000000004</v>
      </c>
      <c r="AF121" s="18">
        <v>4803.0460000000003</v>
      </c>
      <c r="AG121" s="18">
        <v>4828.9380000000001</v>
      </c>
      <c r="AH121" s="18">
        <v>4851.0370000000003</v>
      </c>
      <c r="AI121" s="18">
        <v>4869.8230000000003</v>
      </c>
      <c r="AJ121" s="18">
        <v>4886.1580000000004</v>
      </c>
      <c r="AK121" s="18">
        <v>4899.4430000000002</v>
      </c>
      <c r="AL121" s="18">
        <v>4911.2049999999999</v>
      </c>
      <c r="AM121" s="18">
        <v>4922.1480000000001</v>
      </c>
      <c r="AN121" s="18">
        <v>4931.2120000000004</v>
      </c>
      <c r="AO121" s="18">
        <v>4936.9279999999999</v>
      </c>
      <c r="AP121" s="18">
        <v>4939.9459999999999</v>
      </c>
      <c r="AQ121" s="18">
        <v>4937.0060000000003</v>
      </c>
      <c r="AR121" s="18">
        <v>4926.4470000000001</v>
      </c>
      <c r="AS121" s="18">
        <v>4909.8729999999996</v>
      </c>
      <c r="AT121" s="18">
        <v>4892.2110000000002</v>
      </c>
      <c r="AU121" s="18">
        <v>4874.4750000000004</v>
      </c>
      <c r="AV121" s="18">
        <v>4849.4750000000004</v>
      </c>
      <c r="AW121" s="18">
        <v>4814.7749999999996</v>
      </c>
      <c r="AX121" s="18">
        <v>4774.7759999999998</v>
      </c>
      <c r="AY121" s="18">
        <v>4735.8159999999998</v>
      </c>
      <c r="AZ121" s="18">
        <v>4696.0339999999997</v>
      </c>
      <c r="BA121" s="18">
        <v>4666.53</v>
      </c>
      <c r="BB121" s="18">
        <v>4653.2879999999996</v>
      </c>
      <c r="BC121" s="18">
        <v>4651.4930000000004</v>
      </c>
      <c r="BD121" s="18">
        <v>4647.45</v>
      </c>
      <c r="BE121" s="18">
        <v>4640.4210000000003</v>
      </c>
      <c r="BF121" s="18">
        <v>4644.0780000000004</v>
      </c>
      <c r="BG121" s="18">
        <v>4662.732</v>
      </c>
      <c r="BH121" s="18">
        <v>4688.6809999999996</v>
      </c>
      <c r="BI121" s="18">
        <v>4712.5050000000001</v>
      </c>
      <c r="BJ121" s="18">
        <v>4739.1869999999999</v>
      </c>
      <c r="BK121" s="18">
        <v>4740.8289999999997</v>
      </c>
      <c r="BL121" s="18">
        <v>4703.5730000000003</v>
      </c>
      <c r="BM121" s="18">
        <v>4640.9669999999996</v>
      </c>
      <c r="BN121" s="18">
        <v>4580.2120000000004</v>
      </c>
      <c r="BO121" s="18">
        <v>4515.6270000000004</v>
      </c>
      <c r="BP121" s="18">
        <v>4458.241</v>
      </c>
      <c r="BQ121" s="18">
        <v>4416.21</v>
      </c>
      <c r="BR121" s="18">
        <v>4383.7610000000004</v>
      </c>
      <c r="BS121" s="18">
        <v>4343.08</v>
      </c>
      <c r="BT121" s="18">
        <v>4293.0630000000001</v>
      </c>
      <c r="BU121" s="18">
        <v>4254.7370000000001</v>
      </c>
      <c r="BV121" s="18">
        <v>4235.2790000000005</v>
      </c>
      <c r="BW121" s="18">
        <v>4223.424</v>
      </c>
      <c r="BX121" s="18">
        <v>4202.875</v>
      </c>
      <c r="BY121" s="18">
        <v>4179.4709999999995</v>
      </c>
      <c r="BZ121" s="18">
        <v>4122.8159999999998</v>
      </c>
      <c r="CA121" s="18">
        <v>4016.9409999999998</v>
      </c>
      <c r="CB121" s="18">
        <v>3876.0740000000001</v>
      </c>
      <c r="CC121" s="18">
        <v>3731.4929999999999</v>
      </c>
      <c r="CD121" s="18">
        <v>3578.2420000000002</v>
      </c>
      <c r="CE121" s="18">
        <v>3417.77</v>
      </c>
      <c r="CF121" s="18">
        <v>3254.3609999999999</v>
      </c>
      <c r="CG121" s="18">
        <v>3086.9630000000002</v>
      </c>
      <c r="CH121" s="18">
        <v>2911.739</v>
      </c>
      <c r="CI121" s="18">
        <v>2731.261</v>
      </c>
      <c r="CJ121" s="18">
        <v>2545.5700000000002</v>
      </c>
      <c r="CK121" s="18">
        <v>2354.9070000000002</v>
      </c>
      <c r="CL121" s="18">
        <v>2161.616</v>
      </c>
      <c r="CM121" s="18">
        <v>1958.0940000000001</v>
      </c>
      <c r="CN121" s="18">
        <v>1792.019</v>
      </c>
      <c r="CO121" s="18">
        <v>1628.77</v>
      </c>
      <c r="CP121" s="18">
        <v>1424.6410000000001</v>
      </c>
      <c r="CQ121" s="18">
        <v>1179.568</v>
      </c>
      <c r="CR121" s="18">
        <v>1004.167</v>
      </c>
      <c r="CS121" s="18">
        <v>912.774</v>
      </c>
      <c r="CT121" s="18">
        <v>797.88300000000004</v>
      </c>
      <c r="CU121" s="18">
        <v>652.08900000000006</v>
      </c>
      <c r="CV121" s="18">
        <v>475.39100000000002</v>
      </c>
      <c r="CW121" s="18">
        <v>350.22800000000001</v>
      </c>
      <c r="CX121" s="18">
        <v>837.91499999999996</v>
      </c>
      <c r="CY121" s="3">
        <f t="shared" si="172"/>
        <v>402943.26999999996</v>
      </c>
      <c r="CZ121" s="21">
        <f t="shared" si="88"/>
        <v>324884.24799999996</v>
      </c>
      <c r="DA121">
        <f t="shared" si="89"/>
        <v>1.3524204472972789E-2</v>
      </c>
      <c r="DB121">
        <f t="shared" si="90"/>
        <v>1.3617964020219288E-2</v>
      </c>
      <c r="DC121">
        <f t="shared" si="91"/>
        <v>1.3716903874022234E-2</v>
      </c>
      <c r="DD121">
        <f t="shared" si="92"/>
        <v>1.3823110931497056E-2</v>
      </c>
      <c r="DE121">
        <f t="shared" si="93"/>
        <v>1.3935095431281113E-2</v>
      </c>
      <c r="DF121">
        <f t="shared" si="94"/>
        <v>1.4050733540026849E-2</v>
      </c>
      <c r="DG121">
        <f t="shared" si="95"/>
        <v>1.416864322704867E-2</v>
      </c>
      <c r="DH121">
        <f t="shared" si="96"/>
        <v>1.4288196576400345E-2</v>
      </c>
      <c r="DI121">
        <f t="shared" si="97"/>
        <v>1.44020432778877E-2</v>
      </c>
      <c r="DJ121">
        <f t="shared" si="98"/>
        <v>1.450606186360873E-2</v>
      </c>
      <c r="DK121">
        <f t="shared" si="99"/>
        <v>1.4601757485022791E-2</v>
      </c>
      <c r="DL121">
        <f t="shared" si="100"/>
        <v>1.4694732137336498E-2</v>
      </c>
      <c r="DM121">
        <f t="shared" si="101"/>
        <v>1.4783868499527871E-2</v>
      </c>
      <c r="DN121">
        <f t="shared" si="102"/>
        <v>1.4863564576390298E-2</v>
      </c>
      <c r="DO121">
        <f t="shared" si="103"/>
        <v>1.4931585725879824E-2</v>
      </c>
      <c r="DP121">
        <f t="shared" si="104"/>
        <v>1.4989409397281708E-2</v>
      </c>
      <c r="DQ121">
        <f t="shared" si="105"/>
        <v>1.503968884327073E-2</v>
      </c>
      <c r="DR121">
        <f t="shared" si="106"/>
        <v>1.5080580330259658E-2</v>
      </c>
      <c r="DS121">
        <f t="shared" si="107"/>
        <v>1.511678399378723E-2</v>
      </c>
      <c r="DT121">
        <f t="shared" si="108"/>
        <v>1.5150466759471825E-2</v>
      </c>
      <c r="DU121">
        <f t="shared" si="109"/>
        <v>1.5178365926808495E-2</v>
      </c>
      <c r="DV121">
        <f t="shared" si="110"/>
        <v>1.5195959885380471E-2</v>
      </c>
      <c r="DW121">
        <f t="shared" si="111"/>
        <v>1.5205249347761546E-2</v>
      </c>
      <c r="DX121">
        <f t="shared" si="112"/>
        <v>1.5196199970889328E-2</v>
      </c>
      <c r="DY121">
        <f t="shared" si="113"/>
        <v>1.5163699164632938E-2</v>
      </c>
      <c r="DZ121">
        <f t="shared" si="114"/>
        <v>1.511268407202063E-2</v>
      </c>
      <c r="EA121">
        <f t="shared" si="115"/>
        <v>1.5058320094361734E-2</v>
      </c>
      <c r="EB121">
        <f t="shared" si="116"/>
        <v>1.5003728343271358E-2</v>
      </c>
      <c r="EC121">
        <f t="shared" si="117"/>
        <v>1.492677785966404E-2</v>
      </c>
      <c r="ED121">
        <f t="shared" si="118"/>
        <v>1.4819970588417079E-2</v>
      </c>
      <c r="EE121">
        <f t="shared" si="119"/>
        <v>1.4696852892664715E-2</v>
      </c>
      <c r="EF121">
        <f t="shared" si="120"/>
        <v>1.4576933259011068E-2</v>
      </c>
      <c r="EG121">
        <f t="shared" si="121"/>
        <v>1.4454483493456415E-2</v>
      </c>
      <c r="EH121">
        <f t="shared" si="122"/>
        <v>1.4363669610722402E-2</v>
      </c>
      <c r="EI121">
        <f t="shared" si="123"/>
        <v>1.4322910478565277E-2</v>
      </c>
      <c r="EJ121">
        <f t="shared" si="124"/>
        <v>1.4317385433842275E-2</v>
      </c>
      <c r="EK121">
        <f t="shared" si="125"/>
        <v>1.4304941001633296E-2</v>
      </c>
      <c r="EL121">
        <f t="shared" si="126"/>
        <v>1.4283305603662264E-2</v>
      </c>
      <c r="EM121">
        <f t="shared" si="127"/>
        <v>1.4294561920404344E-2</v>
      </c>
      <c r="EN121">
        <f t="shared" si="128"/>
        <v>1.4351979293252779E-2</v>
      </c>
      <c r="EO121">
        <f t="shared" si="129"/>
        <v>1.4431850817217829E-2</v>
      </c>
      <c r="EP121">
        <f t="shared" si="130"/>
        <v>1.4505181550076261E-2</v>
      </c>
      <c r="EQ121">
        <f t="shared" si="131"/>
        <v>1.4587309262220681E-2</v>
      </c>
      <c r="ER121">
        <f t="shared" si="132"/>
        <v>1.4592363369984008E-2</v>
      </c>
      <c r="ES121">
        <f t="shared" si="133"/>
        <v>1.447768868129304E-2</v>
      </c>
      <c r="ET121">
        <f t="shared" si="134"/>
        <v>1.4284986202224246E-2</v>
      </c>
      <c r="EU121">
        <f t="shared" si="135"/>
        <v>1.4097981136961743E-2</v>
      </c>
      <c r="EV121">
        <f t="shared" si="136"/>
        <v>1.3899187257610596E-2</v>
      </c>
      <c r="EW121">
        <f t="shared" si="137"/>
        <v>1.3722552039519012E-2</v>
      </c>
      <c r="EX121">
        <f t="shared" si="138"/>
        <v>1.3593179808459043E-2</v>
      </c>
      <c r="EY121">
        <f t="shared" si="139"/>
        <v>1.3493301158756091E-2</v>
      </c>
      <c r="EZ121">
        <f t="shared" si="140"/>
        <v>1.3368084253810916E-2</v>
      </c>
      <c r="FA121">
        <f t="shared" si="141"/>
        <v>1.3214130960267426E-2</v>
      </c>
      <c r="FB121">
        <f t="shared" si="142"/>
        <v>1.3096162790878062E-2</v>
      </c>
      <c r="FC121">
        <f t="shared" si="143"/>
        <v>1.3036270690476815E-2</v>
      </c>
      <c r="FD121">
        <f t="shared" si="144"/>
        <v>1.2999780771150224E-2</v>
      </c>
      <c r="FE121">
        <f t="shared" si="145"/>
        <v>1.2936530551644352E-2</v>
      </c>
      <c r="FF121">
        <f t="shared" si="146"/>
        <v>1.2864492586910524E-2</v>
      </c>
      <c r="FG121">
        <f t="shared" si="147"/>
        <v>1.2690107400959619E-2</v>
      </c>
      <c r="FH121">
        <f t="shared" si="148"/>
        <v>1.2364222102882625E-2</v>
      </c>
      <c r="FI121">
        <f t="shared" si="149"/>
        <v>1.1930630751910141E-2</v>
      </c>
      <c r="FJ121">
        <f t="shared" si="150"/>
        <v>1.1485607637092951E-2</v>
      </c>
      <c r="FK121">
        <f t="shared" si="151"/>
        <v>1.1013898094560746E-2</v>
      </c>
      <c r="FL121">
        <f t="shared" si="152"/>
        <v>1.05199621743434E-2</v>
      </c>
      <c r="FM121">
        <f t="shared" si="153"/>
        <v>1.0016986111311866E-2</v>
      </c>
      <c r="FN121">
        <f t="shared" si="154"/>
        <v>9.5017318291159523E-3</v>
      </c>
      <c r="FO121">
        <f t="shared" si="155"/>
        <v>8.9623889675315999E-3</v>
      </c>
      <c r="FP121">
        <f t="shared" si="156"/>
        <v>8.4068741923123344E-3</v>
      </c>
      <c r="FQ121">
        <f t="shared" si="157"/>
        <v>7.8353137022512728E-3</v>
      </c>
      <c r="FR121">
        <f t="shared" si="158"/>
        <v>7.2484493000103851E-3</v>
      </c>
      <c r="FS121">
        <f t="shared" si="159"/>
        <v>6.6534958629326964E-3</v>
      </c>
      <c r="FT121">
        <f t="shared" si="160"/>
        <v>6.0270512099435498E-3</v>
      </c>
      <c r="FU121">
        <f t="shared" si="161"/>
        <v>5.5158691473401328E-3</v>
      </c>
      <c r="FV121">
        <f t="shared" si="162"/>
        <v>5.0133855674036869E-3</v>
      </c>
      <c r="FW121">
        <f t="shared" si="163"/>
        <v>4.3850725566725547E-3</v>
      </c>
      <c r="FX121">
        <f t="shared" si="164"/>
        <v>3.6307331219086994E-3</v>
      </c>
      <c r="FY121">
        <f t="shared" si="165"/>
        <v>3.0908454509004086E-3</v>
      </c>
      <c r="FZ121">
        <f t="shared" si="166"/>
        <v>2.8095360289674622E-3</v>
      </c>
      <c r="GA121">
        <f t="shared" si="167"/>
        <v>2.4558993084823249E-3</v>
      </c>
      <c r="GB121">
        <f t="shared" si="168"/>
        <v>2.0071425562005092E-3</v>
      </c>
      <c r="GC121">
        <f t="shared" si="169"/>
        <v>1.4632626941026702E-3</v>
      </c>
      <c r="GD121">
        <f t="shared" si="170"/>
        <v>1.0780085589129579E-3</v>
      </c>
      <c r="GE121">
        <f t="shared" si="171"/>
        <v>2.5791185788730515E-3</v>
      </c>
    </row>
    <row r="122" spans="1:187">
      <c r="A122" s="15">
        <v>2070</v>
      </c>
      <c r="B122" s="18">
        <v>4312.28</v>
      </c>
      <c r="C122" s="18">
        <v>4332.8190000000004</v>
      </c>
      <c r="D122" s="18">
        <v>4346.8890000000001</v>
      </c>
      <c r="E122" s="18">
        <v>4355.3469999999998</v>
      </c>
      <c r="F122" s="18">
        <v>4359.049</v>
      </c>
      <c r="G122" s="18">
        <v>4358.8519999999999</v>
      </c>
      <c r="H122" s="18">
        <v>4355.6120000000001</v>
      </c>
      <c r="I122" s="18">
        <v>4350.1850000000004</v>
      </c>
      <c r="J122" s="18">
        <v>4343.4290000000001</v>
      </c>
      <c r="K122" s="18">
        <v>4336.1989999999996</v>
      </c>
      <c r="L122" s="18">
        <v>4328.7910000000002</v>
      </c>
      <c r="M122" s="18">
        <v>4321.5029999999997</v>
      </c>
      <c r="N122" s="18">
        <v>4317.9880000000003</v>
      </c>
      <c r="O122" s="18">
        <v>4320.2259999999997</v>
      </c>
      <c r="P122" s="18">
        <v>4327.3890000000001</v>
      </c>
      <c r="Q122" s="18">
        <v>4335.9560000000001</v>
      </c>
      <c r="R122" s="18">
        <v>4345.7560000000003</v>
      </c>
      <c r="S122" s="18">
        <v>4362.7650000000003</v>
      </c>
      <c r="T122" s="18">
        <v>4389.3249999999998</v>
      </c>
      <c r="U122" s="18">
        <v>4422.6620000000003</v>
      </c>
      <c r="V122" s="18">
        <v>4457.1670000000004</v>
      </c>
      <c r="W122" s="18">
        <v>4493.37</v>
      </c>
      <c r="X122" s="18">
        <v>4530.3990000000003</v>
      </c>
      <c r="Y122" s="18">
        <v>4567.0619999999999</v>
      </c>
      <c r="Z122" s="18">
        <v>4603.3320000000003</v>
      </c>
      <c r="AA122" s="18">
        <v>4640.2070000000003</v>
      </c>
      <c r="AB122" s="18">
        <v>4677.2849999999999</v>
      </c>
      <c r="AC122" s="18">
        <v>4712.2169999999996</v>
      </c>
      <c r="AD122" s="18">
        <v>4743.8590000000004</v>
      </c>
      <c r="AE122" s="18">
        <v>4772.6909999999998</v>
      </c>
      <c r="AF122" s="18">
        <v>4800.3459999999995</v>
      </c>
      <c r="AG122" s="18">
        <v>4826.5039999999999</v>
      </c>
      <c r="AH122" s="18">
        <v>4849.7939999999999</v>
      </c>
      <c r="AI122" s="18">
        <v>4869.6980000000003</v>
      </c>
      <c r="AJ122" s="18">
        <v>4886.5730000000003</v>
      </c>
      <c r="AK122" s="18">
        <v>4900.9319999999998</v>
      </c>
      <c r="AL122" s="18">
        <v>4912.2359999999999</v>
      </c>
      <c r="AM122" s="18">
        <v>4922.17</v>
      </c>
      <c r="AN122" s="18">
        <v>4931.482</v>
      </c>
      <c r="AO122" s="18">
        <v>4939.0659999999998</v>
      </c>
      <c r="AP122" s="18">
        <v>4943.357</v>
      </c>
      <c r="AQ122" s="18">
        <v>4945.01</v>
      </c>
      <c r="AR122" s="18">
        <v>4940.7790000000005</v>
      </c>
      <c r="AS122" s="18">
        <v>4928.9989999999998</v>
      </c>
      <c r="AT122" s="18">
        <v>4911.2579999999998</v>
      </c>
      <c r="AU122" s="18">
        <v>4892.4629999999997</v>
      </c>
      <c r="AV122" s="18">
        <v>4873.6189999999997</v>
      </c>
      <c r="AW122" s="18">
        <v>4847.5249999999996</v>
      </c>
      <c r="AX122" s="18">
        <v>4811.7349999999997</v>
      </c>
      <c r="AY122" s="18">
        <v>4770.6360000000004</v>
      </c>
      <c r="AZ122" s="18">
        <v>4730.57</v>
      </c>
      <c r="BA122" s="18">
        <v>4689.6779999999999</v>
      </c>
      <c r="BB122" s="18">
        <v>4658.9799999999996</v>
      </c>
      <c r="BC122" s="18">
        <v>4644.424</v>
      </c>
      <c r="BD122" s="18">
        <v>4641.223</v>
      </c>
      <c r="BE122" s="18">
        <v>4635.7610000000004</v>
      </c>
      <c r="BF122" s="18">
        <v>4627.3019999999997</v>
      </c>
      <c r="BG122" s="18">
        <v>4629.4459999999999</v>
      </c>
      <c r="BH122" s="18">
        <v>4646.4780000000001</v>
      </c>
      <c r="BI122" s="18">
        <v>4670.7380000000003</v>
      </c>
      <c r="BJ122" s="18">
        <v>4692.8289999999997</v>
      </c>
      <c r="BK122" s="18">
        <v>4717.6930000000002</v>
      </c>
      <c r="BL122" s="18">
        <v>4717.6719999999996</v>
      </c>
      <c r="BM122" s="18">
        <v>4679.0159999999996</v>
      </c>
      <c r="BN122" s="18">
        <v>4615.1419999999998</v>
      </c>
      <c r="BO122" s="18">
        <v>4552.973</v>
      </c>
      <c r="BP122" s="18">
        <v>4486.83</v>
      </c>
      <c r="BQ122" s="18">
        <v>4427.8069999999998</v>
      </c>
      <c r="BR122" s="18">
        <v>4384.0410000000002</v>
      </c>
      <c r="BS122" s="18">
        <v>4349.701</v>
      </c>
      <c r="BT122" s="18">
        <v>4306.9449999999997</v>
      </c>
      <c r="BU122" s="18">
        <v>4254.6949999999997</v>
      </c>
      <c r="BV122" s="18">
        <v>4213.6350000000002</v>
      </c>
      <c r="BW122" s="18">
        <v>4190.7719999999999</v>
      </c>
      <c r="BX122" s="18">
        <v>4174.9849999999997</v>
      </c>
      <c r="BY122" s="18">
        <v>4150.2929999999997</v>
      </c>
      <c r="BZ122" s="18">
        <v>4122.4740000000002</v>
      </c>
      <c r="CA122" s="18">
        <v>4061.1840000000002</v>
      </c>
      <c r="CB122" s="18">
        <v>3950.5160000000001</v>
      </c>
      <c r="CC122" s="18">
        <v>3804.6590000000001</v>
      </c>
      <c r="CD122" s="18">
        <v>3654.8939999999998</v>
      </c>
      <c r="CE122" s="18">
        <v>3496.384</v>
      </c>
      <c r="CF122" s="18">
        <v>3330.0929999999998</v>
      </c>
      <c r="CG122" s="18">
        <v>3160.1030000000001</v>
      </c>
      <c r="CH122" s="18">
        <v>2985.6660000000002</v>
      </c>
      <c r="CI122" s="18">
        <v>2803.6179999999999</v>
      </c>
      <c r="CJ122" s="18">
        <v>2616.596</v>
      </c>
      <c r="CK122" s="18">
        <v>2424.3139999999999</v>
      </c>
      <c r="CL122" s="18">
        <v>2226.9839999999999</v>
      </c>
      <c r="CM122" s="18">
        <v>2027.2460000000001</v>
      </c>
      <c r="CN122" s="18">
        <v>1815.2940000000001</v>
      </c>
      <c r="CO122" s="18">
        <v>1650.6079999999999</v>
      </c>
      <c r="CP122" s="18">
        <v>1489.307</v>
      </c>
      <c r="CQ122" s="18">
        <v>1276.3969999999999</v>
      </c>
      <c r="CR122" s="18">
        <v>1011.881</v>
      </c>
      <c r="CS122" s="18">
        <v>836.57799999999997</v>
      </c>
      <c r="CT122" s="18">
        <v>754.57500000000005</v>
      </c>
      <c r="CU122" s="18">
        <v>646.80700000000002</v>
      </c>
      <c r="CV122" s="18">
        <v>513.27700000000004</v>
      </c>
      <c r="CW122" s="18">
        <v>353.98099999999999</v>
      </c>
      <c r="CX122" s="18">
        <v>846.54600000000005</v>
      </c>
      <c r="CY122" s="3">
        <f t="shared" si="172"/>
        <v>404174.40400000004</v>
      </c>
      <c r="CZ122" s="21">
        <f t="shared" si="88"/>
        <v>326063.36899999995</v>
      </c>
      <c r="DA122">
        <f t="shared" si="89"/>
        <v>1.3461570410259733E-2</v>
      </c>
      <c r="DB122">
        <f t="shared" si="90"/>
        <v>1.3563811272525988E-2</v>
      </c>
      <c r="DC122">
        <f t="shared" si="91"/>
        <v>1.3669634260572218E-2</v>
      </c>
      <c r="DD122">
        <f t="shared" si="92"/>
        <v>1.3780664825308852E-2</v>
      </c>
      <c r="DE122">
        <f t="shared" si="93"/>
        <v>1.3894228639954957E-2</v>
      </c>
      <c r="DF122">
        <f t="shared" si="94"/>
        <v>1.4006669973406306E-2</v>
      </c>
      <c r="DG122">
        <f t="shared" si="95"/>
        <v>1.4117906019673131E-2</v>
      </c>
      <c r="DH122">
        <f t="shared" si="96"/>
        <v>1.4230997533488655E-2</v>
      </c>
      <c r="DI122">
        <f t="shared" si="97"/>
        <v>1.4344711625671759E-2</v>
      </c>
      <c r="DJ122">
        <f t="shared" si="98"/>
        <v>1.4451844175111864E-2</v>
      </c>
      <c r="DK122">
        <f t="shared" si="99"/>
        <v>1.4548886661353245E-2</v>
      </c>
      <c r="DL122">
        <f t="shared" si="100"/>
        <v>1.4637311190880815E-2</v>
      </c>
      <c r="DM122">
        <f t="shared" si="101"/>
        <v>1.472212599263182E-2</v>
      </c>
      <c r="DN122">
        <f t="shared" si="102"/>
        <v>1.480234966228298E-2</v>
      </c>
      <c r="DO122">
        <f t="shared" si="103"/>
        <v>1.4873777495686738E-2</v>
      </c>
      <c r="DP122">
        <f t="shared" si="104"/>
        <v>1.4934820844594784E-2</v>
      </c>
      <c r="DQ122">
        <f t="shared" si="105"/>
        <v>1.4986574588205279E-2</v>
      </c>
      <c r="DR122">
        <f t="shared" si="106"/>
        <v>1.5030612040323979E-2</v>
      </c>
      <c r="DS122">
        <f t="shared" si="107"/>
        <v>1.5065280148043862E-2</v>
      </c>
      <c r="DT122">
        <f t="shared" si="108"/>
        <v>1.5095746618504702E-2</v>
      </c>
      <c r="DU122">
        <f t="shared" si="109"/>
        <v>1.5124305484312164E-2</v>
      </c>
      <c r="DV122">
        <f t="shared" si="110"/>
        <v>1.5147564766773911E-2</v>
      </c>
      <c r="DW122">
        <f t="shared" si="111"/>
        <v>1.51607247853714E-2</v>
      </c>
      <c r="DX122">
        <f t="shared" si="112"/>
        <v>1.5165794352078847E-2</v>
      </c>
      <c r="DY122">
        <f t="shared" si="113"/>
        <v>1.5152818346791974E-2</v>
      </c>
      <c r="DZ122">
        <f t="shared" si="114"/>
        <v>1.5116690400141209E-2</v>
      </c>
      <c r="EA122">
        <f t="shared" si="115"/>
        <v>1.5062280731080837E-2</v>
      </c>
      <c r="EB122">
        <f t="shared" si="116"/>
        <v>1.5004638561530659E-2</v>
      </c>
      <c r="EC122">
        <f t="shared" si="117"/>
        <v>1.4946846114443479E-2</v>
      </c>
      <c r="ED122">
        <f t="shared" si="118"/>
        <v>1.4866818725656976E-2</v>
      </c>
      <c r="EE122">
        <f t="shared" si="119"/>
        <v>1.4757054785875075E-2</v>
      </c>
      <c r="EF122">
        <f t="shared" si="120"/>
        <v>1.463100873499225E-2</v>
      </c>
      <c r="EG122">
        <f t="shared" si="121"/>
        <v>1.4508130779940511E-2</v>
      </c>
      <c r="EH122">
        <f t="shared" si="122"/>
        <v>1.4382719574979306E-2</v>
      </c>
      <c r="EI122">
        <f t="shared" si="123"/>
        <v>1.4288572231491605E-2</v>
      </c>
      <c r="EJ122">
        <f t="shared" si="124"/>
        <v>1.4243930602336384E-2</v>
      </c>
      <c r="EK122">
        <f t="shared" si="125"/>
        <v>1.4234113492215069E-2</v>
      </c>
      <c r="EL122">
        <f t="shared" si="126"/>
        <v>1.4217362147172077E-2</v>
      </c>
      <c r="EM122">
        <f t="shared" si="127"/>
        <v>1.4191419337263858E-2</v>
      </c>
      <c r="EN122">
        <f t="shared" si="128"/>
        <v>1.4197994746229837E-2</v>
      </c>
      <c r="EO122">
        <f t="shared" si="129"/>
        <v>1.4250229991336441E-2</v>
      </c>
      <c r="EP122">
        <f t="shared" si="130"/>
        <v>1.4324632706595144E-2</v>
      </c>
      <c r="EQ122">
        <f t="shared" si="131"/>
        <v>1.4392383340675108E-2</v>
      </c>
      <c r="ER122">
        <f t="shared" si="132"/>
        <v>1.4468638456594003E-2</v>
      </c>
      <c r="ES122">
        <f t="shared" si="133"/>
        <v>1.4468574051935286E-2</v>
      </c>
      <c r="ET122">
        <f t="shared" si="134"/>
        <v>1.4350020409683004E-2</v>
      </c>
      <c r="EU122">
        <f t="shared" si="135"/>
        <v>1.4154125972979199E-2</v>
      </c>
      <c r="EV122">
        <f t="shared" si="136"/>
        <v>1.3963460581185373E-2</v>
      </c>
      <c r="EW122">
        <f t="shared" si="137"/>
        <v>1.3760607374451807E-2</v>
      </c>
      <c r="EX122">
        <f t="shared" si="138"/>
        <v>1.3579590413911231E-2</v>
      </c>
      <c r="EY122">
        <f t="shared" si="139"/>
        <v>1.3445364971371564E-2</v>
      </c>
      <c r="EZ122">
        <f t="shared" si="140"/>
        <v>1.3340048019929527E-2</v>
      </c>
      <c r="FA122">
        <f t="shared" si="141"/>
        <v>1.3208920134785212E-2</v>
      </c>
      <c r="FB122">
        <f t="shared" si="142"/>
        <v>1.3048675210124571E-2</v>
      </c>
      <c r="FC122">
        <f t="shared" si="143"/>
        <v>1.2922748767893646E-2</v>
      </c>
      <c r="FD122">
        <f t="shared" si="144"/>
        <v>1.2852630495883763E-2</v>
      </c>
      <c r="FE122">
        <f t="shared" si="145"/>
        <v>1.2804213526972422E-2</v>
      </c>
      <c r="FF122">
        <f t="shared" si="146"/>
        <v>1.2728485915877292E-2</v>
      </c>
      <c r="FG122">
        <f t="shared" si="147"/>
        <v>1.2643168144410607E-2</v>
      </c>
      <c r="FH122">
        <f t="shared" si="148"/>
        <v>1.2455198547617291E-2</v>
      </c>
      <c r="FI122">
        <f t="shared" si="149"/>
        <v>1.2115792129964775E-2</v>
      </c>
      <c r="FJ122">
        <f t="shared" si="150"/>
        <v>1.1668464972525021E-2</v>
      </c>
      <c r="FK122">
        <f t="shared" si="151"/>
        <v>1.1209152414787201E-2</v>
      </c>
      <c r="FL122">
        <f t="shared" si="152"/>
        <v>1.0723019917027234E-2</v>
      </c>
      <c r="FM122">
        <f t="shared" si="153"/>
        <v>1.0213023959768999E-2</v>
      </c>
      <c r="FN122">
        <f t="shared" si="154"/>
        <v>9.691683581911345E-3</v>
      </c>
      <c r="FO122">
        <f t="shared" si="155"/>
        <v>9.1567047508486019E-3</v>
      </c>
      <c r="FP122">
        <f t="shared" si="156"/>
        <v>8.5983838313343323E-3</v>
      </c>
      <c r="FQ122">
        <f t="shared" si="157"/>
        <v>8.0248082083700743E-3</v>
      </c>
      <c r="FR122">
        <f t="shared" si="158"/>
        <v>7.4351007518418917E-3</v>
      </c>
      <c r="FS122">
        <f t="shared" si="159"/>
        <v>6.8299116421139602E-3</v>
      </c>
      <c r="FT122">
        <f t="shared" si="160"/>
        <v>6.217337464853344E-3</v>
      </c>
      <c r="FU122">
        <f t="shared" si="161"/>
        <v>5.5673043113285145E-3</v>
      </c>
      <c r="FV122">
        <f t="shared" si="162"/>
        <v>5.0622307101292332E-3</v>
      </c>
      <c r="FW122">
        <f t="shared" si="163"/>
        <v>4.5675385265371536E-3</v>
      </c>
      <c r="FX122">
        <f t="shared" si="164"/>
        <v>3.9145672938195033E-3</v>
      </c>
      <c r="FY122">
        <f t="shared" si="165"/>
        <v>3.1033262126418134E-3</v>
      </c>
      <c r="FZ122">
        <f t="shared" si="166"/>
        <v>2.5656914561291923E-3</v>
      </c>
      <c r="GA122">
        <f t="shared" si="167"/>
        <v>2.3141973976230374E-3</v>
      </c>
      <c r="GB122">
        <f t="shared" si="168"/>
        <v>1.983684956650252E-3</v>
      </c>
      <c r="GC122">
        <f t="shared" si="169"/>
        <v>1.5741633338763673E-3</v>
      </c>
      <c r="GD122">
        <f t="shared" si="170"/>
        <v>1.0856202617473417E-3</v>
      </c>
      <c r="GE122">
        <f t="shared" si="171"/>
        <v>2.5962622007993795E-3</v>
      </c>
    </row>
    <row r="123" spans="1:187">
      <c r="A123" s="15">
        <v>2071</v>
      </c>
      <c r="B123" s="18">
        <v>4315.0889999999999</v>
      </c>
      <c r="C123" s="18">
        <v>4326.2489999999998</v>
      </c>
      <c r="D123" s="18">
        <v>4342.9449999999997</v>
      </c>
      <c r="E123" s="18">
        <v>4354.1400000000003</v>
      </c>
      <c r="F123" s="18">
        <v>4360.6610000000001</v>
      </c>
      <c r="G123" s="18">
        <v>4363.3379999999997</v>
      </c>
      <c r="H123" s="18">
        <v>4362.8540000000003</v>
      </c>
      <c r="I123" s="18">
        <v>4359.893</v>
      </c>
      <c r="J123" s="18">
        <v>4356.009</v>
      </c>
      <c r="K123" s="18">
        <v>4352.3190000000004</v>
      </c>
      <c r="L123" s="18">
        <v>4349.2179999999998</v>
      </c>
      <c r="M123" s="18">
        <v>4346.1180000000004</v>
      </c>
      <c r="N123" s="18">
        <v>4343.2979999999998</v>
      </c>
      <c r="O123" s="18">
        <v>4344.33</v>
      </c>
      <c r="P123" s="18">
        <v>4350.9920000000002</v>
      </c>
      <c r="Q123" s="18">
        <v>4362.3239999999996</v>
      </c>
      <c r="R123" s="18">
        <v>4374.973</v>
      </c>
      <c r="S123" s="18">
        <v>4388.8720000000003</v>
      </c>
      <c r="T123" s="18">
        <v>4408.4549999999999</v>
      </c>
      <c r="U123" s="18">
        <v>4435.357</v>
      </c>
      <c r="V123" s="18">
        <v>4467.4650000000001</v>
      </c>
      <c r="W123" s="18">
        <v>4500.6090000000004</v>
      </c>
      <c r="X123" s="18">
        <v>4535.1210000000001</v>
      </c>
      <c r="Y123" s="18">
        <v>4570.1660000000002</v>
      </c>
      <c r="Z123" s="18">
        <v>4604.7430000000004</v>
      </c>
      <c r="AA123" s="18">
        <v>4638.8209999999999</v>
      </c>
      <c r="AB123" s="18">
        <v>4673.2060000000001</v>
      </c>
      <c r="AC123" s="18">
        <v>4707.5450000000001</v>
      </c>
      <c r="AD123" s="18">
        <v>4739.9279999999999</v>
      </c>
      <c r="AE123" s="18">
        <v>4769.4189999999999</v>
      </c>
      <c r="AF123" s="18">
        <v>4796.375</v>
      </c>
      <c r="AG123" s="18">
        <v>4822.0839999999998</v>
      </c>
      <c r="AH123" s="18">
        <v>4846.2860000000001</v>
      </c>
      <c r="AI123" s="18">
        <v>4867.7740000000003</v>
      </c>
      <c r="AJ123" s="18">
        <v>4886.0720000000001</v>
      </c>
      <c r="AK123" s="18">
        <v>4901.49</v>
      </c>
      <c r="AL123" s="18">
        <v>4914.4409999999998</v>
      </c>
      <c r="AM123" s="18">
        <v>4924.393</v>
      </c>
      <c r="AN123" s="18">
        <v>4933.04</v>
      </c>
      <c r="AO123" s="18">
        <v>4941.1229999999996</v>
      </c>
      <c r="AP123" s="18">
        <v>4947.5219999999999</v>
      </c>
      <c r="AQ123" s="18">
        <v>4950.6639999999998</v>
      </c>
      <c r="AR123" s="18">
        <v>4951.2020000000002</v>
      </c>
      <c r="AS123" s="18">
        <v>4945.8490000000002</v>
      </c>
      <c r="AT123" s="18">
        <v>4932.9189999999999</v>
      </c>
      <c r="AU123" s="18">
        <v>4914.0060000000003</v>
      </c>
      <c r="AV123" s="18">
        <v>4894.0429999999997</v>
      </c>
      <c r="AW123" s="18">
        <v>4874.0309999999999</v>
      </c>
      <c r="AX123" s="18">
        <v>4846.732</v>
      </c>
      <c r="AY123" s="18">
        <v>4809.6869999999999</v>
      </c>
      <c r="AZ123" s="18">
        <v>4767.2929999999997</v>
      </c>
      <c r="BA123" s="18">
        <v>4725.91</v>
      </c>
      <c r="BB123" s="18">
        <v>4683.6679999999997</v>
      </c>
      <c r="BC123" s="18">
        <v>4651.6040000000003</v>
      </c>
      <c r="BD123" s="18">
        <v>4635.6729999999998</v>
      </c>
      <c r="BE123" s="18">
        <v>4631.0749999999998</v>
      </c>
      <c r="BF123" s="18">
        <v>4624.1710000000003</v>
      </c>
      <c r="BG123" s="18">
        <v>4614.2240000000002</v>
      </c>
      <c r="BH123" s="18">
        <v>4614.83</v>
      </c>
      <c r="BI123" s="18">
        <v>4630.2669999999998</v>
      </c>
      <c r="BJ123" s="18">
        <v>4652.8739999999998</v>
      </c>
      <c r="BK123" s="18">
        <v>4673.2120000000004</v>
      </c>
      <c r="BL123" s="18">
        <v>4696.1729999999998</v>
      </c>
      <c r="BM123" s="18">
        <v>4694.3119999999999</v>
      </c>
      <c r="BN123" s="18">
        <v>4653.9610000000002</v>
      </c>
      <c r="BO123" s="18">
        <v>4588.4049999999997</v>
      </c>
      <c r="BP123" s="18">
        <v>4524.2910000000002</v>
      </c>
      <c r="BQ123" s="18">
        <v>4455.9269999999997</v>
      </c>
      <c r="BR123" s="18">
        <v>4394.4539999999997</v>
      </c>
      <c r="BS123" s="18">
        <v>4347.9849999999997</v>
      </c>
      <c r="BT123" s="18">
        <v>4310.6099999999997</v>
      </c>
      <c r="BU123" s="18">
        <v>4264.5010000000002</v>
      </c>
      <c r="BV123" s="18">
        <v>4208.66</v>
      </c>
      <c r="BW123" s="18">
        <v>4163.0910000000003</v>
      </c>
      <c r="BX123" s="18">
        <v>4134.4889999999996</v>
      </c>
      <c r="BY123" s="18">
        <v>4112.0559999999996</v>
      </c>
      <c r="BZ123" s="18">
        <v>4080.5509999999999</v>
      </c>
      <c r="CA123" s="18">
        <v>4045.7339999999999</v>
      </c>
      <c r="CB123" s="18">
        <v>3977.0030000000002</v>
      </c>
      <c r="CC123" s="18">
        <v>3858.4389999999999</v>
      </c>
      <c r="CD123" s="18">
        <v>3704.42</v>
      </c>
      <c r="CE123" s="18">
        <v>3546.6469999999999</v>
      </c>
      <c r="CF123" s="18">
        <v>3380.4659999999999</v>
      </c>
      <c r="CG123" s="18">
        <v>3206.3429999999998</v>
      </c>
      <c r="CH123" s="18">
        <v>3028.2460000000001</v>
      </c>
      <c r="CI123" s="18">
        <v>2845.8690000000001</v>
      </c>
      <c r="CJ123" s="18">
        <v>2653.5079999999998</v>
      </c>
      <c r="CK123" s="18">
        <v>2467.9549999999999</v>
      </c>
      <c r="CL123" s="18">
        <v>2277.88</v>
      </c>
      <c r="CM123" s="18">
        <v>2070.683</v>
      </c>
      <c r="CN123" s="18">
        <v>1848.481</v>
      </c>
      <c r="CO123" s="18">
        <v>1637.1859999999999</v>
      </c>
      <c r="CP123" s="18">
        <v>1486.567</v>
      </c>
      <c r="CQ123" s="18">
        <v>1333.268</v>
      </c>
      <c r="CR123" s="18">
        <v>1133.268</v>
      </c>
      <c r="CS123" s="18">
        <v>886.56899999999996</v>
      </c>
      <c r="CT123" s="18">
        <v>765.755</v>
      </c>
      <c r="CU123" s="18">
        <v>655.81399999999996</v>
      </c>
      <c r="CV123" s="18">
        <v>520.08900000000006</v>
      </c>
      <c r="CW123" s="18">
        <v>358.584</v>
      </c>
      <c r="CX123" s="18">
        <v>857.34100000000001</v>
      </c>
      <c r="CY123" s="3">
        <f t="shared" si="172"/>
        <v>405384.57199999999</v>
      </c>
      <c r="CZ123" s="21">
        <f t="shared" si="88"/>
        <v>327030.94999999995</v>
      </c>
      <c r="DA123">
        <f t="shared" si="89"/>
        <v>1.3480237879625767E-2</v>
      </c>
      <c r="DB123">
        <f t="shared" si="90"/>
        <v>1.3562499206879351E-2</v>
      </c>
      <c r="DC123">
        <f t="shared" si="91"/>
        <v>1.3660679516724642E-2</v>
      </c>
      <c r="DD123">
        <f t="shared" si="92"/>
        <v>1.3762027722452573E-2</v>
      </c>
      <c r="DE123">
        <f t="shared" si="93"/>
        <v>1.386755901849657E-2</v>
      </c>
      <c r="DF123">
        <f t="shared" si="94"/>
        <v>1.3974720129700266E-2</v>
      </c>
      <c r="DG123">
        <f t="shared" si="95"/>
        <v>1.4080450183690568E-2</v>
      </c>
      <c r="DH123">
        <f t="shared" si="96"/>
        <v>1.4184654388216164E-2</v>
      </c>
      <c r="DI123">
        <f t="shared" si="97"/>
        <v>1.4289797341811229E-2</v>
      </c>
      <c r="DJ123">
        <f t="shared" si="98"/>
        <v>1.4394799635936602E-2</v>
      </c>
      <c r="DK123">
        <f t="shared" si="99"/>
        <v>1.4493820844785487E-2</v>
      </c>
      <c r="DL123">
        <f t="shared" si="100"/>
        <v>1.4583998853931105E-2</v>
      </c>
      <c r="DM123">
        <f t="shared" si="101"/>
        <v>1.4666425303170848E-2</v>
      </c>
      <c r="DN123">
        <f t="shared" si="102"/>
        <v>1.4745038657656103E-2</v>
      </c>
      <c r="DO123">
        <f t="shared" si="103"/>
        <v>1.4819043885601655E-2</v>
      </c>
      <c r="DP123">
        <f t="shared" si="104"/>
        <v>1.4884750204835356E-2</v>
      </c>
      <c r="DQ123">
        <f t="shared" si="105"/>
        <v>1.4940702095627343E-2</v>
      </c>
      <c r="DR123">
        <f t="shared" si="106"/>
        <v>1.4987847480490762E-2</v>
      </c>
      <c r="DS123">
        <f t="shared" si="107"/>
        <v>1.5027449236838289E-2</v>
      </c>
      <c r="DT123">
        <f t="shared" si="108"/>
        <v>1.5057880607324783E-2</v>
      </c>
      <c r="DU123">
        <f t="shared" si="109"/>
        <v>1.5084321529812395E-2</v>
      </c>
      <c r="DV123">
        <f t="shared" si="110"/>
        <v>1.5109037844888994E-2</v>
      </c>
      <c r="DW123">
        <f t="shared" si="111"/>
        <v>1.5128604800249031E-2</v>
      </c>
      <c r="DX123">
        <f t="shared" si="112"/>
        <v>1.5138212453591933E-2</v>
      </c>
      <c r="DY123">
        <f t="shared" si="113"/>
        <v>1.5139857557824423E-2</v>
      </c>
      <c r="DZ123">
        <f t="shared" si="114"/>
        <v>1.5123489076492609E-2</v>
      </c>
      <c r="EA123">
        <f t="shared" si="115"/>
        <v>1.5083951534250812E-2</v>
      </c>
      <c r="EB123">
        <f t="shared" si="116"/>
        <v>1.5026119087505329E-2</v>
      </c>
      <c r="EC123">
        <f t="shared" si="117"/>
        <v>1.4965075935473388E-2</v>
      </c>
      <c r="ED123">
        <f t="shared" si="118"/>
        <v>1.4903882950528078E-2</v>
      </c>
      <c r="EE123">
        <f t="shared" si="119"/>
        <v>1.4820407670894761E-2</v>
      </c>
      <c r="EF123">
        <f t="shared" si="120"/>
        <v>1.4707130930574004E-2</v>
      </c>
      <c r="EG123">
        <f t="shared" si="121"/>
        <v>1.4577497940179669E-2</v>
      </c>
      <c r="EH123">
        <f t="shared" si="122"/>
        <v>1.445095640030401E-2</v>
      </c>
      <c r="EI123">
        <f t="shared" si="123"/>
        <v>1.4321788197722571E-2</v>
      </c>
      <c r="EJ123">
        <f t="shared" si="124"/>
        <v>1.4223742431717857E-2</v>
      </c>
      <c r="EK123">
        <f t="shared" si="125"/>
        <v>1.4175028387985908E-2</v>
      </c>
      <c r="EL123">
        <f t="shared" si="126"/>
        <v>1.4160968556645786E-2</v>
      </c>
      <c r="EM123">
        <f t="shared" si="127"/>
        <v>1.4139857404933695E-2</v>
      </c>
      <c r="EN123">
        <f t="shared" si="128"/>
        <v>1.4109441323519994E-2</v>
      </c>
      <c r="EO123">
        <f t="shared" si="129"/>
        <v>1.4111294359142462E-2</v>
      </c>
      <c r="EP123">
        <f t="shared" si="130"/>
        <v>1.4158497842482494E-2</v>
      </c>
      <c r="EQ123">
        <f t="shared" si="131"/>
        <v>1.4227625856207189E-2</v>
      </c>
      <c r="ER123">
        <f t="shared" si="132"/>
        <v>1.428981568869858E-2</v>
      </c>
      <c r="ES123">
        <f t="shared" si="133"/>
        <v>1.4360026168776994E-2</v>
      </c>
      <c r="ET123">
        <f t="shared" si="134"/>
        <v>1.4354335575883569E-2</v>
      </c>
      <c r="EU123">
        <f t="shared" si="135"/>
        <v>1.4230949700632312E-2</v>
      </c>
      <c r="EV123">
        <f t="shared" si="136"/>
        <v>1.4030491609433298E-2</v>
      </c>
      <c r="EW123">
        <f t="shared" si="137"/>
        <v>1.3834442886827687E-2</v>
      </c>
      <c r="EX123">
        <f t="shared" si="138"/>
        <v>1.3625398452348319E-2</v>
      </c>
      <c r="EY123">
        <f t="shared" si="139"/>
        <v>1.3437425417991785E-2</v>
      </c>
      <c r="EZ123">
        <f t="shared" si="140"/>
        <v>1.3295331833271438E-2</v>
      </c>
      <c r="FA123">
        <f t="shared" si="141"/>
        <v>1.3181046014146368E-2</v>
      </c>
      <c r="FB123">
        <f t="shared" si="142"/>
        <v>1.3040053242667096E-2</v>
      </c>
      <c r="FC123">
        <f t="shared" si="143"/>
        <v>1.2869301819904203E-2</v>
      </c>
      <c r="FD123">
        <f t="shared" si="144"/>
        <v>1.2729960268286537E-2</v>
      </c>
      <c r="FE123">
        <f t="shared" si="145"/>
        <v>1.264250065628345E-2</v>
      </c>
      <c r="FF123">
        <f t="shared" si="146"/>
        <v>1.257390470229194E-2</v>
      </c>
      <c r="FG123">
        <f t="shared" si="147"/>
        <v>1.2477568254625444E-2</v>
      </c>
      <c r="FH123">
        <f t="shared" si="148"/>
        <v>1.2371104325141094E-2</v>
      </c>
      <c r="FI123">
        <f t="shared" si="149"/>
        <v>1.2160937672718747E-2</v>
      </c>
      <c r="FJ123">
        <f t="shared" si="150"/>
        <v>1.1798390947401156E-2</v>
      </c>
      <c r="FK123">
        <f t="shared" si="151"/>
        <v>1.1327429406910876E-2</v>
      </c>
      <c r="FL123">
        <f t="shared" si="152"/>
        <v>1.0844988830567873E-2</v>
      </c>
      <c r="FM123">
        <f t="shared" si="153"/>
        <v>1.0336838149416746E-2</v>
      </c>
      <c r="FN123">
        <f t="shared" si="154"/>
        <v>9.8044023050417716E-3</v>
      </c>
      <c r="FO123">
        <f t="shared" si="155"/>
        <v>9.2598147056111978E-3</v>
      </c>
      <c r="FP123">
        <f t="shared" si="156"/>
        <v>8.7021396598701145E-3</v>
      </c>
      <c r="FQ123">
        <f t="shared" si="157"/>
        <v>8.1139353935766635E-3</v>
      </c>
      <c r="FR123">
        <f t="shared" si="158"/>
        <v>7.5465487287976881E-3</v>
      </c>
      <c r="FS123">
        <f t="shared" si="159"/>
        <v>6.9653346265850383E-3</v>
      </c>
      <c r="FT123">
        <f t="shared" si="160"/>
        <v>6.3317646235012326E-3</v>
      </c>
      <c r="FU123">
        <f t="shared" si="161"/>
        <v>5.652312112966679E-3</v>
      </c>
      <c r="FV123">
        <f t="shared" si="162"/>
        <v>5.0062111858220149E-3</v>
      </c>
      <c r="FW123">
        <f t="shared" si="163"/>
        <v>4.5456462148307378E-3</v>
      </c>
      <c r="FX123">
        <f t="shared" si="164"/>
        <v>4.0768863008225987E-3</v>
      </c>
      <c r="FY123">
        <f t="shared" si="165"/>
        <v>3.4653233891165352E-3</v>
      </c>
      <c r="FZ123">
        <f t="shared" si="166"/>
        <v>2.7109635953416642E-3</v>
      </c>
      <c r="GA123">
        <f t="shared" si="167"/>
        <v>2.3415367872673828E-3</v>
      </c>
      <c r="GB123">
        <f t="shared" si="168"/>
        <v>2.005357596888001E-3</v>
      </c>
      <c r="GC123">
        <f t="shared" si="169"/>
        <v>1.5903357159314741E-3</v>
      </c>
      <c r="GD123">
        <f t="shared" si="170"/>
        <v>1.0964833756560352E-3</v>
      </c>
      <c r="GE123">
        <f t="shared" si="171"/>
        <v>2.6215897914249405E-3</v>
      </c>
    </row>
    <row r="124" spans="1:187">
      <c r="A124" s="15">
        <v>2072</v>
      </c>
      <c r="B124" s="18">
        <v>4315.99</v>
      </c>
      <c r="C124" s="18">
        <v>4337.0150000000003</v>
      </c>
      <c r="D124" s="18">
        <v>4339.0950000000003</v>
      </c>
      <c r="E124" s="18">
        <v>4351.9409999999998</v>
      </c>
      <c r="F124" s="18">
        <v>4360.2539999999999</v>
      </c>
      <c r="G124" s="18">
        <v>4364.8339999999998</v>
      </c>
      <c r="H124" s="18">
        <v>4366.4840000000004</v>
      </c>
      <c r="I124" s="18">
        <v>4365.7139999999999</v>
      </c>
      <c r="J124" s="18">
        <v>4363.0339999999997</v>
      </c>
      <c r="K124" s="18">
        <v>4360.6940000000004</v>
      </c>
      <c r="L124" s="18">
        <v>4360.0749999999998</v>
      </c>
      <c r="M124" s="18">
        <v>4361.107</v>
      </c>
      <c r="N124" s="18">
        <v>4362.32</v>
      </c>
      <c r="O124" s="18">
        <v>4363.9759999999997</v>
      </c>
      <c r="P124" s="18">
        <v>4369.5569999999998</v>
      </c>
      <c r="Q124" s="18">
        <v>4380.6469999999999</v>
      </c>
      <c r="R124" s="18">
        <v>4396.1480000000001</v>
      </c>
      <c r="S124" s="18">
        <v>4412.88</v>
      </c>
      <c r="T124" s="18">
        <v>4430.8779999999997</v>
      </c>
      <c r="U124" s="18">
        <v>4453.0330000000004</v>
      </c>
      <c r="V124" s="18">
        <v>4480.2709999999997</v>
      </c>
      <c r="W124" s="18">
        <v>4511.1390000000001</v>
      </c>
      <c r="X124" s="18">
        <v>4542.9139999999998</v>
      </c>
      <c r="Y124" s="18">
        <v>4575.723</v>
      </c>
      <c r="Z124" s="18">
        <v>4608.7730000000001</v>
      </c>
      <c r="AA124" s="18">
        <v>4641.2529999999997</v>
      </c>
      <c r="AB124" s="18">
        <v>4673.1270000000004</v>
      </c>
      <c r="AC124" s="18">
        <v>4705.0110000000004</v>
      </c>
      <c r="AD124" s="18">
        <v>4736.598</v>
      </c>
      <c r="AE124" s="18">
        <v>4766.4229999999998</v>
      </c>
      <c r="AF124" s="18">
        <v>4793.7529999999997</v>
      </c>
      <c r="AG124" s="18">
        <v>4818.8209999999999</v>
      </c>
      <c r="AH124" s="18">
        <v>4842.5780000000004</v>
      </c>
      <c r="AI124" s="18">
        <v>4864.8159999999998</v>
      </c>
      <c r="AJ124" s="18">
        <v>4884.4930000000004</v>
      </c>
      <c r="AK124" s="18">
        <v>4901.1779999999999</v>
      </c>
      <c r="AL124" s="18">
        <v>4915.134</v>
      </c>
      <c r="AM124" s="18">
        <v>4926.6710000000003</v>
      </c>
      <c r="AN124" s="18">
        <v>4935.2669999999998</v>
      </c>
      <c r="AO124" s="18">
        <v>4942.625</v>
      </c>
      <c r="AP124" s="18">
        <v>4949.4740000000002</v>
      </c>
      <c r="AQ124" s="18">
        <v>4954.6850000000004</v>
      </c>
      <c r="AR124" s="18">
        <v>4956.6779999999999</v>
      </c>
      <c r="AS124" s="18">
        <v>4956.0990000000002</v>
      </c>
      <c r="AT124" s="18">
        <v>4949.6239999999998</v>
      </c>
      <c r="AU124" s="18">
        <v>4935.5460000000003</v>
      </c>
      <c r="AV124" s="18">
        <v>4915.4639999999999</v>
      </c>
      <c r="AW124" s="18">
        <v>4894.3379999999997</v>
      </c>
      <c r="AX124" s="18">
        <v>4873.1610000000001</v>
      </c>
      <c r="AY124" s="18">
        <v>4844.665</v>
      </c>
      <c r="AZ124" s="18">
        <v>4806.375</v>
      </c>
      <c r="BA124" s="18">
        <v>4762.6940000000004</v>
      </c>
      <c r="BB124" s="18">
        <v>4720.0020000000004</v>
      </c>
      <c r="BC124" s="18">
        <v>4676.4210000000003</v>
      </c>
      <c r="BD124" s="18">
        <v>4642.9970000000003</v>
      </c>
      <c r="BE124" s="18">
        <v>4625.6940000000004</v>
      </c>
      <c r="BF124" s="18">
        <v>4619.6989999999996</v>
      </c>
      <c r="BG124" s="18">
        <v>4611.3519999999999</v>
      </c>
      <c r="BH124" s="18">
        <v>4599.9179999999997</v>
      </c>
      <c r="BI124" s="18">
        <v>4598.9840000000004</v>
      </c>
      <c r="BJ124" s="18">
        <v>4612.8220000000001</v>
      </c>
      <c r="BK124" s="18">
        <v>4633.7690000000002</v>
      </c>
      <c r="BL124" s="18">
        <v>4652.3459999999995</v>
      </c>
      <c r="BM124" s="18">
        <v>4673.3959999999997</v>
      </c>
      <c r="BN124" s="18">
        <v>4669.6930000000002</v>
      </c>
      <c r="BO124" s="18">
        <v>4627.6570000000002</v>
      </c>
      <c r="BP124" s="18">
        <v>4560.4340000000002</v>
      </c>
      <c r="BQ124" s="18">
        <v>4494.3900000000003</v>
      </c>
      <c r="BR124" s="18">
        <v>4423.8190000000004</v>
      </c>
      <c r="BS124" s="18">
        <v>4359.9089999999997</v>
      </c>
      <c r="BT124" s="18">
        <v>4310.7479999999996</v>
      </c>
      <c r="BU124" s="18">
        <v>4270.3450000000003</v>
      </c>
      <c r="BV124" s="18">
        <v>4220.8909999999996</v>
      </c>
      <c r="BW124" s="18">
        <v>4161.47</v>
      </c>
      <c r="BX124" s="18">
        <v>4111.3969999999999</v>
      </c>
      <c r="BY124" s="18">
        <v>4077.06</v>
      </c>
      <c r="BZ124" s="18">
        <v>4047.98</v>
      </c>
      <c r="CA124" s="18">
        <v>4009.6640000000002</v>
      </c>
      <c r="CB124" s="18">
        <v>3967.85</v>
      </c>
      <c r="CC124" s="18">
        <v>3891.6880000000001</v>
      </c>
      <c r="CD124" s="18">
        <v>3765.2510000000002</v>
      </c>
      <c r="CE124" s="18">
        <v>3603.1010000000001</v>
      </c>
      <c r="CF124" s="18">
        <v>3437.3530000000001</v>
      </c>
      <c r="CG124" s="18">
        <v>3263.5369999999998</v>
      </c>
      <c r="CH124" s="18">
        <v>3081.6210000000001</v>
      </c>
      <c r="CI124" s="18">
        <v>2895.453</v>
      </c>
      <c r="CJ124" s="18">
        <v>2705.1770000000001</v>
      </c>
      <c r="CK124" s="18">
        <v>2502.5419999999999</v>
      </c>
      <c r="CL124" s="18">
        <v>2318.5079999999998</v>
      </c>
      <c r="CM124" s="18">
        <v>2130.692</v>
      </c>
      <c r="CN124" s="18">
        <v>1913.674</v>
      </c>
      <c r="CO124" s="18">
        <v>1669.0419999999999</v>
      </c>
      <c r="CP124" s="18">
        <v>1458.462</v>
      </c>
      <c r="CQ124" s="18">
        <v>1321.961</v>
      </c>
      <c r="CR124" s="18">
        <v>1176.713</v>
      </c>
      <c r="CS124" s="18">
        <v>989.68899999999996</v>
      </c>
      <c r="CT124" s="18">
        <v>760.89099999999996</v>
      </c>
      <c r="CU124" s="18">
        <v>665.69100000000003</v>
      </c>
      <c r="CV124" s="18">
        <v>527.529</v>
      </c>
      <c r="CW124" s="18">
        <v>363.572</v>
      </c>
      <c r="CX124" s="18">
        <v>868.93799999999999</v>
      </c>
      <c r="CY124" s="3">
        <f t="shared" si="172"/>
        <v>406572.83899999998</v>
      </c>
      <c r="CZ124" s="21">
        <f t="shared" si="88"/>
        <v>328041.07399999991</v>
      </c>
      <c r="DA124">
        <f t="shared" si="89"/>
        <v>1.3507082957544521E-2</v>
      </c>
      <c r="DB124">
        <f t="shared" si="90"/>
        <v>1.3574620231855484E-2</v>
      </c>
      <c r="DC124">
        <f t="shared" si="91"/>
        <v>1.3657652517013771E-2</v>
      </c>
      <c r="DD124">
        <f t="shared" si="92"/>
        <v>1.3751750489635336E-2</v>
      </c>
      <c r="DE124">
        <f t="shared" si="93"/>
        <v>1.384861335992334E-2</v>
      </c>
      <c r="DF124">
        <f t="shared" si="94"/>
        <v>1.3948628274519067E-2</v>
      </c>
      <c r="DG124">
        <f t="shared" si="95"/>
        <v>1.4049377853213594E-2</v>
      </c>
      <c r="DH124">
        <f t="shared" si="96"/>
        <v>1.4148389844620498E-2</v>
      </c>
      <c r="DI124">
        <f t="shared" si="97"/>
        <v>1.4245554506384777E-2</v>
      </c>
      <c r="DJ124">
        <f t="shared" si="98"/>
        <v>1.4342749652136555E-2</v>
      </c>
      <c r="DK124">
        <f t="shared" si="99"/>
        <v>1.4439039423459518E-2</v>
      </c>
      <c r="DL124">
        <f t="shared" si="100"/>
        <v>1.4529957916184609E-2</v>
      </c>
      <c r="DM124">
        <f t="shared" si="101"/>
        <v>1.461327065402792E-2</v>
      </c>
      <c r="DN124">
        <f t="shared" si="102"/>
        <v>1.468968791389825E-2</v>
      </c>
      <c r="DO124">
        <f t="shared" si="103"/>
        <v>1.4762108723007051E-2</v>
      </c>
      <c r="DP124">
        <f t="shared" si="104"/>
        <v>1.4829899014414278E-2</v>
      </c>
      <c r="DQ124">
        <f t="shared" si="105"/>
        <v>1.4889882356622213E-2</v>
      </c>
      <c r="DR124">
        <f t="shared" si="106"/>
        <v>1.4940744889769509E-2</v>
      </c>
      <c r="DS124">
        <f t="shared" si="107"/>
        <v>1.4983288342727476E-2</v>
      </c>
      <c r="DT124">
        <f t="shared" si="108"/>
        <v>1.501845771910868E-2</v>
      </c>
      <c r="DU124">
        <f t="shared" si="109"/>
        <v>1.5044661754765506E-2</v>
      </c>
      <c r="DV124">
        <f t="shared" si="110"/>
        <v>1.5067091872769571E-2</v>
      </c>
      <c r="DW124">
        <f t="shared" si="111"/>
        <v>1.5087970355809778E-2</v>
      </c>
      <c r="DX124">
        <f t="shared" si="112"/>
        <v>1.5103855561697136E-2</v>
      </c>
      <c r="DY124">
        <f t="shared" si="113"/>
        <v>1.5109931020406309E-2</v>
      </c>
      <c r="DZ124">
        <f t="shared" si="114"/>
        <v>1.5108165997529937E-2</v>
      </c>
      <c r="EA124">
        <f t="shared" si="115"/>
        <v>1.5088427615622308E-2</v>
      </c>
      <c r="EB124">
        <f t="shared" si="116"/>
        <v>1.5045512258016817E-2</v>
      </c>
      <c r="EC124">
        <f t="shared" si="117"/>
        <v>1.4984294314315047E-2</v>
      </c>
      <c r="ED124">
        <f t="shared" si="118"/>
        <v>1.4919893842318054E-2</v>
      </c>
      <c r="EE124">
        <f t="shared" si="119"/>
        <v>1.4855337901984803E-2</v>
      </c>
      <c r="EF124">
        <f t="shared" si="120"/>
        <v>1.4768470731198744E-2</v>
      </c>
      <c r="EG124">
        <f t="shared" si="121"/>
        <v>1.4651747543053104E-2</v>
      </c>
      <c r="EH124">
        <f t="shared" si="122"/>
        <v>1.4518590437245068E-2</v>
      </c>
      <c r="EI124">
        <f t="shared" si="123"/>
        <v>1.4388448197800992E-2</v>
      </c>
      <c r="EJ124">
        <f t="shared" si="124"/>
        <v>1.4255595931867976E-2</v>
      </c>
      <c r="EK124">
        <f t="shared" si="125"/>
        <v>1.4153706252040869E-2</v>
      </c>
      <c r="EL124">
        <f t="shared" si="126"/>
        <v>1.4100959808465941E-2</v>
      </c>
      <c r="EM124">
        <f t="shared" si="127"/>
        <v>1.4082684657958415E-2</v>
      </c>
      <c r="EN124">
        <f t="shared" si="128"/>
        <v>1.4057239673590391E-2</v>
      </c>
      <c r="EO124">
        <f t="shared" si="129"/>
        <v>1.4022384282280458E-2</v>
      </c>
      <c r="EP124">
        <f t="shared" si="130"/>
        <v>1.4019537077847763E-2</v>
      </c>
      <c r="EQ124">
        <f t="shared" si="131"/>
        <v>1.4061720819753204E-2</v>
      </c>
      <c r="ER124">
        <f t="shared" si="132"/>
        <v>1.4125575628373908E-2</v>
      </c>
      <c r="ES124">
        <f t="shared" si="133"/>
        <v>1.4182205731956605E-2</v>
      </c>
      <c r="ET124">
        <f t="shared" si="134"/>
        <v>1.4246374525648581E-2</v>
      </c>
      <c r="EU124">
        <f t="shared" si="135"/>
        <v>1.4235086305076545E-2</v>
      </c>
      <c r="EV124">
        <f t="shared" si="136"/>
        <v>1.4106943815212608E-2</v>
      </c>
      <c r="EW124">
        <f t="shared" si="137"/>
        <v>1.3902021306027067E-2</v>
      </c>
      <c r="EX124">
        <f t="shared" si="138"/>
        <v>1.3700692858968026E-2</v>
      </c>
      <c r="EY124">
        <f t="shared" si="139"/>
        <v>1.3485564310766772E-2</v>
      </c>
      <c r="EZ124">
        <f t="shared" si="140"/>
        <v>1.3290741146640682E-2</v>
      </c>
      <c r="FA124">
        <f t="shared" si="141"/>
        <v>1.3140878815681481E-2</v>
      </c>
      <c r="FB124">
        <f t="shared" si="142"/>
        <v>1.3017714360976642E-2</v>
      </c>
      <c r="FC124">
        <f t="shared" si="143"/>
        <v>1.2866958849183626E-2</v>
      </c>
      <c r="FD124">
        <f t="shared" si="144"/>
        <v>1.2685819947047245E-2</v>
      </c>
      <c r="FE124">
        <f t="shared" si="145"/>
        <v>1.2533177476427848E-2</v>
      </c>
      <c r="FF124">
        <f t="shared" si="146"/>
        <v>1.2428504608541798E-2</v>
      </c>
      <c r="FG124">
        <f t="shared" si="147"/>
        <v>1.2339857172885616E-2</v>
      </c>
      <c r="FH124">
        <f t="shared" si="148"/>
        <v>1.2223054726372471E-2</v>
      </c>
      <c r="FI124">
        <f t="shared" si="149"/>
        <v>1.209558898103108E-2</v>
      </c>
      <c r="FJ124">
        <f t="shared" si="150"/>
        <v>1.1863416835417388E-2</v>
      </c>
      <c r="FK124">
        <f t="shared" si="151"/>
        <v>1.1477986442636758E-2</v>
      </c>
      <c r="FL124">
        <f t="shared" si="152"/>
        <v>1.0983688585289784E-2</v>
      </c>
      <c r="FM124">
        <f t="shared" si="153"/>
        <v>1.0478422589239545E-2</v>
      </c>
      <c r="FN124">
        <f t="shared" si="154"/>
        <v>9.9485621120725901E-3</v>
      </c>
      <c r="FO124">
        <f t="shared" si="155"/>
        <v>9.3940096050289142E-3</v>
      </c>
      <c r="FP124">
        <f t="shared" si="156"/>
        <v>8.8264953064993348E-3</v>
      </c>
      <c r="FQ124">
        <f t="shared" si="157"/>
        <v>8.2464581859038807E-3</v>
      </c>
      <c r="FR124">
        <f t="shared" si="158"/>
        <v>7.6287459051545495E-3</v>
      </c>
      <c r="FS124">
        <f t="shared" si="159"/>
        <v>7.0677368895579228E-3</v>
      </c>
      <c r="FT124">
        <f t="shared" si="160"/>
        <v>6.4951988298879932E-3</v>
      </c>
      <c r="FU124">
        <f t="shared" si="161"/>
        <v>5.8336414299143546E-3</v>
      </c>
      <c r="FV124">
        <f t="shared" si="162"/>
        <v>5.0879055468523449E-3</v>
      </c>
      <c r="FW124">
        <f t="shared" si="163"/>
        <v>4.4459737380325749E-3</v>
      </c>
      <c r="FX124">
        <f t="shared" si="164"/>
        <v>4.029864260229804E-3</v>
      </c>
      <c r="FY124">
        <f t="shared" si="165"/>
        <v>3.5870904385589234E-3</v>
      </c>
      <c r="FZ124">
        <f t="shared" si="166"/>
        <v>3.0169667106991617E-3</v>
      </c>
      <c r="GA124">
        <f t="shared" si="167"/>
        <v>2.3194991734480181E-3</v>
      </c>
      <c r="GB124">
        <f t="shared" si="168"/>
        <v>2.0292916124277785E-3</v>
      </c>
      <c r="GC124">
        <f t="shared" si="169"/>
        <v>1.6081187443009047E-3</v>
      </c>
      <c r="GD124">
        <f t="shared" si="170"/>
        <v>1.1083124304122967E-3</v>
      </c>
      <c r="GE124">
        <f t="shared" si="171"/>
        <v>2.6488695132122395E-3</v>
      </c>
    </row>
    <row r="125" spans="1:187">
      <c r="A125" s="15">
        <v>2073</v>
      </c>
      <c r="B125" s="18">
        <v>4315.4319999999998</v>
      </c>
      <c r="C125" s="18">
        <v>4336.6329999999998</v>
      </c>
      <c r="D125" s="18">
        <v>4352.0690000000004</v>
      </c>
      <c r="E125" s="18">
        <v>4350.5439999999999</v>
      </c>
      <c r="F125" s="18">
        <v>4359.5339999999997</v>
      </c>
      <c r="G125" s="18">
        <v>4364.9610000000002</v>
      </c>
      <c r="H125" s="18">
        <v>4367.598</v>
      </c>
      <c r="I125" s="18">
        <v>4368.22</v>
      </c>
      <c r="J125" s="18">
        <v>4367.1620000000003</v>
      </c>
      <c r="K125" s="18">
        <v>4364.7640000000001</v>
      </c>
      <c r="L125" s="18">
        <v>4363.9709999999995</v>
      </c>
      <c r="M125" s="18">
        <v>4366.4229999999998</v>
      </c>
      <c r="N125" s="18">
        <v>4371.5929999999998</v>
      </c>
      <c r="O125" s="18">
        <v>4377.1189999999997</v>
      </c>
      <c r="P125" s="18">
        <v>4383.2510000000002</v>
      </c>
      <c r="Q125" s="18">
        <v>4393.3819999999996</v>
      </c>
      <c r="R125" s="18">
        <v>4408.8980000000001</v>
      </c>
      <c r="S125" s="18">
        <v>4428.5659999999998</v>
      </c>
      <c r="T125" s="18">
        <v>4449.3779999999997</v>
      </c>
      <c r="U125" s="18">
        <v>4471.4709999999995</v>
      </c>
      <c r="V125" s="18">
        <v>4496.192</v>
      </c>
      <c r="W125" s="18">
        <v>4523.7560000000003</v>
      </c>
      <c r="X125" s="18">
        <v>4553.375</v>
      </c>
      <c r="Y125" s="18">
        <v>4583.7669999999998</v>
      </c>
      <c r="Z125" s="18">
        <v>4614.8639999999996</v>
      </c>
      <c r="AA125" s="18">
        <v>4645.9059999999999</v>
      </c>
      <c r="AB125" s="18">
        <v>4676.2790000000005</v>
      </c>
      <c r="AC125" s="18">
        <v>4705.9369999999999</v>
      </c>
      <c r="AD125" s="18">
        <v>4735.308</v>
      </c>
      <c r="AE125" s="18">
        <v>4764.1329999999998</v>
      </c>
      <c r="AF125" s="18">
        <v>4791.3869999999997</v>
      </c>
      <c r="AG125" s="18">
        <v>4816.5460000000003</v>
      </c>
      <c r="AH125" s="18">
        <v>4839.7190000000001</v>
      </c>
      <c r="AI125" s="18">
        <v>4861.5129999999999</v>
      </c>
      <c r="AJ125" s="18">
        <v>4881.78</v>
      </c>
      <c r="AK125" s="18">
        <v>4899.6400000000003</v>
      </c>
      <c r="AL125" s="18">
        <v>4914.7049999999999</v>
      </c>
      <c r="AM125" s="18">
        <v>4927.1930000000002</v>
      </c>
      <c r="AN125" s="18">
        <v>4937.3140000000003</v>
      </c>
      <c r="AO125" s="18">
        <v>4944.55</v>
      </c>
      <c r="AP125" s="18">
        <v>4950.6149999999998</v>
      </c>
      <c r="AQ125" s="18">
        <v>4956.2280000000001</v>
      </c>
      <c r="AR125" s="18">
        <v>4960.25</v>
      </c>
      <c r="AS125" s="18">
        <v>4961.09</v>
      </c>
      <c r="AT125" s="18">
        <v>4959.3940000000002</v>
      </c>
      <c r="AU125" s="18">
        <v>4951.799</v>
      </c>
      <c r="AV125" s="18">
        <v>4936.5770000000002</v>
      </c>
      <c r="AW125" s="18">
        <v>4915.3320000000003</v>
      </c>
      <c r="AX125" s="18">
        <v>4893.049</v>
      </c>
      <c r="AY125" s="18">
        <v>4870.7129999999997</v>
      </c>
      <c r="AZ125" s="18">
        <v>4841.027</v>
      </c>
      <c r="BA125" s="18">
        <v>4801.5029999999997</v>
      </c>
      <c r="BB125" s="18">
        <v>4756.55</v>
      </c>
      <c r="BC125" s="18">
        <v>4712.5630000000001</v>
      </c>
      <c r="BD125" s="18">
        <v>4667.6559999999999</v>
      </c>
      <c r="BE125" s="18">
        <v>4632.884</v>
      </c>
      <c r="BF125" s="18">
        <v>4614.2129999999997</v>
      </c>
      <c r="BG125" s="18">
        <v>4606.8220000000001</v>
      </c>
      <c r="BH125" s="18">
        <v>4597.0349999999999</v>
      </c>
      <c r="BI125" s="18">
        <v>4584.116</v>
      </c>
      <c r="BJ125" s="18">
        <v>4581.6419999999998</v>
      </c>
      <c r="BK125" s="18">
        <v>4593.875</v>
      </c>
      <c r="BL125" s="18">
        <v>4613.1549999999997</v>
      </c>
      <c r="BM125" s="18">
        <v>4629.9639999999999</v>
      </c>
      <c r="BN125" s="18">
        <v>4649.0950000000003</v>
      </c>
      <c r="BO125" s="18">
        <v>4643.55</v>
      </c>
      <c r="BP125" s="18">
        <v>4599.8419999999996</v>
      </c>
      <c r="BQ125" s="18">
        <v>4530.973</v>
      </c>
      <c r="BR125" s="18">
        <v>4463.0190000000002</v>
      </c>
      <c r="BS125" s="18">
        <v>4390.2629999999999</v>
      </c>
      <c r="BT125" s="18">
        <v>4323.9369999999999</v>
      </c>
      <c r="BU125" s="18">
        <v>4272.0969999999998</v>
      </c>
      <c r="BV125" s="18">
        <v>4228.6769999999997</v>
      </c>
      <c r="BW125" s="18">
        <v>4175.893</v>
      </c>
      <c r="BX125" s="18">
        <v>4112.91</v>
      </c>
      <c r="BY125" s="18">
        <v>4058.3490000000002</v>
      </c>
      <c r="BZ125" s="18">
        <v>4018.2829999999999</v>
      </c>
      <c r="CA125" s="18">
        <v>3982.5630000000001</v>
      </c>
      <c r="CB125" s="18">
        <v>3937.4430000000002</v>
      </c>
      <c r="CC125" s="18">
        <v>3888.643</v>
      </c>
      <c r="CD125" s="18">
        <v>3805.0720000000001</v>
      </c>
      <c r="CE125" s="18">
        <v>3670.7979999999998</v>
      </c>
      <c r="CF125" s="18">
        <v>3500.567</v>
      </c>
      <c r="CG125" s="18">
        <v>3326.8960000000002</v>
      </c>
      <c r="CH125" s="18">
        <v>3145.4969999999998</v>
      </c>
      <c r="CI125" s="18">
        <v>2955.8429999999998</v>
      </c>
      <c r="CJ125" s="18">
        <v>2761.66</v>
      </c>
      <c r="CK125" s="18">
        <v>2563.5410000000002</v>
      </c>
      <c r="CL125" s="18">
        <v>2350.6930000000002</v>
      </c>
      <c r="CM125" s="18">
        <v>2168.239</v>
      </c>
      <c r="CN125" s="18">
        <v>1982.7439999999999</v>
      </c>
      <c r="CO125" s="18">
        <v>1755.97</v>
      </c>
      <c r="CP125" s="18">
        <v>1488.9770000000001</v>
      </c>
      <c r="CQ125" s="18">
        <v>1279.18</v>
      </c>
      <c r="CR125" s="18">
        <v>1156.8499999999999</v>
      </c>
      <c r="CS125" s="18">
        <v>1019.704</v>
      </c>
      <c r="CT125" s="18">
        <v>845.72299999999996</v>
      </c>
      <c r="CU125" s="18">
        <v>634.90599999999995</v>
      </c>
      <c r="CV125" s="18">
        <v>535.91499999999996</v>
      </c>
      <c r="CW125" s="18">
        <v>369.09699999999998</v>
      </c>
      <c r="CX125" s="18">
        <v>881.36199999999997</v>
      </c>
      <c r="CY125" s="3">
        <f t="shared" si="172"/>
        <v>407737.65599999978</v>
      </c>
      <c r="CZ125" s="21">
        <f t="shared" si="88"/>
        <v>329097.53599999996</v>
      </c>
      <c r="DA125">
        <f t="shared" si="89"/>
        <v>1.3519937141066897E-2</v>
      </c>
      <c r="DB125">
        <f t="shared" si="90"/>
        <v>1.3587069214641583E-2</v>
      </c>
      <c r="DC125">
        <f t="shared" si="91"/>
        <v>1.3662186762771754E-2</v>
      </c>
      <c r="DD125">
        <f t="shared" si="92"/>
        <v>1.3745943087218984E-2</v>
      </c>
      <c r="DE125">
        <f t="shared" si="93"/>
        <v>1.3835943761061767E-2</v>
      </c>
      <c r="DF125">
        <f t="shared" si="94"/>
        <v>1.392829328263339E-2</v>
      </c>
      <c r="DG125">
        <f t="shared" si="95"/>
        <v>1.4022785026260422E-2</v>
      </c>
      <c r="DH125">
        <f t="shared" si="96"/>
        <v>1.4117109646181005E-2</v>
      </c>
      <c r="DI125">
        <f t="shared" si="97"/>
        <v>1.4209401434108582E-2</v>
      </c>
      <c r="DJ125">
        <f t="shared" si="98"/>
        <v>1.4299520613852304E-2</v>
      </c>
      <c r="DK125">
        <f t="shared" si="99"/>
        <v>1.4388767711709639E-2</v>
      </c>
      <c r="DL125">
        <f t="shared" si="100"/>
        <v>1.4476355726953849E-2</v>
      </c>
      <c r="DM125">
        <f t="shared" si="101"/>
        <v>1.4559170081419267E-2</v>
      </c>
      <c r="DN125">
        <f t="shared" si="102"/>
        <v>1.4635618541975351E-2</v>
      </c>
      <c r="DO125">
        <f t="shared" si="103"/>
        <v>1.4706032317422154E-2</v>
      </c>
      <c r="DP125">
        <f t="shared" si="104"/>
        <v>1.4772255845756319E-2</v>
      </c>
      <c r="DQ125">
        <f t="shared" si="105"/>
        <v>1.4833839412276853E-2</v>
      </c>
      <c r="DR125">
        <f t="shared" si="106"/>
        <v>1.4888109037680551E-2</v>
      </c>
      <c r="DS125">
        <f t="shared" si="107"/>
        <v>1.4933885740183726E-2</v>
      </c>
      <c r="DT125">
        <f t="shared" si="108"/>
        <v>1.4971831937386491E-2</v>
      </c>
      <c r="DU125">
        <f t="shared" si="109"/>
        <v>1.5002585737986202E-2</v>
      </c>
      <c r="DV125">
        <f t="shared" si="110"/>
        <v>1.5024573140529381E-2</v>
      </c>
      <c r="DW125">
        <f t="shared" si="111"/>
        <v>1.5043002327431587E-2</v>
      </c>
      <c r="DX125">
        <f t="shared" si="112"/>
        <v>1.5060058061328057E-2</v>
      </c>
      <c r="DY125">
        <f t="shared" si="113"/>
        <v>1.5072279362188846E-2</v>
      </c>
      <c r="DZ125">
        <f t="shared" si="114"/>
        <v>1.507483179697827E-2</v>
      </c>
      <c r="EA125">
        <f t="shared" si="115"/>
        <v>1.5069678309593909E-2</v>
      </c>
      <c r="EB125">
        <f t="shared" si="116"/>
        <v>1.5046600045039537E-2</v>
      </c>
      <c r="EC125">
        <f t="shared" si="117"/>
        <v>1.5000346280319767E-2</v>
      </c>
      <c r="ED125">
        <f t="shared" si="118"/>
        <v>1.4935790950437261E-2</v>
      </c>
      <c r="EE125">
        <f t="shared" si="119"/>
        <v>1.486808154042211E-2</v>
      </c>
      <c r="EF125">
        <f t="shared" si="120"/>
        <v>1.4800211083926196E-2</v>
      </c>
      <c r="EG125">
        <f t="shared" si="121"/>
        <v>1.4710006823022828E-2</v>
      </c>
      <c r="EH125">
        <f t="shared" si="122"/>
        <v>1.4589908688954755E-2</v>
      </c>
      <c r="EI125">
        <f t="shared" si="123"/>
        <v>1.4453313925753612E-2</v>
      </c>
      <c r="EJ125">
        <f t="shared" si="124"/>
        <v>1.4319654462560305E-2</v>
      </c>
      <c r="EK125">
        <f t="shared" si="125"/>
        <v>1.418319947555001E-2</v>
      </c>
      <c r="EL125">
        <f t="shared" si="126"/>
        <v>1.4077540829719249E-2</v>
      </c>
      <c r="EM125">
        <f t="shared" si="127"/>
        <v>1.4020806889298619E-2</v>
      </c>
      <c r="EN125">
        <f t="shared" si="128"/>
        <v>1.3998348501764537E-2</v>
      </c>
      <c r="EO125">
        <f t="shared" si="129"/>
        <v>1.3968609597854906E-2</v>
      </c>
      <c r="EP125">
        <f t="shared" si="130"/>
        <v>1.3929353758516139E-2</v>
      </c>
      <c r="EQ125">
        <f t="shared" si="131"/>
        <v>1.3921836230338717E-2</v>
      </c>
      <c r="ER125">
        <f t="shared" si="132"/>
        <v>1.3959007581266123E-2</v>
      </c>
      <c r="ES125">
        <f t="shared" si="133"/>
        <v>1.4017592036909082E-2</v>
      </c>
      <c r="ET125">
        <f t="shared" si="134"/>
        <v>1.4068668080213157E-2</v>
      </c>
      <c r="EU125">
        <f t="shared" si="135"/>
        <v>1.4126799782542282E-2</v>
      </c>
      <c r="EV125">
        <f t="shared" si="136"/>
        <v>1.4109950674319241E-2</v>
      </c>
      <c r="EW125">
        <f t="shared" si="137"/>
        <v>1.3977138984109563E-2</v>
      </c>
      <c r="EX125">
        <f t="shared" si="138"/>
        <v>1.3767872756118115E-2</v>
      </c>
      <c r="EY125">
        <f t="shared" si="139"/>
        <v>1.3561386858879431E-2</v>
      </c>
      <c r="EZ125">
        <f t="shared" si="140"/>
        <v>1.3340309542761209E-2</v>
      </c>
      <c r="FA125">
        <f t="shared" si="141"/>
        <v>1.3138770507233456E-2</v>
      </c>
      <c r="FB125">
        <f t="shared" si="142"/>
        <v>1.2981248817371881E-2</v>
      </c>
      <c r="FC125">
        <f t="shared" si="143"/>
        <v>1.2849312247661435E-2</v>
      </c>
      <c r="FD125">
        <f t="shared" si="144"/>
        <v>1.2688922107274606E-2</v>
      </c>
      <c r="FE125">
        <f t="shared" si="145"/>
        <v>1.2497541154486189E-2</v>
      </c>
      <c r="FF125">
        <f t="shared" si="146"/>
        <v>1.2331751399074591E-2</v>
      </c>
      <c r="FG125">
        <f t="shared" si="147"/>
        <v>1.2210006336844772E-2</v>
      </c>
      <c r="FH125">
        <f t="shared" si="148"/>
        <v>1.2101467086037376E-2</v>
      </c>
      <c r="FI125">
        <f t="shared" si="149"/>
        <v>1.1964364874491193E-2</v>
      </c>
      <c r="FJ125">
        <f t="shared" si="150"/>
        <v>1.1816080567677056E-2</v>
      </c>
      <c r="FK125">
        <f t="shared" si="151"/>
        <v>1.1562140653645005E-2</v>
      </c>
      <c r="FL125">
        <f t="shared" si="152"/>
        <v>1.1154133952555635E-2</v>
      </c>
      <c r="FM125">
        <f t="shared" si="153"/>
        <v>1.0636867849414712E-2</v>
      </c>
      <c r="FN125">
        <f t="shared" si="154"/>
        <v>1.0109148918088529E-2</v>
      </c>
      <c r="FO125">
        <f t="shared" si="155"/>
        <v>9.5579475866996461E-3</v>
      </c>
      <c r="FP125">
        <f t="shared" si="156"/>
        <v>8.9816625062789906E-3</v>
      </c>
      <c r="FQ125">
        <f t="shared" si="157"/>
        <v>8.3916155482853579E-3</v>
      </c>
      <c r="FR125">
        <f t="shared" si="158"/>
        <v>7.7896086101355696E-3</v>
      </c>
      <c r="FS125">
        <f t="shared" si="159"/>
        <v>7.1428459433983743E-3</v>
      </c>
      <c r="FT125">
        <f t="shared" si="160"/>
        <v>6.5884388754584907E-3</v>
      </c>
      <c r="FU125">
        <f t="shared" si="161"/>
        <v>6.0247913858583252E-3</v>
      </c>
      <c r="FV125">
        <f t="shared" si="162"/>
        <v>5.3357129966478999E-3</v>
      </c>
      <c r="FW125">
        <f t="shared" si="163"/>
        <v>4.52442463744244E-3</v>
      </c>
      <c r="FX125">
        <f t="shared" si="164"/>
        <v>3.8869327784939729E-3</v>
      </c>
      <c r="FY125">
        <f t="shared" si="165"/>
        <v>3.5152192692199315E-3</v>
      </c>
      <c r="FZ125">
        <f t="shared" si="166"/>
        <v>3.0984856720410086E-3</v>
      </c>
      <c r="GA125">
        <f t="shared" si="167"/>
        <v>2.5698247707330148E-3</v>
      </c>
      <c r="GB125">
        <f t="shared" si="168"/>
        <v>1.9292335266831047E-3</v>
      </c>
      <c r="GC125">
        <f t="shared" si="169"/>
        <v>1.6284382025880621E-3</v>
      </c>
      <c r="GD125">
        <f t="shared" si="170"/>
        <v>1.1215428850855937E-3</v>
      </c>
      <c r="GE125">
        <f t="shared" si="171"/>
        <v>2.678117893900002E-3</v>
      </c>
    </row>
    <row r="126" spans="1:187">
      <c r="A126" s="15">
        <v>2074</v>
      </c>
      <c r="B126" s="18">
        <v>4314.0860000000002</v>
      </c>
      <c r="C126" s="18">
        <v>4335.0429999999997</v>
      </c>
      <c r="D126" s="18">
        <v>4350.473</v>
      </c>
      <c r="E126" s="18">
        <v>4361.1180000000004</v>
      </c>
      <c r="F126" s="18">
        <v>4360.2920000000004</v>
      </c>
      <c r="G126" s="18">
        <v>4365.4219999999996</v>
      </c>
      <c r="H126" s="18">
        <v>4367.9629999999997</v>
      </c>
      <c r="I126" s="18">
        <v>4368.6570000000002</v>
      </c>
      <c r="J126" s="18">
        <v>4368.25</v>
      </c>
      <c r="K126" s="18">
        <v>4366.9049999999997</v>
      </c>
      <c r="L126" s="18">
        <v>4364.79</v>
      </c>
      <c r="M126" s="18">
        <v>4365.5429999999997</v>
      </c>
      <c r="N126" s="18">
        <v>4371.067</v>
      </c>
      <c r="O126" s="18">
        <v>4380.3680000000004</v>
      </c>
      <c r="P126" s="18">
        <v>4390.2049999999999</v>
      </c>
      <c r="Q126" s="18">
        <v>4400.8109999999997</v>
      </c>
      <c r="R126" s="18">
        <v>4415.4870000000001</v>
      </c>
      <c r="S126" s="18">
        <v>4435.4219999999996</v>
      </c>
      <c r="T126" s="18">
        <v>4459.2460000000001</v>
      </c>
      <c r="U126" s="18">
        <v>4484.1289999999999</v>
      </c>
      <c r="V126" s="18">
        <v>4510.308</v>
      </c>
      <c r="W126" s="18">
        <v>4537.5839999999998</v>
      </c>
      <c r="X126" s="18">
        <v>4565.4650000000001</v>
      </c>
      <c r="Y126" s="18">
        <v>4593.8220000000001</v>
      </c>
      <c r="Z126" s="18">
        <v>4622.8220000000001</v>
      </c>
      <c r="AA126" s="18">
        <v>4652.192</v>
      </c>
      <c r="AB126" s="18">
        <v>4681.2160000000003</v>
      </c>
      <c r="AC126" s="18">
        <v>4709.4690000000001</v>
      </c>
      <c r="AD126" s="18">
        <v>4736.9009999999998</v>
      </c>
      <c r="AE126" s="18">
        <v>4763.7489999999998</v>
      </c>
      <c r="AF126" s="18">
        <v>4789.799</v>
      </c>
      <c r="AG126" s="18">
        <v>4814.4740000000002</v>
      </c>
      <c r="AH126" s="18">
        <v>4837.4539999999997</v>
      </c>
      <c r="AI126" s="18">
        <v>4858.7209999999995</v>
      </c>
      <c r="AJ126" s="18">
        <v>4878.5450000000001</v>
      </c>
      <c r="AK126" s="18">
        <v>4896.8320000000003</v>
      </c>
      <c r="AL126" s="18">
        <v>4912.8680000000004</v>
      </c>
      <c r="AM126" s="18">
        <v>4926.308</v>
      </c>
      <c r="AN126" s="18">
        <v>4937.3239999999996</v>
      </c>
      <c r="AO126" s="18">
        <v>4946.0240000000003</v>
      </c>
      <c r="AP126" s="18">
        <v>4951.8980000000001</v>
      </c>
      <c r="AQ126" s="18">
        <v>4956.6679999999997</v>
      </c>
      <c r="AR126" s="18">
        <v>4961.0429999999997</v>
      </c>
      <c r="AS126" s="18">
        <v>4963.8739999999998</v>
      </c>
      <c r="AT126" s="18">
        <v>4963.5630000000001</v>
      </c>
      <c r="AU126" s="18">
        <v>4960.7510000000002</v>
      </c>
      <c r="AV126" s="18">
        <v>4952.0389999999998</v>
      </c>
      <c r="AW126" s="18">
        <v>4935.6779999999999</v>
      </c>
      <c r="AX126" s="18">
        <v>4913.2790000000005</v>
      </c>
      <c r="AY126" s="18">
        <v>4889.8490000000002</v>
      </c>
      <c r="AZ126" s="18">
        <v>4866.3639999999996</v>
      </c>
      <c r="BA126" s="18">
        <v>4835.5010000000002</v>
      </c>
      <c r="BB126" s="18">
        <v>4794.7569999999996</v>
      </c>
      <c r="BC126" s="18">
        <v>4748.55</v>
      </c>
      <c r="BD126" s="18">
        <v>4703.2849999999999</v>
      </c>
      <c r="BE126" s="18">
        <v>4657.0690000000004</v>
      </c>
      <c r="BF126" s="18">
        <v>4620.9620000000004</v>
      </c>
      <c r="BG126" s="18">
        <v>4600.9309999999996</v>
      </c>
      <c r="BH126" s="18">
        <v>4592.1480000000001</v>
      </c>
      <c r="BI126" s="18">
        <v>4580.924</v>
      </c>
      <c r="BJ126" s="18">
        <v>4566.5280000000002</v>
      </c>
      <c r="BK126" s="18">
        <v>4562.5150000000003</v>
      </c>
      <c r="BL126" s="18">
        <v>4573.1379999999999</v>
      </c>
      <c r="BM126" s="18">
        <v>4590.7420000000002</v>
      </c>
      <c r="BN126" s="18">
        <v>4605.7780000000002</v>
      </c>
      <c r="BO126" s="18">
        <v>4622.9830000000002</v>
      </c>
      <c r="BP126" s="18">
        <v>4615.5990000000002</v>
      </c>
      <c r="BQ126" s="18">
        <v>4570.2349999999997</v>
      </c>
      <c r="BR126" s="18">
        <v>4499.7479999999996</v>
      </c>
      <c r="BS126" s="18">
        <v>4429.9110000000001</v>
      </c>
      <c r="BT126" s="18">
        <v>4354.9989999999998</v>
      </c>
      <c r="BU126" s="18">
        <v>4286.2820000000002</v>
      </c>
      <c r="BV126" s="18">
        <v>4231.7849999999999</v>
      </c>
      <c r="BW126" s="18">
        <v>4185.3670000000002</v>
      </c>
      <c r="BX126" s="18">
        <v>4129.2740000000003</v>
      </c>
      <c r="BY126" s="18">
        <v>4062.752</v>
      </c>
      <c r="BZ126" s="18">
        <v>4003.7260000000001</v>
      </c>
      <c r="CA126" s="18">
        <v>3957.9479999999999</v>
      </c>
      <c r="CB126" s="18">
        <v>3915.6030000000001</v>
      </c>
      <c r="CC126" s="18">
        <v>3863.7</v>
      </c>
      <c r="CD126" s="18">
        <v>3807.9340000000002</v>
      </c>
      <c r="CE126" s="18">
        <v>3716.9870000000001</v>
      </c>
      <c r="CF126" s="18">
        <v>3574.933</v>
      </c>
      <c r="CG126" s="18">
        <v>3396.6880000000001</v>
      </c>
      <c r="CH126" s="18">
        <v>3215.1619999999998</v>
      </c>
      <c r="CI126" s="18">
        <v>3026.2530000000002</v>
      </c>
      <c r="CJ126" s="18">
        <v>2828.9369999999999</v>
      </c>
      <c r="CK126" s="18">
        <v>2626.8180000000002</v>
      </c>
      <c r="CL126" s="18">
        <v>2420.9360000000001</v>
      </c>
      <c r="CM126" s="18">
        <v>2197.9609999999998</v>
      </c>
      <c r="CN126" s="18">
        <v>2017.1579999999999</v>
      </c>
      <c r="CO126" s="18">
        <v>1834.0550000000001</v>
      </c>
      <c r="CP126" s="18">
        <v>1597.617</v>
      </c>
      <c r="CQ126" s="18">
        <v>1308.373</v>
      </c>
      <c r="CR126" s="18">
        <v>1099.441</v>
      </c>
      <c r="CS126" s="18">
        <v>991.32500000000005</v>
      </c>
      <c r="CT126" s="18">
        <v>862.33299999999997</v>
      </c>
      <c r="CU126" s="18">
        <v>701.46</v>
      </c>
      <c r="CV126" s="18">
        <v>508.70400000000001</v>
      </c>
      <c r="CW126" s="18">
        <v>375.339</v>
      </c>
      <c r="CX126" s="18">
        <v>894.49300000000005</v>
      </c>
      <c r="CY126" s="3">
        <f t="shared" si="172"/>
        <v>408877.80700000009</v>
      </c>
      <c r="CZ126" s="21">
        <f t="shared" si="88"/>
        <v>330195.90500000014</v>
      </c>
      <c r="DA126">
        <f t="shared" si="89"/>
        <v>1.3504849492303662E-2</v>
      </c>
      <c r="DB126">
        <f t="shared" si="90"/>
        <v>1.3580207786041435E-2</v>
      </c>
      <c r="DC126">
        <f t="shared" si="91"/>
        <v>1.3659491022458312E-2</v>
      </c>
      <c r="DD126">
        <f t="shared" si="92"/>
        <v>1.3742096529028722E-2</v>
      </c>
      <c r="DE126">
        <f t="shared" si="93"/>
        <v>1.3826534281217081E-2</v>
      </c>
      <c r="DF126">
        <f t="shared" si="94"/>
        <v>1.3912413601858563E-2</v>
      </c>
      <c r="DG126">
        <f t="shared" si="95"/>
        <v>1.4000240251313831E-2</v>
      </c>
      <c r="DH126">
        <f t="shared" si="96"/>
        <v>1.4089187447675943E-2</v>
      </c>
      <c r="DI126">
        <f t="shared" si="97"/>
        <v>1.41770867812549E-2</v>
      </c>
      <c r="DJ126">
        <f t="shared" si="98"/>
        <v>1.4262651137360404E-2</v>
      </c>
      <c r="DK126">
        <f t="shared" si="99"/>
        <v>1.4345729090734781E-2</v>
      </c>
      <c r="DL126">
        <f t="shared" si="100"/>
        <v>1.4427038397099436E-2</v>
      </c>
      <c r="DM126">
        <f t="shared" si="101"/>
        <v>1.4505930956351496E-2</v>
      </c>
      <c r="DN126">
        <f t="shared" si="102"/>
        <v>1.4580659321017316E-2</v>
      </c>
      <c r="DO126">
        <f t="shared" si="103"/>
        <v>1.4650254369447731E-2</v>
      </c>
      <c r="DP126">
        <f t="shared" si="104"/>
        <v>1.4714661588549978E-2</v>
      </c>
      <c r="DQ126">
        <f t="shared" si="105"/>
        <v>1.4774698674715538E-2</v>
      </c>
      <c r="DR126">
        <f t="shared" si="106"/>
        <v>1.4830080948459971E-2</v>
      </c>
      <c r="DS126">
        <f t="shared" si="107"/>
        <v>1.4878646057103579E-2</v>
      </c>
      <c r="DT126">
        <f t="shared" si="108"/>
        <v>1.4919349166368365E-2</v>
      </c>
      <c r="DU126">
        <f t="shared" si="109"/>
        <v>1.4952711179140751E-2</v>
      </c>
      <c r="DV126">
        <f t="shared" si="110"/>
        <v>1.4979059173977334E-2</v>
      </c>
      <c r="DW126">
        <f t="shared" si="111"/>
        <v>1.4996848613249755E-2</v>
      </c>
      <c r="DX126">
        <f t="shared" si="112"/>
        <v>1.5011294582832568E-2</v>
      </c>
      <c r="DY126">
        <f t="shared" si="113"/>
        <v>1.50245442928797E-2</v>
      </c>
      <c r="DZ126">
        <f t="shared" si="114"/>
        <v>1.5033117990969626E-2</v>
      </c>
      <c r="EA126">
        <f t="shared" si="115"/>
        <v>1.5032176125866848E-2</v>
      </c>
      <c r="EB126">
        <f t="shared" si="116"/>
        <v>1.5023659969374841E-2</v>
      </c>
      <c r="EC126">
        <f t="shared" si="117"/>
        <v>1.4997275632476416E-2</v>
      </c>
      <c r="ED126">
        <f t="shared" si="118"/>
        <v>1.4947726259657877E-2</v>
      </c>
      <c r="EE126">
        <f t="shared" si="119"/>
        <v>1.4879890772721721E-2</v>
      </c>
      <c r="EF126">
        <f t="shared" si="120"/>
        <v>1.4808932896972172E-2</v>
      </c>
      <c r="EG126">
        <f t="shared" si="121"/>
        <v>1.4737808453439171E-2</v>
      </c>
      <c r="EH126">
        <f t="shared" si="122"/>
        <v>1.4644339698882692E-2</v>
      </c>
      <c r="EI126">
        <f t="shared" si="123"/>
        <v>1.4520946284903193E-2</v>
      </c>
      <c r="EJ126">
        <f t="shared" si="124"/>
        <v>1.4381008147269416E-2</v>
      </c>
      <c r="EK126">
        <f t="shared" si="125"/>
        <v>1.4243922861490356E-2</v>
      </c>
      <c r="EL126">
        <f t="shared" si="126"/>
        <v>1.4103957467310196E-2</v>
      </c>
      <c r="EM126">
        <f t="shared" si="127"/>
        <v>1.399460723172808E-2</v>
      </c>
      <c r="EN126">
        <f t="shared" si="128"/>
        <v>1.3933943244995717E-2</v>
      </c>
      <c r="EO126">
        <f t="shared" si="129"/>
        <v>1.3907343884231387E-2</v>
      </c>
      <c r="EP126">
        <f t="shared" si="130"/>
        <v>1.3873351942387044E-2</v>
      </c>
      <c r="EQ126">
        <f t="shared" si="131"/>
        <v>1.3829753582195389E-2</v>
      </c>
      <c r="ER126">
        <f t="shared" si="132"/>
        <v>1.3817600191013872E-2</v>
      </c>
      <c r="ES126">
        <f t="shared" si="133"/>
        <v>1.3849772001260882E-2</v>
      </c>
      <c r="ET126">
        <f t="shared" si="134"/>
        <v>1.3903085805985383E-2</v>
      </c>
      <c r="EU126">
        <f t="shared" si="135"/>
        <v>1.3948622409475364E-2</v>
      </c>
      <c r="EV126">
        <f t="shared" si="136"/>
        <v>1.4000727840643566E-2</v>
      </c>
      <c r="EW126">
        <f t="shared" si="137"/>
        <v>1.3978365358589163E-2</v>
      </c>
      <c r="EX126">
        <f t="shared" si="138"/>
        <v>1.3840980250799892E-2</v>
      </c>
      <c r="EY126">
        <f t="shared" si="139"/>
        <v>1.3627510008035981E-2</v>
      </c>
      <c r="EZ126">
        <f t="shared" si="140"/>
        <v>1.3416008293621927E-2</v>
      </c>
      <c r="FA126">
        <f t="shared" si="141"/>
        <v>1.3189136915553202E-2</v>
      </c>
      <c r="FB126">
        <f t="shared" si="142"/>
        <v>1.2981027126911215E-2</v>
      </c>
      <c r="FC126">
        <f t="shared" si="143"/>
        <v>1.2815982681553843E-2</v>
      </c>
      <c r="FD126">
        <f t="shared" si="144"/>
        <v>1.267540552933265E-2</v>
      </c>
      <c r="FE126">
        <f t="shared" si="145"/>
        <v>1.2505527589750086E-2</v>
      </c>
      <c r="FF126">
        <f t="shared" si="146"/>
        <v>1.2304065369920314E-2</v>
      </c>
      <c r="FG126">
        <f t="shared" si="147"/>
        <v>1.2125304824722155E-2</v>
      </c>
      <c r="FH126">
        <f t="shared" si="148"/>
        <v>1.1986665915799282E-2</v>
      </c>
      <c r="FI126">
        <f t="shared" si="149"/>
        <v>1.1858423865068824E-2</v>
      </c>
      <c r="FJ126">
        <f t="shared" si="150"/>
        <v>1.1701235362079969E-2</v>
      </c>
      <c r="FK126">
        <f t="shared" si="151"/>
        <v>1.1532347743682643E-2</v>
      </c>
      <c r="FL126">
        <f t="shared" si="152"/>
        <v>1.1256914285475463E-2</v>
      </c>
      <c r="FM126">
        <f t="shared" si="153"/>
        <v>1.0826703014381715E-2</v>
      </c>
      <c r="FN126">
        <f t="shared" si="154"/>
        <v>1.0286887113272948E-2</v>
      </c>
      <c r="FO126">
        <f t="shared" si="155"/>
        <v>9.7371346867551195E-3</v>
      </c>
      <c r="FP126">
        <f t="shared" si="156"/>
        <v>9.1650228066880446E-3</v>
      </c>
      <c r="FQ126">
        <f t="shared" si="157"/>
        <v>8.5674502837944002E-3</v>
      </c>
      <c r="FR126">
        <f t="shared" si="158"/>
        <v>7.9553318506478728E-3</v>
      </c>
      <c r="FS126">
        <f t="shared" si="159"/>
        <v>7.3318171526082342E-3</v>
      </c>
      <c r="FT126">
        <f t="shared" si="160"/>
        <v>6.6565362159775989E-3</v>
      </c>
      <c r="FU126">
        <f t="shared" si="161"/>
        <v>6.1089733986858467E-3</v>
      </c>
      <c r="FV126">
        <f t="shared" si="162"/>
        <v>5.5544450195407456E-3</v>
      </c>
      <c r="FW126">
        <f t="shared" si="163"/>
        <v>4.8383913180267916E-3</v>
      </c>
      <c r="FX126">
        <f t="shared" si="164"/>
        <v>3.9624143733702558E-3</v>
      </c>
      <c r="FY126">
        <f t="shared" si="165"/>
        <v>3.3296627346120467E-3</v>
      </c>
      <c r="FZ126">
        <f t="shared" si="166"/>
        <v>3.0022328714221927E-3</v>
      </c>
      <c r="GA126">
        <f t="shared" si="167"/>
        <v>2.6115799346451605E-3</v>
      </c>
      <c r="GB126">
        <f t="shared" si="168"/>
        <v>2.1243752250652524E-3</v>
      </c>
      <c r="GC126">
        <f t="shared" si="169"/>
        <v>1.5406126856721612E-3</v>
      </c>
      <c r="GD126">
        <f t="shared" si="170"/>
        <v>1.1367160958583051E-3</v>
      </c>
      <c r="GE126">
        <f t="shared" si="171"/>
        <v>2.7089766603858993E-3</v>
      </c>
    </row>
    <row r="127" spans="1:187">
      <c r="A127" s="15">
        <v>2075</v>
      </c>
      <c r="B127" s="18">
        <v>4312.3339999999998</v>
      </c>
      <c r="C127" s="18">
        <v>4332.4309999999996</v>
      </c>
      <c r="D127" s="18">
        <v>4347.3320000000003</v>
      </c>
      <c r="E127" s="18">
        <v>4357.7539999999999</v>
      </c>
      <c r="F127" s="18">
        <v>4364.41</v>
      </c>
      <c r="G127" s="18">
        <v>4368.018</v>
      </c>
      <c r="H127" s="18">
        <v>4369.2910000000002</v>
      </c>
      <c r="I127" s="18">
        <v>4368.9470000000001</v>
      </c>
      <c r="J127" s="18">
        <v>4367.6989999999996</v>
      </c>
      <c r="K127" s="18">
        <v>4366.2650000000003</v>
      </c>
      <c r="L127" s="18">
        <v>4364.6360000000004</v>
      </c>
      <c r="M127" s="18">
        <v>4362.8029999999999</v>
      </c>
      <c r="N127" s="18">
        <v>4365.1000000000004</v>
      </c>
      <c r="O127" s="18">
        <v>4373.6880000000001</v>
      </c>
      <c r="P127" s="18">
        <v>4387.1130000000003</v>
      </c>
      <c r="Q127" s="18">
        <v>4401.2510000000002</v>
      </c>
      <c r="R127" s="18">
        <v>4416.3209999999999</v>
      </c>
      <c r="S127" s="18">
        <v>4435.53</v>
      </c>
      <c r="T127" s="18">
        <v>4459.87</v>
      </c>
      <c r="U127" s="18">
        <v>4487.8360000000002</v>
      </c>
      <c r="V127" s="18">
        <v>4516.7730000000001</v>
      </c>
      <c r="W127" s="18">
        <v>4547.0209999999997</v>
      </c>
      <c r="X127" s="18">
        <v>4576.8370000000004</v>
      </c>
      <c r="Y127" s="18">
        <v>4605.0200000000004</v>
      </c>
      <c r="Z127" s="18">
        <v>4632.1030000000001</v>
      </c>
      <c r="AA127" s="18">
        <v>4659.6989999999996</v>
      </c>
      <c r="AB127" s="18">
        <v>4687.3329999999996</v>
      </c>
      <c r="AC127" s="18">
        <v>4714.326</v>
      </c>
      <c r="AD127" s="18">
        <v>4740.4489999999996</v>
      </c>
      <c r="AE127" s="18">
        <v>4765.6450000000004</v>
      </c>
      <c r="AF127" s="18">
        <v>4789.9589999999998</v>
      </c>
      <c r="AG127" s="18">
        <v>4813.2269999999999</v>
      </c>
      <c r="AH127" s="18">
        <v>4835.3130000000001</v>
      </c>
      <c r="AI127" s="18">
        <v>4856.1040000000003</v>
      </c>
      <c r="AJ127" s="18">
        <v>4875.4589999999998</v>
      </c>
      <c r="AK127" s="18">
        <v>4893.3059999999996</v>
      </c>
      <c r="AL127" s="18">
        <v>4909.6080000000002</v>
      </c>
      <c r="AM127" s="18">
        <v>4923.8140000000003</v>
      </c>
      <c r="AN127" s="18">
        <v>4935.625</v>
      </c>
      <c r="AO127" s="18">
        <v>4945.1660000000002</v>
      </c>
      <c r="AP127" s="18">
        <v>4952.4409999999998</v>
      </c>
      <c r="AQ127" s="18">
        <v>4956.9530000000004</v>
      </c>
      <c r="AR127" s="18">
        <v>4960.4269999999997</v>
      </c>
      <c r="AS127" s="18">
        <v>4963.5640000000003</v>
      </c>
      <c r="AT127" s="18">
        <v>4965.2030000000004</v>
      </c>
      <c r="AU127" s="18">
        <v>4963.7420000000002</v>
      </c>
      <c r="AV127" s="18">
        <v>4959.8149999999996</v>
      </c>
      <c r="AW127" s="18">
        <v>4949.9920000000002</v>
      </c>
      <c r="AX127" s="18">
        <v>4932.5029999999997</v>
      </c>
      <c r="AY127" s="18">
        <v>4908.96</v>
      </c>
      <c r="AZ127" s="18">
        <v>4884.3940000000002</v>
      </c>
      <c r="BA127" s="18">
        <v>4859.7709999999997</v>
      </c>
      <c r="BB127" s="18">
        <v>4827.7460000000001</v>
      </c>
      <c r="BC127" s="18">
        <v>4785.8059999999996</v>
      </c>
      <c r="BD127" s="18">
        <v>4738.366</v>
      </c>
      <c r="BE127" s="18">
        <v>4691.8459999999995</v>
      </c>
      <c r="BF127" s="18">
        <v>4644.3429999999998</v>
      </c>
      <c r="BG127" s="18">
        <v>4606.9189999999999</v>
      </c>
      <c r="BH127" s="18">
        <v>4585.54</v>
      </c>
      <c r="BI127" s="18">
        <v>4575.3689999999997</v>
      </c>
      <c r="BJ127" s="18">
        <v>4562.7160000000003</v>
      </c>
      <c r="BK127" s="18">
        <v>4546.8490000000002</v>
      </c>
      <c r="BL127" s="18">
        <v>4541.3</v>
      </c>
      <c r="BM127" s="18">
        <v>4550.3109999999997</v>
      </c>
      <c r="BN127" s="18">
        <v>4566.2349999999997</v>
      </c>
      <c r="BO127" s="18">
        <v>4579.49</v>
      </c>
      <c r="BP127" s="18">
        <v>4594.7629999999999</v>
      </c>
      <c r="BQ127" s="18">
        <v>4585.5460000000003</v>
      </c>
      <c r="BR127" s="18">
        <v>4538.549</v>
      </c>
      <c r="BS127" s="18">
        <v>4466.4769999999999</v>
      </c>
      <c r="BT127" s="18">
        <v>4394.7920000000004</v>
      </c>
      <c r="BU127" s="18">
        <v>4317.76</v>
      </c>
      <c r="BV127" s="18">
        <v>4246.6880000000001</v>
      </c>
      <c r="BW127" s="18">
        <v>4189.5609999999997</v>
      </c>
      <c r="BX127" s="18">
        <v>4140.1670000000004</v>
      </c>
      <c r="BY127" s="18">
        <v>4080.7959999999998</v>
      </c>
      <c r="BZ127" s="18">
        <v>4010.77</v>
      </c>
      <c r="CA127" s="18">
        <v>3947.31</v>
      </c>
      <c r="CB127" s="18">
        <v>3895.8490000000002</v>
      </c>
      <c r="CC127" s="18">
        <v>3846.9050000000002</v>
      </c>
      <c r="CD127" s="18">
        <v>3788.25</v>
      </c>
      <c r="CE127" s="18">
        <v>3725.5529999999999</v>
      </c>
      <c r="CF127" s="18">
        <v>3627.2809999999999</v>
      </c>
      <c r="CG127" s="18">
        <v>3477.518</v>
      </c>
      <c r="CH127" s="18">
        <v>3291.3510000000001</v>
      </c>
      <c r="CI127" s="18">
        <v>3102.0630000000001</v>
      </c>
      <c r="CJ127" s="18">
        <v>2905.741</v>
      </c>
      <c r="CK127" s="18">
        <v>2700.8609999999999</v>
      </c>
      <c r="CL127" s="18">
        <v>2490.9070000000002</v>
      </c>
      <c r="CM127" s="18">
        <v>2277.3670000000002</v>
      </c>
      <c r="CN127" s="18">
        <v>2044.3779999999999</v>
      </c>
      <c r="CO127" s="18">
        <v>1865.308</v>
      </c>
      <c r="CP127" s="18">
        <v>1684.6790000000001</v>
      </c>
      <c r="CQ127" s="18">
        <v>1438.6969999999999</v>
      </c>
      <c r="CR127" s="18">
        <v>1127.3620000000001</v>
      </c>
      <c r="CS127" s="18">
        <v>919.39</v>
      </c>
      <c r="CT127" s="18">
        <v>825.52200000000005</v>
      </c>
      <c r="CU127" s="18">
        <v>704.73699999999997</v>
      </c>
      <c r="CV127" s="18">
        <v>557.03099999999995</v>
      </c>
      <c r="CW127" s="18">
        <v>382.40600000000001</v>
      </c>
      <c r="CX127" s="18">
        <v>908.28599999999994</v>
      </c>
      <c r="CY127" s="3">
        <f t="shared" si="172"/>
        <v>409992.63800000021</v>
      </c>
      <c r="CZ127" s="21">
        <f t="shared" si="88"/>
        <v>331331.7150000002</v>
      </c>
      <c r="DA127">
        <f t="shared" si="89"/>
        <v>1.3460437978296153E-2</v>
      </c>
      <c r="DB127">
        <f t="shared" si="90"/>
        <v>1.3544842817114556E-2</v>
      </c>
      <c r="DC127">
        <f t="shared" si="91"/>
        <v>1.3632178253747901E-2</v>
      </c>
      <c r="DD127">
        <f t="shared" si="92"/>
        <v>1.3723470450149926E-2</v>
      </c>
      <c r="DE127">
        <f t="shared" si="93"/>
        <v>1.3813458817246027E-2</v>
      </c>
      <c r="DF127">
        <f t="shared" si="94"/>
        <v>1.3898518588840787E-2</v>
      </c>
      <c r="DG127">
        <f t="shared" si="95"/>
        <v>1.398025842470286E-2</v>
      </c>
      <c r="DH127">
        <f t="shared" si="96"/>
        <v>1.4063546557865724E-2</v>
      </c>
      <c r="DI127">
        <f t="shared" si="97"/>
        <v>1.4146949379717534E-2</v>
      </c>
      <c r="DJ127">
        <f t="shared" si="98"/>
        <v>1.4228417584474209E-2</v>
      </c>
      <c r="DK127">
        <f t="shared" si="99"/>
        <v>1.4307260021878668E-2</v>
      </c>
      <c r="DL127">
        <f t="shared" si="100"/>
        <v>1.4383304658897497E-2</v>
      </c>
      <c r="DM127">
        <f t="shared" si="101"/>
        <v>1.4456687311083386E-2</v>
      </c>
      <c r="DN127">
        <f t="shared" si="102"/>
        <v>1.4526913006199835E-2</v>
      </c>
      <c r="DO127">
        <f t="shared" si="103"/>
        <v>1.4593571279465345E-2</v>
      </c>
      <c r="DP127">
        <f t="shared" si="104"/>
        <v>1.4656321082936468E-2</v>
      </c>
      <c r="DQ127">
        <f t="shared" si="105"/>
        <v>1.4714736861214741E-2</v>
      </c>
      <c r="DR127">
        <f t="shared" si="106"/>
        <v>1.4768601309415843E-2</v>
      </c>
      <c r="DS127">
        <f t="shared" si="107"/>
        <v>1.4817802756974223E-2</v>
      </c>
      <c r="DT127">
        <f t="shared" si="108"/>
        <v>1.4860678217900141E-2</v>
      </c>
      <c r="DU127">
        <f t="shared" si="109"/>
        <v>1.4896325273298986E-2</v>
      </c>
      <c r="DV127">
        <f t="shared" si="110"/>
        <v>1.4925121188594933E-2</v>
      </c>
      <c r="DW127">
        <f t="shared" si="111"/>
        <v>1.4947078036281546E-2</v>
      </c>
      <c r="DX127">
        <f t="shared" si="112"/>
        <v>1.4960695809032339E-2</v>
      </c>
      <c r="DY127">
        <f t="shared" si="113"/>
        <v>1.4971180769700831E-2</v>
      </c>
      <c r="DZ127">
        <f t="shared" si="114"/>
        <v>1.498064862278577E-2</v>
      </c>
      <c r="EA127">
        <f t="shared" si="115"/>
        <v>1.498559532702747E-2</v>
      </c>
      <c r="EB127">
        <f t="shared" si="116"/>
        <v>1.4981185848749787E-2</v>
      </c>
      <c r="EC127">
        <f t="shared" si="117"/>
        <v>1.4969333678184102E-2</v>
      </c>
      <c r="ED127">
        <f t="shared" si="118"/>
        <v>1.4939686652091234E-2</v>
      </c>
      <c r="EE127">
        <f t="shared" si="119"/>
        <v>1.4886902692064949E-2</v>
      </c>
      <c r="EF127">
        <f t="shared" si="120"/>
        <v>1.4815847013015332E-2</v>
      </c>
      <c r="EG127">
        <f t="shared" si="121"/>
        <v>1.4741703793734316E-2</v>
      </c>
      <c r="EH127">
        <f t="shared" si="122"/>
        <v>1.4667388541419878E-2</v>
      </c>
      <c r="EI127">
        <f t="shared" si="123"/>
        <v>1.4570733139747872E-2</v>
      </c>
      <c r="EJ127">
        <f t="shared" si="124"/>
        <v>1.4444153044630807E-2</v>
      </c>
      <c r="EK127">
        <f t="shared" si="125"/>
        <v>1.4300973270850323E-2</v>
      </c>
      <c r="EL127">
        <f t="shared" si="126"/>
        <v>1.4160570170591719E-2</v>
      </c>
      <c r="EM127">
        <f t="shared" si="127"/>
        <v>1.4017200255037453E-2</v>
      </c>
      <c r="EN127">
        <f t="shared" si="128"/>
        <v>1.3904250005164756E-2</v>
      </c>
      <c r="EO127">
        <f t="shared" si="129"/>
        <v>1.3839725545138343E-2</v>
      </c>
      <c r="EP127">
        <f t="shared" si="130"/>
        <v>1.3809028212104588E-2</v>
      </c>
      <c r="EQ127">
        <f t="shared" si="131"/>
        <v>1.3770839896808542E-2</v>
      </c>
      <c r="ER127">
        <f t="shared" si="132"/>
        <v>1.372295133292627E-2</v>
      </c>
      <c r="ES127">
        <f t="shared" si="133"/>
        <v>1.3706203766216576E-2</v>
      </c>
      <c r="ET127">
        <f t="shared" si="134"/>
        <v>1.3733400076114045E-2</v>
      </c>
      <c r="EU127">
        <f t="shared" si="135"/>
        <v>1.3781460673029737E-2</v>
      </c>
      <c r="EV127">
        <f t="shared" si="136"/>
        <v>1.382146589860858E-2</v>
      </c>
      <c r="EW127">
        <f t="shared" si="137"/>
        <v>1.3867561697195203E-2</v>
      </c>
      <c r="EX127">
        <f t="shared" si="138"/>
        <v>1.3839743653878704E-2</v>
      </c>
      <c r="EY127">
        <f t="shared" si="139"/>
        <v>1.3697900908761473E-2</v>
      </c>
      <c r="EZ127">
        <f t="shared" si="140"/>
        <v>1.3480378719556011E-2</v>
      </c>
      <c r="FA127">
        <f t="shared" si="141"/>
        <v>1.3264024544103777E-2</v>
      </c>
      <c r="FB127">
        <f t="shared" si="142"/>
        <v>1.3031532462867304E-2</v>
      </c>
      <c r="FC127">
        <f t="shared" si="143"/>
        <v>1.2817028397055192E-2</v>
      </c>
      <c r="FD127">
        <f t="shared" si="144"/>
        <v>1.2644612061963332E-2</v>
      </c>
      <c r="FE127">
        <f t="shared" si="145"/>
        <v>1.2495534875072246E-2</v>
      </c>
      <c r="FF127">
        <f t="shared" si="146"/>
        <v>1.231634587108571E-2</v>
      </c>
      <c r="FG127">
        <f t="shared" si="147"/>
        <v>1.2104998762343042E-2</v>
      </c>
      <c r="FH127">
        <f t="shared" si="148"/>
        <v>1.1913468651801104E-2</v>
      </c>
      <c r="FI127">
        <f t="shared" si="149"/>
        <v>1.1758153003855963E-2</v>
      </c>
      <c r="FJ127">
        <f t="shared" si="150"/>
        <v>1.1610433972491882E-2</v>
      </c>
      <c r="FK127">
        <f t="shared" si="151"/>
        <v>1.1433405944854985E-2</v>
      </c>
      <c r="FL127">
        <f t="shared" si="152"/>
        <v>1.1244178662462172E-2</v>
      </c>
      <c r="FM127">
        <f t="shared" si="153"/>
        <v>1.0947581640350963E-2</v>
      </c>
      <c r="FN127">
        <f t="shared" si="154"/>
        <v>1.0495578426592812E-2</v>
      </c>
      <c r="FO127">
        <f t="shared" si="155"/>
        <v>9.9337034488231769E-3</v>
      </c>
      <c r="FP127">
        <f t="shared" si="156"/>
        <v>9.3624089079429006E-3</v>
      </c>
      <c r="FQ127">
        <f t="shared" si="157"/>
        <v>8.7698848871138047E-3</v>
      </c>
      <c r="FR127">
        <f t="shared" si="158"/>
        <v>8.1515317662844266E-3</v>
      </c>
      <c r="FS127">
        <f t="shared" si="159"/>
        <v>7.5178646873571963E-3</v>
      </c>
      <c r="FT127">
        <f t="shared" si="160"/>
        <v>6.8733746179414149E-3</v>
      </c>
      <c r="FU127">
        <f t="shared" si="161"/>
        <v>6.1701850666483846E-3</v>
      </c>
      <c r="FV127">
        <f t="shared" si="162"/>
        <v>5.6297297106013494E-3</v>
      </c>
      <c r="FW127">
        <f t="shared" si="163"/>
        <v>5.084569100184083E-3</v>
      </c>
      <c r="FX127">
        <f t="shared" si="164"/>
        <v>4.3421650716412678E-3</v>
      </c>
      <c r="FY127">
        <f t="shared" si="165"/>
        <v>3.4025176249729049E-3</v>
      </c>
      <c r="FZ127">
        <f t="shared" si="166"/>
        <v>2.7748324666112914E-3</v>
      </c>
      <c r="GA127">
        <f t="shared" si="167"/>
        <v>2.4915272599243918E-3</v>
      </c>
      <c r="GB127">
        <f t="shared" si="168"/>
        <v>2.1269832258587126E-3</v>
      </c>
      <c r="GC127">
        <f t="shared" si="169"/>
        <v>1.6811882919206802E-3</v>
      </c>
      <c r="GD127">
        <f t="shared" si="170"/>
        <v>1.154148494357082E-3</v>
      </c>
      <c r="GE127">
        <f t="shared" si="171"/>
        <v>2.7413192244515423E-3</v>
      </c>
    </row>
    <row r="128" spans="1:187">
      <c r="A128" s="15">
        <v>2076</v>
      </c>
      <c r="B128" s="18">
        <v>4318.6610000000001</v>
      </c>
      <c r="C128" s="18">
        <v>4326.4650000000001</v>
      </c>
      <c r="D128" s="18">
        <v>4342.6620000000003</v>
      </c>
      <c r="E128" s="18">
        <v>4354.6509999999998</v>
      </c>
      <c r="F128" s="18">
        <v>4363.1149999999998</v>
      </c>
      <c r="G128" s="18">
        <v>4368.74</v>
      </c>
      <c r="H128" s="18">
        <v>4372.0690000000004</v>
      </c>
      <c r="I128" s="18">
        <v>4373.6440000000002</v>
      </c>
      <c r="J128" s="18">
        <v>4374.8590000000004</v>
      </c>
      <c r="K128" s="18">
        <v>4376.6819999999998</v>
      </c>
      <c r="L128" s="18">
        <v>4379.3720000000003</v>
      </c>
      <c r="M128" s="18">
        <v>4382.0519999999997</v>
      </c>
      <c r="N128" s="18">
        <v>4384.6970000000001</v>
      </c>
      <c r="O128" s="18">
        <v>4391.5469999999996</v>
      </c>
      <c r="P128" s="18">
        <v>4404.5690000000004</v>
      </c>
      <c r="Q128" s="18">
        <v>4422.1710000000003</v>
      </c>
      <c r="R128" s="18">
        <v>4440.402</v>
      </c>
      <c r="S128" s="18">
        <v>4459.58</v>
      </c>
      <c r="T128" s="18">
        <v>4481.375</v>
      </c>
      <c r="U128" s="18">
        <v>4506.0680000000002</v>
      </c>
      <c r="V128" s="18">
        <v>4532.8140000000003</v>
      </c>
      <c r="W128" s="18">
        <v>4560.4009999999998</v>
      </c>
      <c r="X128" s="18">
        <v>4588.9690000000001</v>
      </c>
      <c r="Y128" s="18">
        <v>4616.8119999999999</v>
      </c>
      <c r="Z128" s="18">
        <v>4642.9250000000002</v>
      </c>
      <c r="AA128" s="18">
        <v>4667.8329999999996</v>
      </c>
      <c r="AB128" s="18">
        <v>4692.9549999999999</v>
      </c>
      <c r="AC128" s="18">
        <v>4717.866</v>
      </c>
      <c r="AD128" s="18">
        <v>4742.326</v>
      </c>
      <c r="AE128" s="18">
        <v>4766.3059999999996</v>
      </c>
      <c r="AF128" s="18">
        <v>4789.63</v>
      </c>
      <c r="AG128" s="18">
        <v>4812.0069999999996</v>
      </c>
      <c r="AH128" s="18">
        <v>4833.3270000000002</v>
      </c>
      <c r="AI128" s="18">
        <v>4853.616</v>
      </c>
      <c r="AJ128" s="18">
        <v>4872.8050000000003</v>
      </c>
      <c r="AK128" s="18">
        <v>4890.7070000000003</v>
      </c>
      <c r="AL128" s="18">
        <v>4907.1509999999998</v>
      </c>
      <c r="AM128" s="18">
        <v>4922.1040000000003</v>
      </c>
      <c r="AN128" s="18">
        <v>4935.0309999999999</v>
      </c>
      <c r="AO128" s="18">
        <v>4945.6239999999998</v>
      </c>
      <c r="AP128" s="18">
        <v>4953.9939999999997</v>
      </c>
      <c r="AQ128" s="18">
        <v>4960.1369999999997</v>
      </c>
      <c r="AR128" s="18">
        <v>4963.5450000000001</v>
      </c>
      <c r="AS128" s="18">
        <v>4965.9120000000003</v>
      </c>
      <c r="AT128" s="18">
        <v>4967.9110000000001</v>
      </c>
      <c r="AU128" s="18">
        <v>4968.3879999999999</v>
      </c>
      <c r="AV128" s="18">
        <v>4965.777</v>
      </c>
      <c r="AW128" s="18">
        <v>4960.7089999999998</v>
      </c>
      <c r="AX128" s="18">
        <v>4949.6930000000002</v>
      </c>
      <c r="AY128" s="18">
        <v>4930.9309999999996</v>
      </c>
      <c r="AZ128" s="18">
        <v>4906.0630000000001</v>
      </c>
      <c r="BA128" s="18">
        <v>4880.1610000000001</v>
      </c>
      <c r="BB128" s="18">
        <v>4854.1769999999997</v>
      </c>
      <c r="BC128" s="18">
        <v>4820.8209999999999</v>
      </c>
      <c r="BD128" s="18">
        <v>4777.6109999999999</v>
      </c>
      <c r="BE128" s="18">
        <v>4728.9319999999998</v>
      </c>
      <c r="BF128" s="18">
        <v>4681.1139999999996</v>
      </c>
      <c r="BG128" s="18">
        <v>4632.25</v>
      </c>
      <c r="BH128" s="18">
        <v>4593.4719999999998</v>
      </c>
      <c r="BI128" s="18">
        <v>4570.7659999999996</v>
      </c>
      <c r="BJ128" s="18">
        <v>4559.2479999999996</v>
      </c>
      <c r="BK128" s="18">
        <v>4545.1459999999997</v>
      </c>
      <c r="BL128" s="18">
        <v>4527.7259999999997</v>
      </c>
      <c r="BM128" s="18">
        <v>4520.4750000000004</v>
      </c>
      <c r="BN128" s="18">
        <v>4527.5969999999998</v>
      </c>
      <c r="BO128" s="18">
        <v>4541.4449999999997</v>
      </c>
      <c r="BP128" s="18">
        <v>4552.4179999999997</v>
      </c>
      <c r="BQ128" s="18">
        <v>4565.1270000000004</v>
      </c>
      <c r="BR128" s="18">
        <v>4553.2960000000003</v>
      </c>
      <c r="BS128" s="18">
        <v>4503.7250000000004</v>
      </c>
      <c r="BT128" s="18">
        <v>4428.9520000000002</v>
      </c>
      <c r="BU128" s="18">
        <v>4354.1409999999996</v>
      </c>
      <c r="BV128" s="18">
        <v>4273.567</v>
      </c>
      <c r="BW128" s="18">
        <v>4198.424</v>
      </c>
      <c r="BX128" s="18">
        <v>4136.5919999999996</v>
      </c>
      <c r="BY128" s="18">
        <v>4081.8560000000002</v>
      </c>
      <c r="BZ128" s="18">
        <v>4016.82</v>
      </c>
      <c r="CA128" s="18">
        <v>3941.0030000000002</v>
      </c>
      <c r="CB128" s="18">
        <v>3870.2660000000001</v>
      </c>
      <c r="CC128" s="18">
        <v>3809.4789999999998</v>
      </c>
      <c r="CD128" s="18">
        <v>3749.8960000000002</v>
      </c>
      <c r="CE128" s="18">
        <v>3680.8330000000001</v>
      </c>
      <c r="CF128" s="18">
        <v>3607.9459999999999</v>
      </c>
      <c r="CG128" s="18">
        <v>3499.491</v>
      </c>
      <c r="CH128" s="18">
        <v>3339.7020000000002</v>
      </c>
      <c r="CI128" s="18">
        <v>3143.98</v>
      </c>
      <c r="CJ128" s="18">
        <v>2942.203</v>
      </c>
      <c r="CK128" s="18">
        <v>2746.7379999999998</v>
      </c>
      <c r="CL128" s="18">
        <v>2544.1849999999999</v>
      </c>
      <c r="CM128" s="18">
        <v>2321.7820000000002</v>
      </c>
      <c r="CN128" s="18">
        <v>2080.723</v>
      </c>
      <c r="CO128" s="18">
        <v>1847.6759999999999</v>
      </c>
      <c r="CP128" s="18">
        <v>1683.624</v>
      </c>
      <c r="CQ128" s="18">
        <v>1511.431</v>
      </c>
      <c r="CR128" s="18">
        <v>1280.0250000000001</v>
      </c>
      <c r="CS128" s="18">
        <v>989.40599999999995</v>
      </c>
      <c r="CT128" s="18">
        <v>847.38699999999994</v>
      </c>
      <c r="CU128" s="18">
        <v>723.30200000000002</v>
      </c>
      <c r="CV128" s="18">
        <v>571.20899999999995</v>
      </c>
      <c r="CW128" s="18">
        <v>391.108</v>
      </c>
      <c r="CX128" s="18">
        <v>924.59699999999998</v>
      </c>
      <c r="CY128" s="3">
        <f t="shared" si="172"/>
        <v>411081.50099999999</v>
      </c>
      <c r="CZ128" s="21">
        <f t="shared" si="88"/>
        <v>332245.56300000008</v>
      </c>
      <c r="DA128">
        <f t="shared" si="89"/>
        <v>1.3488140998891229E-2</v>
      </c>
      <c r="DB128">
        <f t="shared" si="90"/>
        <v>1.3562462533171584E-2</v>
      </c>
      <c r="DC128">
        <f t="shared" si="91"/>
        <v>1.3642963231987538E-2</v>
      </c>
      <c r="DD128">
        <f t="shared" si="92"/>
        <v>1.3725995191093037E-2</v>
      </c>
      <c r="DE128">
        <f t="shared" si="93"/>
        <v>1.3811979785566012E-2</v>
      </c>
      <c r="DF128">
        <f t="shared" si="94"/>
        <v>1.3895782259099721E-2</v>
      </c>
      <c r="DG128">
        <f t="shared" si="95"/>
        <v>1.3974377740599049E-2</v>
      </c>
      <c r="DH128">
        <f t="shared" si="96"/>
        <v>1.4049346386606218E-2</v>
      </c>
      <c r="DI128">
        <f t="shared" si="97"/>
        <v>1.4124959134518221E-2</v>
      </c>
      <c r="DJ128">
        <f t="shared" si="98"/>
        <v>1.4199936809991346E-2</v>
      </c>
      <c r="DK128">
        <f t="shared" si="99"/>
        <v>1.4273557055749151E-2</v>
      </c>
      <c r="DL128">
        <f t="shared" si="100"/>
        <v>1.4345732586954062E-2</v>
      </c>
      <c r="DM128">
        <f t="shared" si="101"/>
        <v>1.4415933674936689E-2</v>
      </c>
      <c r="DN128">
        <f t="shared" si="102"/>
        <v>1.4483284461499334E-2</v>
      </c>
      <c r="DO128">
        <f t="shared" si="103"/>
        <v>1.4547453866223638E-2</v>
      </c>
      <c r="DP128">
        <f t="shared" si="104"/>
        <v>1.4608520144481203E-2</v>
      </c>
      <c r="DQ128">
        <f t="shared" si="105"/>
        <v>1.4666275618555059E-2</v>
      </c>
      <c r="DR128">
        <f t="shared" si="106"/>
        <v>1.4720157451733972E-2</v>
      </c>
      <c r="DS128">
        <f t="shared" si="107"/>
        <v>1.4769650964458474E-2</v>
      </c>
      <c r="DT128">
        <f t="shared" si="108"/>
        <v>1.4814656832603057E-2</v>
      </c>
      <c r="DU128">
        <f t="shared" si="109"/>
        <v>1.4853564801405636E-2</v>
      </c>
      <c r="DV128">
        <f t="shared" si="110"/>
        <v>1.4885447845694778E-2</v>
      </c>
      <c r="DW128">
        <f t="shared" si="111"/>
        <v>1.4910640055710838E-2</v>
      </c>
      <c r="DX128">
        <f t="shared" si="112"/>
        <v>1.4929129392165874E-2</v>
      </c>
      <c r="DY128">
        <f t="shared" si="113"/>
        <v>1.493938686549141E-2</v>
      </c>
      <c r="DZ128">
        <f t="shared" si="114"/>
        <v>1.4946511114130361E-2</v>
      </c>
      <c r="EA128">
        <f t="shared" si="115"/>
        <v>1.495252774827876E-2</v>
      </c>
      <c r="EB128">
        <f t="shared" si="116"/>
        <v>1.4953963433365696E-2</v>
      </c>
      <c r="EC128">
        <f t="shared" si="117"/>
        <v>1.494610478816236E-2</v>
      </c>
      <c r="ED128">
        <f t="shared" si="118"/>
        <v>1.4930851010341403E-2</v>
      </c>
      <c r="EE128">
        <f t="shared" si="119"/>
        <v>1.4897694811352526E-2</v>
      </c>
      <c r="EF128">
        <f t="shared" si="120"/>
        <v>1.4841224531266347E-2</v>
      </c>
      <c r="EG128">
        <f t="shared" si="121"/>
        <v>1.4766376278138585E-2</v>
      </c>
      <c r="EH128">
        <f t="shared" si="122"/>
        <v>1.4688415869078134E-2</v>
      </c>
      <c r="EI128">
        <f t="shared" si="123"/>
        <v>1.4610208654614895E-2</v>
      </c>
      <c r="EJ128">
        <f t="shared" si="124"/>
        <v>1.4509813032476821E-2</v>
      </c>
      <c r="EK128">
        <f t="shared" si="125"/>
        <v>1.437975862449666E-2</v>
      </c>
      <c r="EL128">
        <f t="shared" si="126"/>
        <v>1.4233243500079484E-2</v>
      </c>
      <c r="EM128">
        <f t="shared" si="127"/>
        <v>1.4089319832391556E-2</v>
      </c>
      <c r="EN128">
        <f t="shared" si="128"/>
        <v>1.394224789090712E-2</v>
      </c>
      <c r="EO128">
        <f t="shared" si="129"/>
        <v>1.3825533013965332E-2</v>
      </c>
      <c r="EP128">
        <f t="shared" si="130"/>
        <v>1.3757191995969555E-2</v>
      </c>
      <c r="EQ128">
        <f t="shared" si="131"/>
        <v>1.3722524866344109E-2</v>
      </c>
      <c r="ER128">
        <f t="shared" si="132"/>
        <v>1.3680080356708929E-2</v>
      </c>
      <c r="ES128">
        <f t="shared" si="133"/>
        <v>1.3627649257726878E-2</v>
      </c>
      <c r="ET128">
        <f t="shared" si="134"/>
        <v>1.3605825038512251E-2</v>
      </c>
      <c r="EU128">
        <f t="shared" si="135"/>
        <v>1.3627260990690789E-2</v>
      </c>
      <c r="EV128">
        <f t="shared" si="136"/>
        <v>1.3668941005541731E-2</v>
      </c>
      <c r="EW128">
        <f t="shared" si="137"/>
        <v>1.3701967782185246E-2</v>
      </c>
      <c r="EX128">
        <f t="shared" si="138"/>
        <v>1.3740219609795058E-2</v>
      </c>
      <c r="EY128">
        <f t="shared" si="139"/>
        <v>1.3704610405888247E-2</v>
      </c>
      <c r="EZ128">
        <f t="shared" si="140"/>
        <v>1.355541052026028E-2</v>
      </c>
      <c r="FA128">
        <f t="shared" si="141"/>
        <v>1.3330357100961494E-2</v>
      </c>
      <c r="FB128">
        <f t="shared" si="142"/>
        <v>1.310518930842727E-2</v>
      </c>
      <c r="FC128">
        <f t="shared" si="143"/>
        <v>1.2862675911792383E-2</v>
      </c>
      <c r="FD128">
        <f t="shared" si="144"/>
        <v>1.2636508858359078E-2</v>
      </c>
      <c r="FE128">
        <f t="shared" si="145"/>
        <v>1.2450405545370665E-2</v>
      </c>
      <c r="FF128">
        <f t="shared" si="146"/>
        <v>1.228565992918918E-2</v>
      </c>
      <c r="FG128">
        <f t="shared" si="147"/>
        <v>1.2089913146560213E-2</v>
      </c>
      <c r="FH128">
        <f t="shared" si="148"/>
        <v>1.1861717473108886E-2</v>
      </c>
      <c r="FI128">
        <f t="shared" si="149"/>
        <v>1.1648811695342336E-2</v>
      </c>
      <c r="FJ128">
        <f t="shared" si="150"/>
        <v>1.1465853646328451E-2</v>
      </c>
      <c r="FK128">
        <f t="shared" si="151"/>
        <v>1.1286519422984738E-2</v>
      </c>
      <c r="FL128">
        <f t="shared" si="152"/>
        <v>1.10786520872214E-2</v>
      </c>
      <c r="FM128">
        <f t="shared" si="153"/>
        <v>1.0859275192186687E-2</v>
      </c>
      <c r="FN128">
        <f t="shared" si="154"/>
        <v>1.0532844948782654E-2</v>
      </c>
      <c r="FO128">
        <f t="shared" si="155"/>
        <v>1.0051908503590759E-2</v>
      </c>
      <c r="FP128">
        <f t="shared" si="156"/>
        <v>9.4628201250049476E-3</v>
      </c>
      <c r="FQ128">
        <f t="shared" si="157"/>
        <v>8.8555072742987975E-3</v>
      </c>
      <c r="FR128">
        <f t="shared" si="158"/>
        <v>8.2671924199631801E-3</v>
      </c>
      <c r="FS128">
        <f t="shared" si="159"/>
        <v>7.6575439473965208E-3</v>
      </c>
      <c r="FT128">
        <f t="shared" si="160"/>
        <v>6.9881505084237938E-3</v>
      </c>
      <c r="FU128">
        <f t="shared" si="161"/>
        <v>6.2626058304953176E-3</v>
      </c>
      <c r="FV128">
        <f t="shared" si="162"/>
        <v>5.5611758463122033E-3</v>
      </c>
      <c r="FW128">
        <f t="shared" si="163"/>
        <v>5.0674085299974329E-3</v>
      </c>
      <c r="FX128">
        <f t="shared" si="164"/>
        <v>4.5491382529012124E-3</v>
      </c>
      <c r="FY128">
        <f t="shared" si="165"/>
        <v>3.8526473865957986E-3</v>
      </c>
      <c r="FZ128">
        <f t="shared" si="166"/>
        <v>2.9779359310811914E-3</v>
      </c>
      <c r="GA128">
        <f t="shared" si="167"/>
        <v>2.5504840225661638E-3</v>
      </c>
      <c r="GB128">
        <f t="shared" si="168"/>
        <v>2.1770102615335748E-3</v>
      </c>
      <c r="GC128">
        <f t="shared" si="169"/>
        <v>1.7192374063397192E-3</v>
      </c>
      <c r="GD128">
        <f t="shared" si="170"/>
        <v>1.1771654569845975E-3</v>
      </c>
      <c r="GE128">
        <f t="shared" si="171"/>
        <v>2.7828723780428627E-3</v>
      </c>
    </row>
    <row r="129" spans="1:187">
      <c r="A129" s="15">
        <v>2077</v>
      </c>
      <c r="B129" s="18">
        <v>4325.4610000000002</v>
      </c>
      <c r="C129" s="18">
        <v>4342.0209999999997</v>
      </c>
      <c r="D129" s="18">
        <v>4339.4369999999999</v>
      </c>
      <c r="E129" s="18">
        <v>4351.7250000000004</v>
      </c>
      <c r="F129" s="18">
        <v>4360.7960000000003</v>
      </c>
      <c r="G129" s="18">
        <v>4367.299</v>
      </c>
      <c r="H129" s="18">
        <v>4371.8900000000003</v>
      </c>
      <c r="I129" s="18">
        <v>4374.9380000000001</v>
      </c>
      <c r="J129" s="18">
        <v>4376.8149999999996</v>
      </c>
      <c r="K129" s="18">
        <v>4379.5910000000003</v>
      </c>
      <c r="L129" s="18">
        <v>4384.4859999999999</v>
      </c>
      <c r="M129" s="18">
        <v>4391.3050000000003</v>
      </c>
      <c r="N129" s="18">
        <v>4398.299</v>
      </c>
      <c r="O129" s="18">
        <v>4405.4229999999998</v>
      </c>
      <c r="P129" s="18">
        <v>4416.83</v>
      </c>
      <c r="Q129" s="18">
        <v>4434.2870000000003</v>
      </c>
      <c r="R129" s="18">
        <v>4456.0659999999998</v>
      </c>
      <c r="S129" s="18">
        <v>4478.3890000000001</v>
      </c>
      <c r="T129" s="18">
        <v>4501.6760000000004</v>
      </c>
      <c r="U129" s="18">
        <v>4526.0519999999997</v>
      </c>
      <c r="V129" s="18">
        <v>4551.0910000000003</v>
      </c>
      <c r="W129" s="18">
        <v>4576.6099999999997</v>
      </c>
      <c r="X129" s="18">
        <v>4602.8389999999999</v>
      </c>
      <c r="Y129" s="18">
        <v>4629.7160000000003</v>
      </c>
      <c r="Z129" s="18">
        <v>4655.5770000000002</v>
      </c>
      <c r="AA129" s="18">
        <v>4679.6099999999997</v>
      </c>
      <c r="AB129" s="18">
        <v>4702.3339999999998</v>
      </c>
      <c r="AC129" s="18">
        <v>4724.973</v>
      </c>
      <c r="AD129" s="18">
        <v>4747.152</v>
      </c>
      <c r="AE129" s="18">
        <v>4769.0680000000002</v>
      </c>
      <c r="AF129" s="18">
        <v>4790.8980000000001</v>
      </c>
      <c r="AG129" s="18">
        <v>4812.3419999999996</v>
      </c>
      <c r="AH129" s="18">
        <v>4832.7719999999999</v>
      </c>
      <c r="AI129" s="18">
        <v>4852.1350000000002</v>
      </c>
      <c r="AJ129" s="18">
        <v>4870.6189999999997</v>
      </c>
      <c r="AK129" s="18">
        <v>4888.2</v>
      </c>
      <c r="AL129" s="18">
        <v>4904.643</v>
      </c>
      <c r="AM129" s="18">
        <v>4919.6790000000001</v>
      </c>
      <c r="AN129" s="18">
        <v>4933.2780000000002</v>
      </c>
      <c r="AO129" s="18">
        <v>4944.9210000000003</v>
      </c>
      <c r="AP129" s="18">
        <v>4954.2910000000002</v>
      </c>
      <c r="AQ129" s="18">
        <v>4961.4870000000001</v>
      </c>
      <c r="AR129" s="18">
        <v>4966.4920000000002</v>
      </c>
      <c r="AS129" s="18">
        <v>4968.799</v>
      </c>
      <c r="AT129" s="18">
        <v>4970.0540000000001</v>
      </c>
      <c r="AU129" s="18">
        <v>4970.9129999999996</v>
      </c>
      <c r="AV129" s="18">
        <v>4970.2280000000001</v>
      </c>
      <c r="AW129" s="18">
        <v>4966.4660000000003</v>
      </c>
      <c r="AX129" s="18">
        <v>4960.2579999999998</v>
      </c>
      <c r="AY129" s="18">
        <v>4948.05</v>
      </c>
      <c r="AZ129" s="18">
        <v>4928.0190000000002</v>
      </c>
      <c r="BA129" s="18">
        <v>4901.83</v>
      </c>
      <c r="BB129" s="18">
        <v>4874.5990000000002</v>
      </c>
      <c r="BC129" s="18">
        <v>4847.259</v>
      </c>
      <c r="BD129" s="18">
        <v>4812.5789999999997</v>
      </c>
      <c r="BE129" s="18">
        <v>4768.1099999999997</v>
      </c>
      <c r="BF129" s="18">
        <v>4718.2030000000004</v>
      </c>
      <c r="BG129" s="18">
        <v>4669.1000000000004</v>
      </c>
      <c r="BH129" s="18">
        <v>4618.8869999999997</v>
      </c>
      <c r="BI129" s="18">
        <v>4578.7629999999999</v>
      </c>
      <c r="BJ129" s="18">
        <v>4554.7359999999999</v>
      </c>
      <c r="BK129" s="18">
        <v>4541.8720000000003</v>
      </c>
      <c r="BL129" s="18">
        <v>4526.3220000000001</v>
      </c>
      <c r="BM129" s="18">
        <v>4507.3540000000003</v>
      </c>
      <c r="BN129" s="18">
        <v>4498.4009999999998</v>
      </c>
      <c r="BO129" s="18">
        <v>4503.6279999999997</v>
      </c>
      <c r="BP129" s="18">
        <v>4515.3950000000004</v>
      </c>
      <c r="BQ129" s="18">
        <v>4524.08</v>
      </c>
      <c r="BR129" s="18">
        <v>4534.2190000000001</v>
      </c>
      <c r="BS129" s="18">
        <v>4519.7749999999996</v>
      </c>
      <c r="BT129" s="18">
        <v>4467.6390000000001</v>
      </c>
      <c r="BU129" s="18">
        <v>4390.1819999999998</v>
      </c>
      <c r="BV129" s="18">
        <v>4312.2619999999997</v>
      </c>
      <c r="BW129" s="18">
        <v>4228.1660000000002</v>
      </c>
      <c r="BX129" s="18">
        <v>4148.9679999999998</v>
      </c>
      <c r="BY129" s="18">
        <v>4082.4430000000002</v>
      </c>
      <c r="BZ129" s="18">
        <v>4022.3739999999998</v>
      </c>
      <c r="CA129" s="18">
        <v>3951.6849999999999</v>
      </c>
      <c r="CB129" s="18">
        <v>3870.09</v>
      </c>
      <c r="CC129" s="18">
        <v>3792.0880000000002</v>
      </c>
      <c r="CD129" s="18">
        <v>3721.982</v>
      </c>
      <c r="CE129" s="18">
        <v>3651.7640000000001</v>
      </c>
      <c r="CF129" s="18">
        <v>3572.299</v>
      </c>
      <c r="CG129" s="18">
        <v>3489.232</v>
      </c>
      <c r="CH129" s="18">
        <v>3370.6149999999998</v>
      </c>
      <c r="CI129" s="18">
        <v>3200.8319999999999</v>
      </c>
      <c r="CJ129" s="18">
        <v>2995.596</v>
      </c>
      <c r="CK129" s="18">
        <v>2781.3739999999998</v>
      </c>
      <c r="CL129" s="18">
        <v>2586.8200000000002</v>
      </c>
      <c r="CM129" s="18">
        <v>2386.6489999999999</v>
      </c>
      <c r="CN129" s="18">
        <v>2151.8449999999998</v>
      </c>
      <c r="CO129" s="18">
        <v>1883.3040000000001</v>
      </c>
      <c r="CP129" s="18">
        <v>1650.26</v>
      </c>
      <c r="CQ129" s="18">
        <v>1501.289</v>
      </c>
      <c r="CR129" s="18">
        <v>1337.587</v>
      </c>
      <c r="CS129" s="18">
        <v>1120.835</v>
      </c>
      <c r="CT129" s="18">
        <v>851.03300000000002</v>
      </c>
      <c r="CU129" s="18">
        <v>744.00800000000004</v>
      </c>
      <c r="CV129" s="18">
        <v>587.096</v>
      </c>
      <c r="CW129" s="18">
        <v>400.76100000000002</v>
      </c>
      <c r="CX129" s="18">
        <v>942.15300000000002</v>
      </c>
      <c r="CY129" s="3">
        <f t="shared" si="172"/>
        <v>412144.64300000004</v>
      </c>
      <c r="CZ129" s="21">
        <f t="shared" si="88"/>
        <v>333189.58499999996</v>
      </c>
      <c r="DA129">
        <f t="shared" si="89"/>
        <v>1.3510854488443871E-2</v>
      </c>
      <c r="DB129">
        <f t="shared" si="90"/>
        <v>1.3584014038133876E-2</v>
      </c>
      <c r="DC129">
        <f t="shared" si="91"/>
        <v>1.3659163445940247E-2</v>
      </c>
      <c r="DD129">
        <f t="shared" si="92"/>
        <v>1.373575347500733E-2</v>
      </c>
      <c r="DE129">
        <f t="shared" si="93"/>
        <v>1.3814474423022558E-2</v>
      </c>
      <c r="DF129">
        <f t="shared" si="94"/>
        <v>1.3895140209739752E-2</v>
      </c>
      <c r="DG129">
        <f t="shared" si="95"/>
        <v>1.3972756681455097E-2</v>
      </c>
      <c r="DH129">
        <f t="shared" si="96"/>
        <v>1.4044886787202547E-2</v>
      </c>
      <c r="DI129">
        <f t="shared" si="97"/>
        <v>1.4113088198720258E-2</v>
      </c>
      <c r="DJ129">
        <f t="shared" si="98"/>
        <v>1.4181034500223051E-2</v>
      </c>
      <c r="DK129">
        <f t="shared" si="99"/>
        <v>1.4247600206350989E-2</v>
      </c>
      <c r="DL129">
        <f t="shared" si="100"/>
        <v>1.4313376572079829E-2</v>
      </c>
      <c r="DM129">
        <f t="shared" si="101"/>
        <v>1.4378894826499455E-2</v>
      </c>
      <c r="DN129">
        <f t="shared" si="102"/>
        <v>1.4443254581321922E-2</v>
      </c>
      <c r="DO129">
        <f t="shared" si="103"/>
        <v>1.4504571023731131E-2</v>
      </c>
      <c r="DP129">
        <f t="shared" si="104"/>
        <v>1.4562685085129539E-2</v>
      </c>
      <c r="DQ129">
        <f t="shared" si="105"/>
        <v>1.461816100884426E-2</v>
      </c>
      <c r="DR129">
        <f t="shared" si="106"/>
        <v>1.4670926763812261E-2</v>
      </c>
      <c r="DS129">
        <f t="shared" si="107"/>
        <v>1.472027704587465E-2</v>
      </c>
      <c r="DT129">
        <f t="shared" si="108"/>
        <v>1.4765404506866565E-2</v>
      </c>
      <c r="DU129">
        <f t="shared" si="109"/>
        <v>1.4806219107959213E-2</v>
      </c>
      <c r="DV129">
        <f t="shared" si="110"/>
        <v>1.4841163177414447E-2</v>
      </c>
      <c r="DW129">
        <f t="shared" si="111"/>
        <v>1.4869285304941332E-2</v>
      </c>
      <c r="DX129">
        <f t="shared" si="112"/>
        <v>1.4890882618674892E-2</v>
      </c>
      <c r="DY129">
        <f t="shared" si="113"/>
        <v>1.4905904096612146E-2</v>
      </c>
      <c r="DZ129">
        <f t="shared" si="114"/>
        <v>1.4912828082546459E-2</v>
      </c>
      <c r="EA129">
        <f t="shared" si="115"/>
        <v>1.4916594706884372E-2</v>
      </c>
      <c r="EB129">
        <f t="shared" si="116"/>
        <v>1.4919172818682193E-2</v>
      </c>
      <c r="EC129">
        <f t="shared" si="117"/>
        <v>1.4917116932091381E-2</v>
      </c>
      <c r="ED129">
        <f t="shared" si="118"/>
        <v>1.4905826062960524E-2</v>
      </c>
      <c r="EE129">
        <f t="shared" si="119"/>
        <v>1.48871940279886E-2</v>
      </c>
      <c r="EF129">
        <f t="shared" si="120"/>
        <v>1.4850554227257735E-2</v>
      </c>
      <c r="EG129">
        <f t="shared" si="121"/>
        <v>1.4790435301271498E-2</v>
      </c>
      <c r="EH129">
        <f t="shared" si="122"/>
        <v>1.4711834405027997E-2</v>
      </c>
      <c r="EI129">
        <f t="shared" si="123"/>
        <v>1.4630106160131029E-2</v>
      </c>
      <c r="EJ129">
        <f t="shared" si="124"/>
        <v>1.4548050774156102E-2</v>
      </c>
      <c r="EK129">
        <f t="shared" si="125"/>
        <v>1.4443965888069401E-2</v>
      </c>
      <c r="EL129">
        <f t="shared" si="126"/>
        <v>1.4310501332146982E-2</v>
      </c>
      <c r="EM129">
        <f t="shared" si="127"/>
        <v>1.4160715737858376E-2</v>
      </c>
      <c r="EN129">
        <f t="shared" si="128"/>
        <v>1.4013343184181465E-2</v>
      </c>
      <c r="EO129">
        <f t="shared" si="129"/>
        <v>1.3862639193839147E-2</v>
      </c>
      <c r="EP129">
        <f t="shared" si="130"/>
        <v>1.3742215261620498E-2</v>
      </c>
      <c r="EQ129">
        <f t="shared" si="131"/>
        <v>1.3670103163638805E-2</v>
      </c>
      <c r="ER129">
        <f t="shared" si="132"/>
        <v>1.3631494513851629E-2</v>
      </c>
      <c r="ES129">
        <f t="shared" si="133"/>
        <v>1.3584824387593029E-2</v>
      </c>
      <c r="ET129">
        <f t="shared" si="134"/>
        <v>1.3527895837440419E-2</v>
      </c>
      <c r="EU129">
        <f t="shared" si="135"/>
        <v>1.3501025249633779E-2</v>
      </c>
      <c r="EV129">
        <f t="shared" si="136"/>
        <v>1.3516713014904112E-2</v>
      </c>
      <c r="EW129">
        <f t="shared" si="137"/>
        <v>1.3552029244851698E-2</v>
      </c>
      <c r="EX129">
        <f t="shared" si="138"/>
        <v>1.3578095485787769E-2</v>
      </c>
      <c r="EY129">
        <f t="shared" si="139"/>
        <v>1.3608525608626094E-2</v>
      </c>
      <c r="EZ129">
        <f t="shared" si="140"/>
        <v>1.3565174913855726E-2</v>
      </c>
      <c r="FA129">
        <f t="shared" si="141"/>
        <v>1.3408699434587671E-2</v>
      </c>
      <c r="FB129">
        <f t="shared" si="142"/>
        <v>1.3176228182522573E-2</v>
      </c>
      <c r="FC129">
        <f t="shared" si="143"/>
        <v>1.2942367331199744E-2</v>
      </c>
      <c r="FD129">
        <f t="shared" si="144"/>
        <v>1.2689970486322377E-2</v>
      </c>
      <c r="FE129">
        <f t="shared" si="145"/>
        <v>1.2452273980892891E-2</v>
      </c>
      <c r="FF129">
        <f t="shared" si="146"/>
        <v>1.2252612878040593E-2</v>
      </c>
      <c r="FG129">
        <f t="shared" si="147"/>
        <v>1.2072328131144916E-2</v>
      </c>
      <c r="FH129">
        <f t="shared" si="148"/>
        <v>1.1860169638855909E-2</v>
      </c>
      <c r="FI129">
        <f t="shared" si="149"/>
        <v>1.1615279031005728E-2</v>
      </c>
      <c r="FJ129">
        <f t="shared" si="150"/>
        <v>1.138117207355086E-2</v>
      </c>
      <c r="FK129">
        <f t="shared" si="151"/>
        <v>1.1170763335834763E-2</v>
      </c>
      <c r="FL129">
        <f t="shared" si="152"/>
        <v>1.0960018453157834E-2</v>
      </c>
      <c r="FM129">
        <f t="shared" si="153"/>
        <v>1.0721520602152076E-2</v>
      </c>
      <c r="FN129">
        <f t="shared" si="154"/>
        <v>1.0472212089102366E-2</v>
      </c>
      <c r="FO129">
        <f t="shared" si="155"/>
        <v>1.0116207563930908E-2</v>
      </c>
      <c r="FP129">
        <f t="shared" si="156"/>
        <v>9.6066388149557563E-3</v>
      </c>
      <c r="FQ129">
        <f t="shared" si="157"/>
        <v>8.9906651794052928E-3</v>
      </c>
      <c r="FR129">
        <f t="shared" si="158"/>
        <v>8.3477219133365164E-3</v>
      </c>
      <c r="FS129">
        <f t="shared" si="159"/>
        <v>7.7638081034255629E-3</v>
      </c>
      <c r="FT129">
        <f t="shared" si="160"/>
        <v>7.1630360234699415E-3</v>
      </c>
      <c r="FU129">
        <f t="shared" si="161"/>
        <v>6.4583201182593988E-3</v>
      </c>
      <c r="FV129">
        <f t="shared" si="162"/>
        <v>5.6523495474806043E-3</v>
      </c>
      <c r="FW129">
        <f t="shared" si="163"/>
        <v>4.9529159202260182E-3</v>
      </c>
      <c r="FX129">
        <f t="shared" si="164"/>
        <v>4.5058101080800595E-3</v>
      </c>
      <c r="FY129">
        <f t="shared" si="165"/>
        <v>4.0144922297015977E-3</v>
      </c>
      <c r="FZ129">
        <f t="shared" si="166"/>
        <v>3.363955689071134E-3</v>
      </c>
      <c r="GA129">
        <f t="shared" si="167"/>
        <v>2.554200486188667E-3</v>
      </c>
      <c r="GB129">
        <f t="shared" si="168"/>
        <v>2.2329869644634906E-3</v>
      </c>
      <c r="GC129">
        <f t="shared" si="169"/>
        <v>1.762047874335568E-3</v>
      </c>
      <c r="GD129">
        <f t="shared" si="170"/>
        <v>1.2028017022200741E-3</v>
      </c>
      <c r="GE129">
        <f t="shared" si="171"/>
        <v>2.8276784221811738E-3</v>
      </c>
    </row>
    <row r="130" spans="1:187">
      <c r="A130" s="15">
        <v>2078</v>
      </c>
      <c r="B130" s="18">
        <v>4332.24</v>
      </c>
      <c r="C130" s="18">
        <v>4346.4889999999996</v>
      </c>
      <c r="D130" s="18">
        <v>4356.99</v>
      </c>
      <c r="E130" s="18">
        <v>4351.018</v>
      </c>
      <c r="F130" s="18">
        <v>4359.393</v>
      </c>
      <c r="G130" s="18">
        <v>4365.54</v>
      </c>
      <c r="H130" s="18">
        <v>4370.0789999999997</v>
      </c>
      <c r="I130" s="18">
        <v>4373.6350000000002</v>
      </c>
      <c r="J130" s="18">
        <v>4376.402</v>
      </c>
      <c r="K130" s="18">
        <v>4378.58</v>
      </c>
      <c r="L130" s="18">
        <v>4382.9160000000002</v>
      </c>
      <c r="M130" s="18">
        <v>4390.884</v>
      </c>
      <c r="N130" s="18">
        <v>4401.8310000000001</v>
      </c>
      <c r="O130" s="18">
        <v>4413.1379999999999</v>
      </c>
      <c r="P130" s="18">
        <v>4424.7430000000004</v>
      </c>
      <c r="Q130" s="18">
        <v>4440.7039999999997</v>
      </c>
      <c r="R130" s="18">
        <v>4462.5929999999998</v>
      </c>
      <c r="S130" s="18">
        <v>4488.5429999999997</v>
      </c>
      <c r="T130" s="18">
        <v>4514.9539999999997</v>
      </c>
      <c r="U130" s="18">
        <v>4542.3429999999998</v>
      </c>
      <c r="V130" s="18">
        <v>4569.2950000000001</v>
      </c>
      <c r="W130" s="18">
        <v>4594.6719999999996</v>
      </c>
      <c r="X130" s="18">
        <v>4618.9530000000004</v>
      </c>
      <c r="Y130" s="18">
        <v>4643.8140000000003</v>
      </c>
      <c r="Z130" s="18">
        <v>4668.9920000000002</v>
      </c>
      <c r="AA130" s="18">
        <v>4692.8630000000003</v>
      </c>
      <c r="AB130" s="18">
        <v>4714.8069999999998</v>
      </c>
      <c r="AC130" s="18">
        <v>4735.3379999999997</v>
      </c>
      <c r="AD130" s="18">
        <v>4755.4859999999999</v>
      </c>
      <c r="AE130" s="18">
        <v>4774.924</v>
      </c>
      <c r="AF130" s="18">
        <v>4794.2879999999996</v>
      </c>
      <c r="AG130" s="18">
        <v>4813.9589999999998</v>
      </c>
      <c r="AH130" s="18">
        <v>4833.5150000000003</v>
      </c>
      <c r="AI130" s="18">
        <v>4851.9920000000002</v>
      </c>
      <c r="AJ130" s="18">
        <v>4869.3909999999996</v>
      </c>
      <c r="AK130" s="18">
        <v>4886.0649999999996</v>
      </c>
      <c r="AL130" s="18">
        <v>4902.0290000000005</v>
      </c>
      <c r="AM130" s="18">
        <v>4917.009</v>
      </c>
      <c r="AN130" s="18">
        <v>4930.6279999999997</v>
      </c>
      <c r="AO130" s="18">
        <v>4942.8680000000004</v>
      </c>
      <c r="AP130" s="18">
        <v>4953.223</v>
      </c>
      <c r="AQ130" s="18">
        <v>4961.3670000000002</v>
      </c>
      <c r="AR130" s="18">
        <v>4967.3869999999997</v>
      </c>
      <c r="AS130" s="18">
        <v>4971.2539999999999</v>
      </c>
      <c r="AT130" s="18">
        <v>4972.4539999999997</v>
      </c>
      <c r="AU130" s="18">
        <v>4972.6000000000004</v>
      </c>
      <c r="AV130" s="18">
        <v>4972.3180000000002</v>
      </c>
      <c r="AW130" s="18">
        <v>4970.4690000000001</v>
      </c>
      <c r="AX130" s="18">
        <v>4965.5569999999998</v>
      </c>
      <c r="AY130" s="18">
        <v>4958.21</v>
      </c>
      <c r="AZ130" s="18">
        <v>4944.8119999999999</v>
      </c>
      <c r="BA130" s="18">
        <v>4923.5190000000002</v>
      </c>
      <c r="BB130" s="18">
        <v>4896.0169999999998</v>
      </c>
      <c r="BC130" s="18">
        <v>4867.4650000000001</v>
      </c>
      <c r="BD130" s="18">
        <v>4838.7759999999998</v>
      </c>
      <c r="BE130" s="18">
        <v>4802.7849999999999</v>
      </c>
      <c r="BF130" s="18">
        <v>4757.0709999999999</v>
      </c>
      <c r="BG130" s="18">
        <v>4705.95</v>
      </c>
      <c r="BH130" s="18">
        <v>4655.5780000000004</v>
      </c>
      <c r="BI130" s="18">
        <v>4604.0290000000005</v>
      </c>
      <c r="BJ130" s="18">
        <v>4562.5739999999996</v>
      </c>
      <c r="BK130" s="18">
        <v>4537.2309999999998</v>
      </c>
      <c r="BL130" s="18">
        <v>4523.0259999999998</v>
      </c>
      <c r="BM130" s="18">
        <v>4506.0320000000002</v>
      </c>
      <c r="BN130" s="18">
        <v>4485.5200000000004</v>
      </c>
      <c r="BO130" s="18">
        <v>4474.8670000000002</v>
      </c>
      <c r="BP130" s="18">
        <v>4478.1980000000003</v>
      </c>
      <c r="BQ130" s="18">
        <v>4487.8810000000003</v>
      </c>
      <c r="BR130" s="18">
        <v>4494.2719999999999</v>
      </c>
      <c r="BS130" s="18">
        <v>4501.8370000000004</v>
      </c>
      <c r="BT130" s="18">
        <v>4484.7830000000004</v>
      </c>
      <c r="BU130" s="18">
        <v>4430.098</v>
      </c>
      <c r="BV130" s="18">
        <v>4349.9799999999996</v>
      </c>
      <c r="BW130" s="18">
        <v>4268.9769999999999</v>
      </c>
      <c r="BX130" s="18">
        <v>4181.3829999999998</v>
      </c>
      <c r="BY130" s="18">
        <v>4098.1530000000002</v>
      </c>
      <c r="BZ130" s="18">
        <v>4026.953</v>
      </c>
      <c r="CA130" s="18">
        <v>3961.567</v>
      </c>
      <c r="CB130" s="18">
        <v>3885.2440000000001</v>
      </c>
      <c r="CC130" s="18">
        <v>3797.8980000000001</v>
      </c>
      <c r="CD130" s="18">
        <v>3712.65</v>
      </c>
      <c r="CE130" s="18">
        <v>3633.2440000000001</v>
      </c>
      <c r="CF130" s="18">
        <v>3552.4090000000001</v>
      </c>
      <c r="CG130" s="18">
        <v>3462.5619999999999</v>
      </c>
      <c r="CH130" s="18">
        <v>3369.3389999999999</v>
      </c>
      <c r="CI130" s="18">
        <v>3240.5920000000001</v>
      </c>
      <c r="CJ130" s="18">
        <v>3060.864</v>
      </c>
      <c r="CK130" s="18">
        <v>2846.1770000000001</v>
      </c>
      <c r="CL130" s="18">
        <v>2619.5720000000001</v>
      </c>
      <c r="CM130" s="18">
        <v>2425.9920000000002</v>
      </c>
      <c r="CN130" s="18">
        <v>2228.2689999999998</v>
      </c>
      <c r="CO130" s="18">
        <v>1981.134</v>
      </c>
      <c r="CP130" s="18">
        <v>1685.183</v>
      </c>
      <c r="CQ130" s="18">
        <v>1452.2180000000001</v>
      </c>
      <c r="CR130" s="18">
        <v>1318.3820000000001</v>
      </c>
      <c r="CS130" s="18">
        <v>1163.2280000000001</v>
      </c>
      <c r="CT130" s="18">
        <v>961.20699999999999</v>
      </c>
      <c r="CU130" s="18">
        <v>712.32</v>
      </c>
      <c r="CV130" s="18">
        <v>604.35500000000002</v>
      </c>
      <c r="CW130" s="18">
        <v>411.27600000000001</v>
      </c>
      <c r="CX130" s="18">
        <v>961.35</v>
      </c>
      <c r="CY130" s="3">
        <f t="shared" si="172"/>
        <v>413183.54099999991</v>
      </c>
      <c r="CZ130" s="21">
        <f t="shared" si="88"/>
        <v>334167.82299999992</v>
      </c>
      <c r="DA130">
        <f t="shared" si="89"/>
        <v>1.3511037536369864E-2</v>
      </c>
      <c r="DB130">
        <f t="shared" si="90"/>
        <v>1.3592999347516475E-2</v>
      </c>
      <c r="DC130">
        <f t="shared" si="91"/>
        <v>1.3673653432514959E-2</v>
      </c>
      <c r="DD130">
        <f t="shared" si="92"/>
        <v>1.3749594316865154E-2</v>
      </c>
      <c r="DE130">
        <f t="shared" si="93"/>
        <v>1.3822255412065816E-2</v>
      </c>
      <c r="DF130">
        <f t="shared" si="94"/>
        <v>1.3896652162108383E-2</v>
      </c>
      <c r="DG130">
        <f t="shared" si="95"/>
        <v>1.3971997537297304E-2</v>
      </c>
      <c r="DH130">
        <f t="shared" si="96"/>
        <v>1.4043431704075234E-2</v>
      </c>
      <c r="DI130">
        <f t="shared" si="97"/>
        <v>1.4109099307266341E-2</v>
      </c>
      <c r="DJ130">
        <f t="shared" si="98"/>
        <v>1.4170538496161556E-2</v>
      </c>
      <c r="DK130">
        <f t="shared" si="99"/>
        <v>1.4230831554359443E-2</v>
      </c>
      <c r="DL130">
        <f t="shared" si="100"/>
        <v>1.4288999931630166E-2</v>
      </c>
      <c r="DM130">
        <f t="shared" si="101"/>
        <v>1.4346946863283125E-2</v>
      </c>
      <c r="DN130">
        <f t="shared" si="102"/>
        <v>1.4405812494998961E-2</v>
      </c>
      <c r="DO130">
        <f t="shared" si="103"/>
        <v>1.4464333988254762E-2</v>
      </c>
      <c r="DP130">
        <f t="shared" si="104"/>
        <v>1.4519626565002943E-2</v>
      </c>
      <c r="DQ130">
        <f t="shared" si="105"/>
        <v>1.457169321775185E-2</v>
      </c>
      <c r="DR130">
        <f t="shared" si="106"/>
        <v>1.4621590301948375E-2</v>
      </c>
      <c r="DS130">
        <f t="shared" si="107"/>
        <v>1.4669362705217737E-2</v>
      </c>
      <c r="DT130">
        <f t="shared" si="108"/>
        <v>1.4714190480272546E-2</v>
      </c>
      <c r="DU130">
        <f t="shared" si="109"/>
        <v>1.4754945451465568E-2</v>
      </c>
      <c r="DV130">
        <f t="shared" si="110"/>
        <v>1.4791573753646536E-2</v>
      </c>
      <c r="DW130">
        <f t="shared" si="111"/>
        <v>1.4822561177591301E-2</v>
      </c>
      <c r="DX130">
        <f t="shared" si="112"/>
        <v>1.4846932165578376E-2</v>
      </c>
      <c r="DY130">
        <f t="shared" si="113"/>
        <v>1.4864947065834046E-2</v>
      </c>
      <c r="DZ130">
        <f t="shared" si="114"/>
        <v>1.4876519095616221E-2</v>
      </c>
      <c r="EA130">
        <f t="shared" si="115"/>
        <v>1.4880110105633962E-2</v>
      </c>
      <c r="EB130">
        <f t="shared" si="116"/>
        <v>1.4880547011852789E-2</v>
      </c>
      <c r="EC130">
        <f t="shared" si="117"/>
        <v>1.4879703124498619E-2</v>
      </c>
      <c r="ED130">
        <f t="shared" si="118"/>
        <v>1.4874169976562948E-2</v>
      </c>
      <c r="EE130">
        <f t="shared" si="119"/>
        <v>1.485947077555699E-2</v>
      </c>
      <c r="EF130">
        <f t="shared" si="120"/>
        <v>1.4837484816723366E-2</v>
      </c>
      <c r="EG130">
        <f t="shared" si="121"/>
        <v>1.4797391189875277E-2</v>
      </c>
      <c r="EH130">
        <f t="shared" si="122"/>
        <v>1.4733671709618796E-2</v>
      </c>
      <c r="EI130">
        <f t="shared" si="123"/>
        <v>1.4651371745028847E-2</v>
      </c>
      <c r="EJ130">
        <f t="shared" si="124"/>
        <v>1.4565929646673376E-2</v>
      </c>
      <c r="EK130">
        <f t="shared" si="125"/>
        <v>1.4480077574674212E-2</v>
      </c>
      <c r="EL130">
        <f t="shared" si="126"/>
        <v>1.4372374206717088E-2</v>
      </c>
      <c r="EM130">
        <f t="shared" si="127"/>
        <v>1.423557468009121E-2</v>
      </c>
      <c r="EN130">
        <f t="shared" si="128"/>
        <v>1.4082594660827057E-2</v>
      </c>
      <c r="EO130">
        <f t="shared" si="129"/>
        <v>1.3931856030315647E-2</v>
      </c>
      <c r="EP130">
        <f t="shared" si="130"/>
        <v>1.3777595217478499E-2</v>
      </c>
      <c r="EQ130">
        <f t="shared" si="131"/>
        <v>1.3653540783907256E-2</v>
      </c>
      <c r="ER130">
        <f t="shared" si="132"/>
        <v>1.3577701644840895E-2</v>
      </c>
      <c r="ES130">
        <f t="shared" si="133"/>
        <v>1.3535193063755875E-2</v>
      </c>
      <c r="ET130">
        <f t="shared" si="134"/>
        <v>1.3484338376887955E-2</v>
      </c>
      <c r="EU130">
        <f t="shared" si="135"/>
        <v>1.3422956045651354E-2</v>
      </c>
      <c r="EV130">
        <f t="shared" si="136"/>
        <v>1.339107685421885E-2</v>
      </c>
      <c r="EW130">
        <f t="shared" si="137"/>
        <v>1.3401044899526432E-2</v>
      </c>
      <c r="EX130">
        <f t="shared" si="138"/>
        <v>1.343002135786126E-2</v>
      </c>
      <c r="EY130">
        <f t="shared" si="139"/>
        <v>1.3449146478714083E-2</v>
      </c>
      <c r="EZ130">
        <f t="shared" si="140"/>
        <v>1.3471784804367599E-2</v>
      </c>
      <c r="FA130">
        <f t="shared" si="141"/>
        <v>1.342075056699879E-2</v>
      </c>
      <c r="FB130">
        <f t="shared" si="142"/>
        <v>1.3257105247981944E-2</v>
      </c>
      <c r="FC130">
        <f t="shared" si="143"/>
        <v>1.3017351464147404E-2</v>
      </c>
      <c r="FD130">
        <f t="shared" si="144"/>
        <v>1.2774949310424784E-2</v>
      </c>
      <c r="FE130">
        <f t="shared" si="145"/>
        <v>1.2512823534179714E-2</v>
      </c>
      <c r="FF130">
        <f t="shared" si="146"/>
        <v>1.2263757064365832E-2</v>
      </c>
      <c r="FG130">
        <f t="shared" si="147"/>
        <v>1.2050690469979813E-2</v>
      </c>
      <c r="FH130">
        <f t="shared" si="148"/>
        <v>1.1855022319129754E-2</v>
      </c>
      <c r="FI130">
        <f t="shared" si="149"/>
        <v>1.1626625104476325E-2</v>
      </c>
      <c r="FJ130">
        <f t="shared" si="150"/>
        <v>1.1365241470301589E-2</v>
      </c>
      <c r="FK130">
        <f t="shared" si="151"/>
        <v>1.1110136118641204E-2</v>
      </c>
      <c r="FL130">
        <f t="shared" si="152"/>
        <v>1.0872513000750527E-2</v>
      </c>
      <c r="FM130">
        <f t="shared" si="153"/>
        <v>1.0630613588430388E-2</v>
      </c>
      <c r="FN130">
        <f t="shared" si="154"/>
        <v>1.0361745690877009E-2</v>
      </c>
      <c r="FO130">
        <f t="shared" si="155"/>
        <v>1.0082775085140381E-2</v>
      </c>
      <c r="FP130">
        <f t="shared" si="156"/>
        <v>9.6974986128452022E-3</v>
      </c>
      <c r="FQ130">
        <f t="shared" si="157"/>
        <v>9.159661072454606E-3</v>
      </c>
      <c r="FR130">
        <f t="shared" si="158"/>
        <v>8.5172084327221446E-3</v>
      </c>
      <c r="FS130">
        <f t="shared" si="159"/>
        <v>7.8390910784968092E-3</v>
      </c>
      <c r="FT130">
        <f t="shared" si="160"/>
        <v>7.2598013124680789E-3</v>
      </c>
      <c r="FU130">
        <f t="shared" si="161"/>
        <v>6.6681135843530944E-3</v>
      </c>
      <c r="FV130">
        <f t="shared" si="162"/>
        <v>5.9285600337408923E-3</v>
      </c>
      <c r="FW130">
        <f t="shared" si="163"/>
        <v>5.0429241956069489E-3</v>
      </c>
      <c r="FX130">
        <f t="shared" si="164"/>
        <v>4.3457744882875824E-3</v>
      </c>
      <c r="FY130">
        <f t="shared" si="165"/>
        <v>3.9452691410088291E-3</v>
      </c>
      <c r="FZ130">
        <f t="shared" si="166"/>
        <v>3.4809695007648905E-3</v>
      </c>
      <c r="GA130">
        <f t="shared" si="167"/>
        <v>2.8764199717696945E-3</v>
      </c>
      <c r="GB130">
        <f t="shared" si="168"/>
        <v>2.1316235465315887E-3</v>
      </c>
      <c r="GC130">
        <f t="shared" si="169"/>
        <v>1.8085373827270023E-3</v>
      </c>
      <c r="GD130">
        <f t="shared" si="170"/>
        <v>1.2307468633806797E-3</v>
      </c>
      <c r="GE130">
        <f t="shared" si="171"/>
        <v>2.8768479004634756E-3</v>
      </c>
    </row>
    <row r="131" spans="1:187">
      <c r="A131" s="15">
        <v>2079</v>
      </c>
      <c r="B131" s="18">
        <v>4338.2240000000002</v>
      </c>
      <c r="C131" s="18">
        <v>4350.2529999999997</v>
      </c>
      <c r="D131" s="18">
        <v>4358.9589999999998</v>
      </c>
      <c r="E131" s="18">
        <v>4364.915</v>
      </c>
      <c r="F131" s="18">
        <v>4360.8919999999998</v>
      </c>
      <c r="G131" s="18">
        <v>4365.3509999999997</v>
      </c>
      <c r="H131" s="18">
        <v>4368.5720000000001</v>
      </c>
      <c r="I131" s="18">
        <v>4371.1459999999997</v>
      </c>
      <c r="J131" s="18">
        <v>4373.6639999999998</v>
      </c>
      <c r="K131" s="18">
        <v>4376.1490000000003</v>
      </c>
      <c r="L131" s="18">
        <v>4378.6270000000004</v>
      </c>
      <c r="M131" s="18">
        <v>4384.5219999999999</v>
      </c>
      <c r="N131" s="18">
        <v>4395.5590000000002</v>
      </c>
      <c r="O131" s="18">
        <v>4410.6270000000004</v>
      </c>
      <c r="P131" s="18">
        <v>4426.2439999999997</v>
      </c>
      <c r="Q131" s="18">
        <v>4442.3239999999996</v>
      </c>
      <c r="R131" s="18">
        <v>4462.8320000000003</v>
      </c>
      <c r="S131" s="18">
        <v>4489.1419999999998</v>
      </c>
      <c r="T131" s="18">
        <v>4519.2520000000004</v>
      </c>
      <c r="U131" s="18">
        <v>4549.7389999999996</v>
      </c>
      <c r="V131" s="18">
        <v>4581.22</v>
      </c>
      <c r="W131" s="18">
        <v>4610.7359999999999</v>
      </c>
      <c r="X131" s="18">
        <v>4636.4399999999996</v>
      </c>
      <c r="Y131" s="18">
        <v>4659.4750000000004</v>
      </c>
      <c r="Z131" s="18">
        <v>4682.96</v>
      </c>
      <c r="AA131" s="18">
        <v>4706.4269999999997</v>
      </c>
      <c r="AB131" s="18">
        <v>4728.2969999999996</v>
      </c>
      <c r="AC131" s="18">
        <v>4748.1459999999997</v>
      </c>
      <c r="AD131" s="18">
        <v>4766.4759999999997</v>
      </c>
      <c r="AE131" s="18">
        <v>4784.1260000000002</v>
      </c>
      <c r="AF131" s="18">
        <v>4800.8159999999998</v>
      </c>
      <c r="AG131" s="18">
        <v>4817.6210000000001</v>
      </c>
      <c r="AH131" s="18">
        <v>4835.1270000000004</v>
      </c>
      <c r="AI131" s="18">
        <v>4852.7879999999996</v>
      </c>
      <c r="AJ131" s="18">
        <v>4869.3050000000003</v>
      </c>
      <c r="AK131" s="18">
        <v>4884.7330000000002</v>
      </c>
      <c r="AL131" s="18">
        <v>4899.5889999999999</v>
      </c>
      <c r="AM131" s="18">
        <v>4913.9319999999998</v>
      </c>
      <c r="AN131" s="18">
        <v>4927.4409999999998</v>
      </c>
      <c r="AO131" s="18">
        <v>4939.6409999999996</v>
      </c>
      <c r="AP131" s="18">
        <v>4950.518</v>
      </c>
      <c r="AQ131" s="18">
        <v>4959.58</v>
      </c>
      <c r="AR131" s="18">
        <v>4966.4960000000001</v>
      </c>
      <c r="AS131" s="18">
        <v>4971.3370000000004</v>
      </c>
      <c r="AT131" s="18">
        <v>4974.0630000000001</v>
      </c>
      <c r="AU131" s="18">
        <v>4974.1589999999997</v>
      </c>
      <c r="AV131" s="18">
        <v>4973.1940000000004</v>
      </c>
      <c r="AW131" s="18">
        <v>4971.7709999999997</v>
      </c>
      <c r="AX131" s="18">
        <v>4968.76</v>
      </c>
      <c r="AY131" s="18">
        <v>4962.7</v>
      </c>
      <c r="AZ131" s="18">
        <v>4954.2169999999996</v>
      </c>
      <c r="BA131" s="18">
        <v>4939.6369999999997</v>
      </c>
      <c r="BB131" s="18">
        <v>4917.0879999999997</v>
      </c>
      <c r="BC131" s="18">
        <v>4888.2860000000001</v>
      </c>
      <c r="BD131" s="18">
        <v>4858.424</v>
      </c>
      <c r="BE131" s="18">
        <v>4828.3980000000001</v>
      </c>
      <c r="BF131" s="18">
        <v>4791.1080000000002</v>
      </c>
      <c r="BG131" s="18">
        <v>4744.1679999999997</v>
      </c>
      <c r="BH131" s="18">
        <v>4691.8540000000003</v>
      </c>
      <c r="BI131" s="18">
        <v>4640.232</v>
      </c>
      <c r="BJ131" s="18">
        <v>4587.3689999999997</v>
      </c>
      <c r="BK131" s="18">
        <v>4544.5969999999998</v>
      </c>
      <c r="BL131" s="18">
        <v>4517.951</v>
      </c>
      <c r="BM131" s="18">
        <v>4502.4089999999997</v>
      </c>
      <c r="BN131" s="18">
        <v>4483.9790000000003</v>
      </c>
      <c r="BO131" s="18">
        <v>4461.9319999999998</v>
      </c>
      <c r="BP131" s="18">
        <v>4449.5820000000003</v>
      </c>
      <c r="BQ131" s="18">
        <v>4451.0159999999996</v>
      </c>
      <c r="BR131" s="18">
        <v>4458.6099999999997</v>
      </c>
      <c r="BS131" s="18">
        <v>4462.7070000000003</v>
      </c>
      <c r="BT131" s="18">
        <v>4467.6940000000004</v>
      </c>
      <c r="BU131" s="18">
        <v>4448.0389999999998</v>
      </c>
      <c r="BV131" s="18">
        <v>4390.826</v>
      </c>
      <c r="BW131" s="18">
        <v>4308.0780000000004</v>
      </c>
      <c r="BX131" s="18">
        <v>4224.0240000000003</v>
      </c>
      <c r="BY131" s="18">
        <v>4132.9669999999996</v>
      </c>
      <c r="BZ131" s="18">
        <v>4045.739</v>
      </c>
      <c r="CA131" s="18">
        <v>3969.8939999999998</v>
      </c>
      <c r="CB131" s="18">
        <v>3899.2190000000001</v>
      </c>
      <c r="CC131" s="18">
        <v>3817.2950000000001</v>
      </c>
      <c r="CD131" s="18">
        <v>3724.23</v>
      </c>
      <c r="CE131" s="18">
        <v>3631.7739999999999</v>
      </c>
      <c r="CF131" s="18">
        <v>3543.1</v>
      </c>
      <c r="CG131" s="18">
        <v>3451.6819999999998</v>
      </c>
      <c r="CH131" s="18">
        <v>3351.4920000000002</v>
      </c>
      <c r="CI131" s="18">
        <v>3248.1489999999999</v>
      </c>
      <c r="CJ131" s="18">
        <v>3109.326</v>
      </c>
      <c r="CK131" s="18">
        <v>2919.7249999999999</v>
      </c>
      <c r="CL131" s="18">
        <v>2695.674</v>
      </c>
      <c r="CM131" s="18">
        <v>2456.777</v>
      </c>
      <c r="CN131" s="18">
        <v>2264.248</v>
      </c>
      <c r="CO131" s="18">
        <v>2069.0509999999999</v>
      </c>
      <c r="CP131" s="18">
        <v>1809.684</v>
      </c>
      <c r="CQ131" s="18">
        <v>1486.4480000000001</v>
      </c>
      <c r="CR131" s="18">
        <v>1253.652</v>
      </c>
      <c r="CS131" s="18">
        <v>1135.001</v>
      </c>
      <c r="CT131" s="18">
        <v>988.45299999999997</v>
      </c>
      <c r="CU131" s="18">
        <v>801.23900000000003</v>
      </c>
      <c r="CV131" s="18">
        <v>573.36</v>
      </c>
      <c r="CW131" s="18">
        <v>422.49900000000002</v>
      </c>
      <c r="CX131" s="18">
        <v>982.65099999999995</v>
      </c>
      <c r="CY131" s="3">
        <f t="shared" si="172"/>
        <v>414200.42099999974</v>
      </c>
      <c r="CZ131" s="21">
        <f t="shared" ref="CZ131:CZ152" si="173">SUM(T131:CX131)</f>
        <v>335182.4189999997</v>
      </c>
      <c r="DA131">
        <f t="shared" ref="DA131:DA151" si="174">T131/$CZ131</f>
        <v>1.3482962541660051E-2</v>
      </c>
      <c r="DB131">
        <f t="shared" ref="DB131:DB152" si="175">U131/$CZ131</f>
        <v>1.3573918982904659E-2</v>
      </c>
      <c r="DC131">
        <f t="shared" ref="DC131:DC151" si="176">V131/$CZ131</f>
        <v>1.3667840973484962E-2</v>
      </c>
      <c r="DD131">
        <f t="shared" ref="DD131:DD152" si="177">W131/$CZ131</f>
        <v>1.3755900484744708E-2</v>
      </c>
      <c r="DE131">
        <f t="shared" ref="DE131:DE152" si="178">X131/$CZ131</f>
        <v>1.383258708446759E-2</v>
      </c>
      <c r="DF131">
        <f t="shared" ref="DF131:DF152" si="179">Y131/$CZ131</f>
        <v>1.3901310856044643E-2</v>
      </c>
      <c r="DG131">
        <f t="shared" ref="DG131:DG152" si="180">Z131/$CZ131</f>
        <v>1.3971377180137853E-2</v>
      </c>
      <c r="DH131">
        <f t="shared" ref="DH131:DH152" si="181">AA131/$CZ131</f>
        <v>1.4041389802130416E-2</v>
      </c>
      <c r="DI131">
        <f t="shared" ref="DI131:DI152" si="182">AB131/$CZ131</f>
        <v>1.4106637854415639E-2</v>
      </c>
      <c r="DJ131">
        <f t="shared" ref="DJ131:DJ152" si="183">AC131/$CZ131</f>
        <v>1.4165856354178302E-2</v>
      </c>
      <c r="DK131">
        <f t="shared" ref="DK131:DK152" si="184">AD131/$CZ131</f>
        <v>1.4220542993336424E-2</v>
      </c>
      <c r="DL131">
        <f t="shared" ref="DL131:DL152" si="185">AE131/$CZ131</f>
        <v>1.4273200886470135E-2</v>
      </c>
      <c r="DM131">
        <f t="shared" ref="DM131:DM152" si="186">AF131/$CZ131</f>
        <v>1.4322994667569375E-2</v>
      </c>
      <c r="DN131">
        <f t="shared" ref="DN131:DN152" si="187">AG131/$CZ131</f>
        <v>1.4373131545422746E-2</v>
      </c>
      <c r="DO131">
        <f t="shared" ref="DO131:DO152" si="188">AH131/$CZ131</f>
        <v>1.4425359821751286E-2</v>
      </c>
      <c r="DP131">
        <f t="shared" ref="DP131:DP152" si="189">AI131/$CZ131</f>
        <v>1.4478050532835386E-2</v>
      </c>
      <c r="DQ131">
        <f t="shared" ref="DQ131:DQ152" si="190">AJ131/$CZ131</f>
        <v>1.4527328177078419E-2</v>
      </c>
      <c r="DR131">
        <f t="shared" ref="DR131:DR152" si="191">AK131/$CZ131</f>
        <v>1.4573356844232348E-2</v>
      </c>
      <c r="DS131">
        <f t="shared" ref="DS131:DS152" si="192">AL131/$CZ131</f>
        <v>1.461767897796574E-2</v>
      </c>
      <c r="DT131">
        <f t="shared" ref="DT131:DT152" si="193">AM131/$CZ131</f>
        <v>1.4660470601830712E-2</v>
      </c>
      <c r="DU131">
        <f t="shared" ref="DU131:DU152" si="194">AN131/$CZ131</f>
        <v>1.4700774028365742E-2</v>
      </c>
      <c r="DV131">
        <f t="shared" ref="DV131:DV152" si="195">AO131/$CZ131</f>
        <v>1.4737172118803772E-2</v>
      </c>
      <c r="DW131">
        <f t="shared" ref="DW131:DW152" si="196">AP131/$CZ131</f>
        <v>1.4769623104844304E-2</v>
      </c>
      <c r="DX131">
        <f t="shared" ref="DX131:DX152" si="197">AQ131/$CZ131</f>
        <v>1.4796659129069667E-2</v>
      </c>
      <c r="DY131">
        <f t="shared" ref="DY131:DY152" si="198">AR131/$CZ131</f>
        <v>1.4817292669517982E-2</v>
      </c>
      <c r="DZ131">
        <f t="shared" ref="DZ131:DZ152" si="199">AS131/$CZ131</f>
        <v>1.4831735551141794E-2</v>
      </c>
      <c r="EA131">
        <f t="shared" ref="EA131:EA152" si="200">AT131/$CZ131</f>
        <v>1.4839868435939669E-2</v>
      </c>
      <c r="EB131">
        <f t="shared" ref="EB131:EB152" si="201">AU131/$CZ131</f>
        <v>1.4840154847143114E-2</v>
      </c>
      <c r="EC131">
        <f t="shared" ref="EC131:EC152" si="202">AV131/$CZ131</f>
        <v>1.4837275817858469E-2</v>
      </c>
      <c r="ED131">
        <f t="shared" ref="ED131:ED152" si="203">AW131/$CZ131</f>
        <v>1.4833030368457375E-2</v>
      </c>
      <c r="EE131">
        <f t="shared" ref="EE131:EE152" si="204">AX131/$CZ131</f>
        <v>1.4824047200399268E-2</v>
      </c>
      <c r="EF131">
        <f t="shared" ref="EF131:EF152" si="205">AY131/$CZ131</f>
        <v>1.4805967493181688E-2</v>
      </c>
      <c r="EG131">
        <f t="shared" ref="EG131:EG152" si="206">AZ131/$CZ131</f>
        <v>1.4780658886527112E-2</v>
      </c>
      <c r="EH131">
        <f t="shared" ref="EH131:EH152" si="207">BA131/$CZ131</f>
        <v>1.473716018500363E-2</v>
      </c>
      <c r="EI131">
        <f t="shared" ref="EI131:EI152" si="208">BB131/$CZ131</f>
        <v>1.4669886370144027E-2</v>
      </c>
      <c r="EJ131">
        <f t="shared" ref="EJ131:EJ152" si="209">BC131/$CZ131</f>
        <v>1.4583957042209914E-2</v>
      </c>
      <c r="EK131">
        <f t="shared" ref="EK131:EK152" si="210">BD131/$CZ131</f>
        <v>1.4494865257237744E-2</v>
      </c>
      <c r="EL131">
        <f t="shared" ref="EL131:EL152" si="211">BE131/$CZ131</f>
        <v>1.4405284186459685E-2</v>
      </c>
      <c r="EM131">
        <f t="shared" ref="EM131:EM152" si="212">BF131/$CZ131</f>
        <v>1.4294031334620819E-2</v>
      </c>
      <c r="EN131">
        <f t="shared" ref="EN131:EN152" si="213">BG131/$CZ131</f>
        <v>1.4153988189935475E-2</v>
      </c>
      <c r="EO131">
        <f t="shared" ref="EO131:EO152" si="214">BH131/$CZ131</f>
        <v>1.3997911984757186E-2</v>
      </c>
      <c r="EP131">
        <f t="shared" ref="EP131:EP152" si="215">BI131/$CZ131</f>
        <v>1.3843900327003739E-2</v>
      </c>
      <c r="EQ131">
        <f t="shared" ref="EQ131:EQ152" si="216">BJ131/$CZ131</f>
        <v>1.3686186207755734E-2</v>
      </c>
      <c r="ER131">
        <f t="shared" ref="ER131:ER152" si="217">BK131/$CZ131</f>
        <v>1.3558578082820041E-2</v>
      </c>
      <c r="ES131">
        <f t="shared" ref="ES131:ES152" si="218">BL131/$CZ131</f>
        <v>1.3479081073163339E-2</v>
      </c>
      <c r="ET131">
        <f t="shared" ref="ET131:ET152" si="219">BM131/$CZ131</f>
        <v>1.3432712292705316E-2</v>
      </c>
      <c r="EU131">
        <f t="shared" ref="EU131:EU152" si="220">BN131/$CZ131</f>
        <v>1.3377727308543603E-2</v>
      </c>
      <c r="EV131">
        <f t="shared" ref="EV131:EV152" si="221">BO131/$CZ131</f>
        <v>1.3311951185602022E-2</v>
      </c>
      <c r="EW131">
        <f t="shared" ref="EW131:EW152" si="222">BP131/$CZ131</f>
        <v>1.3275105577658607E-2</v>
      </c>
      <c r="EX131">
        <f t="shared" ref="EX131:EX152" si="223">BQ131/$CZ131</f>
        <v>1.3279383845010092E-2</v>
      </c>
      <c r="EY131">
        <f t="shared" ref="EY131:EY152" si="224">BR131/$CZ131</f>
        <v>1.3302040164582748E-2</v>
      </c>
      <c r="EZ131">
        <f t="shared" ref="EZ131:EZ152" si="225">BS131/$CZ131</f>
        <v>1.331426335937985E-2</v>
      </c>
      <c r="FA131">
        <f t="shared" ref="FA131:FA152" si="226">BT131/$CZ131</f>
        <v>1.3329141824708905E-2</v>
      </c>
      <c r="FB131">
        <f t="shared" ref="FB131:FB152" si="227">BU131/$CZ131</f>
        <v>1.3270502114253206E-2</v>
      </c>
      <c r="FC131">
        <f t="shared" ref="FC131:FC152" si="228">BV131/$CZ131</f>
        <v>1.3099809987349021E-2</v>
      </c>
      <c r="FD131">
        <f t="shared" ref="FD131:FD152" si="229">BW131/$CZ131</f>
        <v>1.2852935463778022E-2</v>
      </c>
      <c r="FE131">
        <f t="shared" ref="FE131:FE152" si="230">BX131/$CZ131</f>
        <v>1.2602164554460131E-2</v>
      </c>
      <c r="FF131">
        <f t="shared" ref="FF131:FF152" si="231">BY131/$CZ131</f>
        <v>1.2330500544540803E-2</v>
      </c>
      <c r="FG131">
        <f t="shared" ref="FG131:FG152" si="232">BZ131/$CZ131</f>
        <v>1.2070260164808954E-2</v>
      </c>
      <c r="FH131">
        <f t="shared" ref="FH131:FH152" si="233">CA131/$CZ131</f>
        <v>1.1843980396835799E-2</v>
      </c>
      <c r="FI131">
        <f t="shared" ref="FI131:FI152" si="234">CB131/$CZ131</f>
        <v>1.1633125065548273E-2</v>
      </c>
      <c r="FJ131">
        <f t="shared" ref="FJ131:FJ152" si="235">CC131/$CZ131</f>
        <v>1.1388708904806859E-2</v>
      </c>
      <c r="FK131">
        <f t="shared" ref="FK131:FK152" si="236">CD131/$CZ131</f>
        <v>1.1111054127215435E-2</v>
      </c>
      <c r="FL131">
        <f t="shared" ref="FL131:FL152" si="237">CE131/$CZ131</f>
        <v>1.0835216270695877E-2</v>
      </c>
      <c r="FM131">
        <f t="shared" ref="FM131:FM152" si="238">CF131/$CZ131</f>
        <v>1.0570661822212109E-2</v>
      </c>
      <c r="FN131">
        <f t="shared" ref="FN131:FN152" si="239">CG131/$CZ131</f>
        <v>1.0297920786829822E-2</v>
      </c>
      <c r="FO131">
        <f t="shared" ref="FO131:FO152" si="240">CH131/$CZ131</f>
        <v>9.9990089277325819E-3</v>
      </c>
      <c r="FP131">
        <f t="shared" ref="FP131:FP152" si="241">CI131/$CZ131</f>
        <v>9.6906902506721359E-3</v>
      </c>
      <c r="FQ131">
        <f t="shared" ref="FQ131:FQ152" si="242">CJ131/$CZ131</f>
        <v>9.2765187663378101E-3</v>
      </c>
      <c r="FR131">
        <f t="shared" ref="FR131:FR152" si="243">CK131/$CZ131</f>
        <v>8.7108536560803404E-3</v>
      </c>
      <c r="FS131">
        <f t="shared" ref="FS131:FS152" si="244">CL131/$CZ131</f>
        <v>8.0424086920859728E-3</v>
      </c>
      <c r="FT131">
        <f t="shared" ref="FT131:FT152" si="245">CM131/$CZ131</f>
        <v>7.3296714288585713E-3</v>
      </c>
      <c r="FU131">
        <f t="shared" ref="FU131:FU152" si="246">CN131/$CZ131</f>
        <v>6.7552707768959745E-3</v>
      </c>
      <c r="FV131">
        <f t="shared" ref="FV131:FV152" si="247">CO131/$CZ131</f>
        <v>6.1729102802375851E-3</v>
      </c>
      <c r="FW131">
        <f t="shared" ref="FW131:FW152" si="248">CP131/$CZ131</f>
        <v>5.3991017947752256E-3</v>
      </c>
      <c r="FX131">
        <f t="shared" ref="FX131:FX152" si="249">CQ131/$CZ131</f>
        <v>4.4347433389697009E-3</v>
      </c>
      <c r="FY131">
        <f t="shared" ref="FY131:FY152" si="250">CR131/$CZ131</f>
        <v>3.7402081044113507E-3</v>
      </c>
      <c r="FZ131">
        <f t="shared" ref="FZ131:FZ152" si="251">CS131/$CZ131</f>
        <v>3.3862187742012832E-3</v>
      </c>
      <c r="GA131">
        <f t="shared" ref="GA131:GA152" si="252">CT131/$CZ131</f>
        <v>2.9490001383395974E-3</v>
      </c>
      <c r="GB131">
        <f t="shared" ref="GB131:GB152" si="253">CU131/$CZ131</f>
        <v>2.3904565233178318E-3</v>
      </c>
      <c r="GC131">
        <f t="shared" ref="GC131:GC152" si="254">CV131/$CZ131</f>
        <v>1.7105909125860223E-3</v>
      </c>
      <c r="GD131">
        <f t="shared" ref="GD131:GD152" si="255">CW131/$CZ131</f>
        <v>1.2605046567194815E-3</v>
      </c>
      <c r="GE131">
        <f t="shared" ref="GE131:GE152" si="256">CX131/$CZ131</f>
        <v>2.9316901612312812E-3</v>
      </c>
    </row>
    <row r="132" spans="1:187">
      <c r="A132" s="15">
        <v>2080</v>
      </c>
      <c r="B132" s="18">
        <v>4342.6059999999998</v>
      </c>
      <c r="C132" s="18">
        <v>4352.7759999999998</v>
      </c>
      <c r="D132" s="18">
        <v>4359.9030000000002</v>
      </c>
      <c r="E132" s="18">
        <v>4364.5460000000003</v>
      </c>
      <c r="F132" s="18">
        <v>4367.2629999999999</v>
      </c>
      <c r="G132" s="18">
        <v>4368.616</v>
      </c>
      <c r="H132" s="18">
        <v>4369.1610000000001</v>
      </c>
      <c r="I132" s="18">
        <v>4369.4589999999998</v>
      </c>
      <c r="J132" s="18">
        <v>4370.0680000000002</v>
      </c>
      <c r="K132" s="18">
        <v>4371.549</v>
      </c>
      <c r="L132" s="18">
        <v>4373.7520000000004</v>
      </c>
      <c r="M132" s="18">
        <v>4376.5280000000002</v>
      </c>
      <c r="N132" s="18">
        <v>4383.9769999999999</v>
      </c>
      <c r="O132" s="18">
        <v>4398.0730000000003</v>
      </c>
      <c r="P132" s="18">
        <v>4417.2520000000004</v>
      </c>
      <c r="Q132" s="18">
        <v>4437.1639999999998</v>
      </c>
      <c r="R132" s="18">
        <v>4457.7060000000001</v>
      </c>
      <c r="S132" s="18">
        <v>4482.7449999999999</v>
      </c>
      <c r="T132" s="18">
        <v>4513.4579999999996</v>
      </c>
      <c r="U132" s="18">
        <v>4547.71</v>
      </c>
      <c r="V132" s="18">
        <v>4582.2520000000004</v>
      </c>
      <c r="W132" s="18">
        <v>4617.8040000000001</v>
      </c>
      <c r="X132" s="18">
        <v>4649.8670000000002</v>
      </c>
      <c r="Y132" s="18">
        <v>4675.8869999999997</v>
      </c>
      <c r="Z132" s="18">
        <v>4697.6660000000002</v>
      </c>
      <c r="AA132" s="18">
        <v>4719.7629999999999</v>
      </c>
      <c r="AB132" s="18">
        <v>4741.5110000000004</v>
      </c>
      <c r="AC132" s="18">
        <v>4761.3729999999996</v>
      </c>
      <c r="AD132" s="18">
        <v>4779.1180000000004</v>
      </c>
      <c r="AE132" s="18">
        <v>4795.2420000000002</v>
      </c>
      <c r="AF132" s="18">
        <v>4810.3869999999997</v>
      </c>
      <c r="AG132" s="18">
        <v>4824.3239999999996</v>
      </c>
      <c r="AH132" s="18">
        <v>4838.5649999999996</v>
      </c>
      <c r="AI132" s="18">
        <v>4853.8990000000003</v>
      </c>
      <c r="AJ132" s="18">
        <v>4869.6570000000002</v>
      </c>
      <c r="AK132" s="18">
        <v>4884.2070000000003</v>
      </c>
      <c r="AL132" s="18">
        <v>4897.66</v>
      </c>
      <c r="AM132" s="18">
        <v>4910.6930000000002</v>
      </c>
      <c r="AN132" s="18">
        <v>4923.4110000000001</v>
      </c>
      <c r="AO132" s="18">
        <v>4935.4449999999997</v>
      </c>
      <c r="AP132" s="18">
        <v>4946.2190000000001</v>
      </c>
      <c r="AQ132" s="18">
        <v>4955.7309999999998</v>
      </c>
      <c r="AR132" s="18">
        <v>4963.4970000000003</v>
      </c>
      <c r="AS132" s="18">
        <v>4969.1809999999996</v>
      </c>
      <c r="AT132" s="18">
        <v>4972.8410000000003</v>
      </c>
      <c r="AU132" s="18">
        <v>4974.4290000000001</v>
      </c>
      <c r="AV132" s="18">
        <v>4973.4210000000003</v>
      </c>
      <c r="AW132" s="18">
        <v>4971.3450000000003</v>
      </c>
      <c r="AX132" s="18">
        <v>4968.7849999999999</v>
      </c>
      <c r="AY132" s="18">
        <v>4964.6139999999996</v>
      </c>
      <c r="AZ132" s="18">
        <v>4957.4089999999997</v>
      </c>
      <c r="BA132" s="18">
        <v>4947.7960000000003</v>
      </c>
      <c r="BB132" s="18">
        <v>4932.0420000000004</v>
      </c>
      <c r="BC132" s="18">
        <v>4908.2520000000004</v>
      </c>
      <c r="BD132" s="18">
        <v>4878.1629999999996</v>
      </c>
      <c r="BE132" s="18">
        <v>4847.0069999999996</v>
      </c>
      <c r="BF132" s="18">
        <v>4815.6610000000001</v>
      </c>
      <c r="BG132" s="18">
        <v>4777.0910000000003</v>
      </c>
      <c r="BH132" s="18">
        <v>4728.9489999999996</v>
      </c>
      <c r="BI132" s="18">
        <v>4675.47</v>
      </c>
      <c r="BJ132" s="18">
        <v>4622.6239999999998</v>
      </c>
      <c r="BK132" s="18">
        <v>4568.4740000000002</v>
      </c>
      <c r="BL132" s="18">
        <v>4524.4089999999997</v>
      </c>
      <c r="BM132" s="18">
        <v>4496.473</v>
      </c>
      <c r="BN132" s="18">
        <v>4479.6040000000003</v>
      </c>
      <c r="BO132" s="18">
        <v>4459.7479999999996</v>
      </c>
      <c r="BP132" s="18">
        <v>4436.1779999999999</v>
      </c>
      <c r="BQ132" s="18">
        <v>4422.1409999999996</v>
      </c>
      <c r="BR132" s="18">
        <v>4421.6790000000001</v>
      </c>
      <c r="BS132" s="18">
        <v>4427.1819999999998</v>
      </c>
      <c r="BT132" s="18">
        <v>4428.9849999999997</v>
      </c>
      <c r="BU132" s="18">
        <v>4431.3940000000002</v>
      </c>
      <c r="BV132" s="18">
        <v>4409.1490000000003</v>
      </c>
      <c r="BW132" s="18">
        <v>4349.4409999999998</v>
      </c>
      <c r="BX132" s="18">
        <v>4264.107</v>
      </c>
      <c r="BY132" s="18">
        <v>4177.0450000000001</v>
      </c>
      <c r="BZ132" s="18">
        <v>4082.5749999999998</v>
      </c>
      <c r="CA132" s="18">
        <v>3991.395</v>
      </c>
      <c r="CB132" s="18">
        <v>3910.9479999999999</v>
      </c>
      <c r="CC132" s="18">
        <v>3835.0219999999999</v>
      </c>
      <c r="CD132" s="18">
        <v>3747.5430000000001</v>
      </c>
      <c r="CE132" s="18">
        <v>3648.8130000000001</v>
      </c>
      <c r="CF132" s="18">
        <v>3549.201</v>
      </c>
      <c r="CG132" s="18">
        <v>3451.3139999999999</v>
      </c>
      <c r="CH132" s="18">
        <v>3349.3690000000001</v>
      </c>
      <c r="CI132" s="18">
        <v>3238.8969999999999</v>
      </c>
      <c r="CJ132" s="18">
        <v>3125.4969999999998</v>
      </c>
      <c r="CK132" s="18">
        <v>2976.6759999999999</v>
      </c>
      <c r="CL132" s="18">
        <v>2777.3090000000002</v>
      </c>
      <c r="CM132" s="18">
        <v>2544.0140000000001</v>
      </c>
      <c r="CN132" s="18">
        <v>2292.9569999999999</v>
      </c>
      <c r="CO132" s="18">
        <v>2101.5709999999999</v>
      </c>
      <c r="CP132" s="18">
        <v>1908.992</v>
      </c>
      <c r="CQ132" s="18">
        <v>1637.5350000000001</v>
      </c>
      <c r="CR132" s="18">
        <v>1287.203</v>
      </c>
      <c r="CS132" s="18">
        <v>1054.692</v>
      </c>
      <c r="CT132" s="18">
        <v>951.26599999999996</v>
      </c>
      <c r="CU132" s="18">
        <v>813.38699999999994</v>
      </c>
      <c r="CV132" s="18">
        <v>641.05700000000002</v>
      </c>
      <c r="CW132" s="18">
        <v>434.27300000000002</v>
      </c>
      <c r="CX132" s="18">
        <v>1006.313</v>
      </c>
      <c r="CY132" s="3">
        <f t="shared" si="172"/>
        <v>415197.39799999999</v>
      </c>
      <c r="CZ132" s="21">
        <f t="shared" si="173"/>
        <v>336234.2539999999</v>
      </c>
      <c r="DA132">
        <f t="shared" si="174"/>
        <v>1.3423552021561732E-2</v>
      </c>
      <c r="DB132">
        <f t="shared" si="175"/>
        <v>1.3525421475945165E-2</v>
      </c>
      <c r="DC132">
        <f t="shared" si="176"/>
        <v>1.3628153424249279E-2</v>
      </c>
      <c r="DD132">
        <f t="shared" si="177"/>
        <v>1.3733889230690938E-2</v>
      </c>
      <c r="DE132">
        <f t="shared" si="178"/>
        <v>1.3829248343031706E-2</v>
      </c>
      <c r="DF132">
        <f t="shared" si="179"/>
        <v>1.3906634866535641E-2</v>
      </c>
      <c r="DG132">
        <f t="shared" si="180"/>
        <v>1.3971408159978851E-2</v>
      </c>
      <c r="DH132">
        <f t="shared" si="181"/>
        <v>1.4037127222617841E-2</v>
      </c>
      <c r="DI132">
        <f t="shared" si="182"/>
        <v>1.4101808318435044E-2</v>
      </c>
      <c r="DJ132">
        <f t="shared" si="183"/>
        <v>1.4160880229650846E-2</v>
      </c>
      <c r="DK132">
        <f t="shared" si="184"/>
        <v>1.4213655935245675E-2</v>
      </c>
      <c r="DL132">
        <f t="shared" si="185"/>
        <v>1.4261610597235587E-2</v>
      </c>
      <c r="DM132">
        <f t="shared" si="186"/>
        <v>1.4306653598713952E-2</v>
      </c>
      <c r="DN132">
        <f t="shared" si="187"/>
        <v>1.4348103866895135E-2</v>
      </c>
      <c r="DO132">
        <f t="shared" si="188"/>
        <v>1.439045826663455E-2</v>
      </c>
      <c r="DP132">
        <f t="shared" si="189"/>
        <v>1.4436063376219848E-2</v>
      </c>
      <c r="DQ132">
        <f t="shared" si="190"/>
        <v>1.4482929511399519E-2</v>
      </c>
      <c r="DR132">
        <f t="shared" si="191"/>
        <v>1.4526202913282006E-2</v>
      </c>
      <c r="DS132">
        <f t="shared" si="192"/>
        <v>1.4566213708850738E-2</v>
      </c>
      <c r="DT132">
        <f t="shared" si="193"/>
        <v>1.460497537529297E-2</v>
      </c>
      <c r="DU132">
        <f t="shared" si="194"/>
        <v>1.464280019489032E-2</v>
      </c>
      <c r="DV132">
        <f t="shared" si="195"/>
        <v>1.4678590718481649E-2</v>
      </c>
      <c r="DW132">
        <f t="shared" si="196"/>
        <v>1.4710633854693464E-2</v>
      </c>
      <c r="DX132">
        <f t="shared" si="197"/>
        <v>1.4738923655291829E-2</v>
      </c>
      <c r="DY132">
        <f t="shared" si="198"/>
        <v>1.4762020647664298E-2</v>
      </c>
      <c r="DZ132">
        <f t="shared" si="199"/>
        <v>1.477892552850966E-2</v>
      </c>
      <c r="EA132">
        <f t="shared" si="200"/>
        <v>1.478981079661206E-2</v>
      </c>
      <c r="EB132">
        <f t="shared" si="201"/>
        <v>1.4794533694357034E-2</v>
      </c>
      <c r="EC132">
        <f t="shared" si="202"/>
        <v>1.4791535784453424E-2</v>
      </c>
      <c r="ED132">
        <f t="shared" si="203"/>
        <v>1.4785361517628128E-2</v>
      </c>
      <c r="EE132">
        <f t="shared" si="204"/>
        <v>1.4777747778190384E-2</v>
      </c>
      <c r="EF132">
        <f t="shared" si="205"/>
        <v>1.4765342736317404E-2</v>
      </c>
      <c r="EG132">
        <f t="shared" si="206"/>
        <v>1.4743914223563912E-2</v>
      </c>
      <c r="EH132">
        <f t="shared" si="207"/>
        <v>1.4715324037151794E-2</v>
      </c>
      <c r="EI132">
        <f t="shared" si="208"/>
        <v>1.4668469798439995E-2</v>
      </c>
      <c r="EJ132">
        <f t="shared" si="209"/>
        <v>1.4597715555774403E-2</v>
      </c>
      <c r="EK132">
        <f t="shared" si="210"/>
        <v>1.4508227350328206E-2</v>
      </c>
      <c r="EL132">
        <f t="shared" si="211"/>
        <v>1.4415565762077295E-2</v>
      </c>
      <c r="EM132">
        <f t="shared" si="212"/>
        <v>1.4322339091602491E-2</v>
      </c>
      <c r="EN132">
        <f t="shared" si="213"/>
        <v>1.4207627400151806E-2</v>
      </c>
      <c r="EO132">
        <f t="shared" si="214"/>
        <v>1.4064447461084678E-2</v>
      </c>
      <c r="EP132">
        <f t="shared" si="215"/>
        <v>1.3905394659760043E-2</v>
      </c>
      <c r="EQ132">
        <f t="shared" si="216"/>
        <v>1.3748224474476062E-2</v>
      </c>
      <c r="ER132">
        <f t="shared" si="217"/>
        <v>1.3587176040665986E-2</v>
      </c>
      <c r="ES132">
        <f t="shared" si="218"/>
        <v>1.3456121576476861E-2</v>
      </c>
      <c r="ET132">
        <f t="shared" si="219"/>
        <v>1.3373036644862488E-2</v>
      </c>
      <c r="EU132">
        <f t="shared" si="220"/>
        <v>1.3322866265731514E-2</v>
      </c>
      <c r="EV132">
        <f t="shared" si="221"/>
        <v>1.3263812199217516E-2</v>
      </c>
      <c r="EW132">
        <f t="shared" si="222"/>
        <v>1.3193712262284857E-2</v>
      </c>
      <c r="EX132">
        <f t="shared" si="223"/>
        <v>1.3151964582406887E-2</v>
      </c>
      <c r="EY132">
        <f t="shared" si="224"/>
        <v>1.3150590540367732E-2</v>
      </c>
      <c r="EZ132">
        <f t="shared" si="225"/>
        <v>1.3166957106041911E-2</v>
      </c>
      <c r="FA132">
        <f t="shared" si="226"/>
        <v>1.3172319438934979E-2</v>
      </c>
      <c r="FB132">
        <f t="shared" si="227"/>
        <v>1.3179484086710574E-2</v>
      </c>
      <c r="FC132">
        <f t="shared" si="228"/>
        <v>1.3113324854760341E-2</v>
      </c>
      <c r="FD132">
        <f t="shared" si="229"/>
        <v>1.2935746278842848E-2</v>
      </c>
      <c r="FE132">
        <f t="shared" si="230"/>
        <v>1.2681952981506759E-2</v>
      </c>
      <c r="FF132">
        <f t="shared" si="231"/>
        <v>1.2423020410050195E-2</v>
      </c>
      <c r="FG132">
        <f t="shared" si="232"/>
        <v>1.2142055580095658E-2</v>
      </c>
      <c r="FH132">
        <f t="shared" si="233"/>
        <v>1.1870875594965411E-2</v>
      </c>
      <c r="FI132">
        <f t="shared" si="234"/>
        <v>1.1631616807251294E-2</v>
      </c>
      <c r="FJ132">
        <f t="shared" si="235"/>
        <v>1.1405804002348913E-2</v>
      </c>
      <c r="FK132">
        <f t="shared" si="236"/>
        <v>1.1145631224116747E-2</v>
      </c>
      <c r="FL132">
        <f t="shared" si="237"/>
        <v>1.0851996655879092E-2</v>
      </c>
      <c r="FM132">
        <f t="shared" si="238"/>
        <v>1.0555738916475777E-2</v>
      </c>
      <c r="FN132">
        <f t="shared" si="239"/>
        <v>1.0264611528842034E-2</v>
      </c>
      <c r="FO132">
        <f t="shared" si="240"/>
        <v>9.9614151745526826E-3</v>
      </c>
      <c r="FP132">
        <f t="shared" si="241"/>
        <v>9.6328585248783155E-3</v>
      </c>
      <c r="FQ132">
        <f t="shared" si="242"/>
        <v>9.2955936607220305E-3</v>
      </c>
      <c r="FR132">
        <f t="shared" si="243"/>
        <v>8.8529825994468746E-3</v>
      </c>
      <c r="FS132">
        <f t="shared" si="244"/>
        <v>8.26004182191384E-3</v>
      </c>
      <c r="FT132">
        <f t="shared" si="245"/>
        <v>7.5661952038949629E-3</v>
      </c>
      <c r="FU132">
        <f t="shared" si="246"/>
        <v>6.8195223202928059E-3</v>
      </c>
      <c r="FV132">
        <f t="shared" si="247"/>
        <v>6.2503179702803292E-3</v>
      </c>
      <c r="FW132">
        <f t="shared" si="248"/>
        <v>5.6775654987251852E-3</v>
      </c>
      <c r="FX132">
        <f t="shared" si="249"/>
        <v>4.8702206289785114E-3</v>
      </c>
      <c r="FY132">
        <f t="shared" si="250"/>
        <v>3.8282922833912107E-3</v>
      </c>
      <c r="FZ132">
        <f t="shared" si="251"/>
        <v>3.1367773730751427E-3</v>
      </c>
      <c r="GA132">
        <f t="shared" si="252"/>
        <v>2.8291763515563774E-3</v>
      </c>
      <c r="GB132">
        <f t="shared" si="253"/>
        <v>2.4191080781436392E-3</v>
      </c>
      <c r="GC132">
        <f t="shared" si="254"/>
        <v>1.9065785010708642E-3</v>
      </c>
      <c r="GD132">
        <f t="shared" si="255"/>
        <v>1.2915786979871484E-3</v>
      </c>
      <c r="GE132">
        <f t="shared" si="256"/>
        <v>2.9928925682866335E-3</v>
      </c>
    </row>
    <row r="133" spans="1:187">
      <c r="A133" s="15">
        <v>2081</v>
      </c>
      <c r="B133" s="18">
        <v>4353.8130000000001</v>
      </c>
      <c r="C133" s="18">
        <v>4355.33</v>
      </c>
      <c r="D133" s="18">
        <v>4362.6350000000002</v>
      </c>
      <c r="E133" s="18">
        <v>4367.4939999999997</v>
      </c>
      <c r="F133" s="18">
        <v>4370.5010000000002</v>
      </c>
      <c r="G133" s="18">
        <v>4372.2489999999998</v>
      </c>
      <c r="H133" s="18">
        <v>4373.125</v>
      </c>
      <c r="I133" s="18">
        <v>4373.5159999999996</v>
      </c>
      <c r="J133" s="18">
        <v>4375.0469999999996</v>
      </c>
      <c r="K133" s="18">
        <v>4378.7259999999997</v>
      </c>
      <c r="L133" s="18">
        <v>4384.5280000000002</v>
      </c>
      <c r="M133" s="18">
        <v>4391.1080000000002</v>
      </c>
      <c r="N133" s="18">
        <v>4398.3639999999996</v>
      </c>
      <c r="O133" s="18">
        <v>4410.3710000000001</v>
      </c>
      <c r="P133" s="18">
        <v>4428.9089999999997</v>
      </c>
      <c r="Q133" s="18">
        <v>4452.2749999999996</v>
      </c>
      <c r="R133" s="18">
        <v>4476.29</v>
      </c>
      <c r="S133" s="18">
        <v>4500.9520000000002</v>
      </c>
      <c r="T133" s="18">
        <v>4528.5889999999999</v>
      </c>
      <c r="U133" s="18">
        <v>4559.67</v>
      </c>
      <c r="V133" s="18">
        <v>4592.7179999999998</v>
      </c>
      <c r="W133" s="18">
        <v>4625.9269999999997</v>
      </c>
      <c r="X133" s="18">
        <v>4659.8159999999998</v>
      </c>
      <c r="Y133" s="18">
        <v>4689.9219999999996</v>
      </c>
      <c r="Z133" s="18">
        <v>4713.884</v>
      </c>
      <c r="AA133" s="18">
        <v>4733.4979999999996</v>
      </c>
      <c r="AB133" s="18">
        <v>4753.1319999999996</v>
      </c>
      <c r="AC133" s="18">
        <v>4772.1679999999997</v>
      </c>
      <c r="AD133" s="18">
        <v>4789.5069999999996</v>
      </c>
      <c r="AE133" s="18">
        <v>4805.1170000000002</v>
      </c>
      <c r="AF133" s="18">
        <v>4819.3760000000002</v>
      </c>
      <c r="AG133" s="18">
        <v>4832.5910000000003</v>
      </c>
      <c r="AH133" s="18">
        <v>4844.5860000000002</v>
      </c>
      <c r="AI133" s="18">
        <v>4857.0370000000003</v>
      </c>
      <c r="AJ133" s="18">
        <v>4870.7740000000003</v>
      </c>
      <c r="AK133" s="18">
        <v>4885.0860000000002</v>
      </c>
      <c r="AL133" s="18">
        <v>4898.2380000000003</v>
      </c>
      <c r="AM133" s="18">
        <v>4910.3490000000002</v>
      </c>
      <c r="AN133" s="18">
        <v>4922.1109999999999</v>
      </c>
      <c r="AO133" s="18">
        <v>4933.62</v>
      </c>
      <c r="AP133" s="18">
        <v>4944.4939999999997</v>
      </c>
      <c r="AQ133" s="18">
        <v>4954.1469999999999</v>
      </c>
      <c r="AR133" s="18">
        <v>4962.567</v>
      </c>
      <c r="AS133" s="18">
        <v>4969.2420000000002</v>
      </c>
      <c r="AT133" s="18">
        <v>4973.8149999999996</v>
      </c>
      <c r="AU133" s="18">
        <v>4976.3459999999995</v>
      </c>
      <c r="AV133" s="18">
        <v>4976.8119999999999</v>
      </c>
      <c r="AW133" s="18">
        <v>4974.6959999999999</v>
      </c>
      <c r="AX133" s="18">
        <v>4971.4549999999999</v>
      </c>
      <c r="AY133" s="18">
        <v>4967.6390000000001</v>
      </c>
      <c r="AZ133" s="18">
        <v>4962.1540000000005</v>
      </c>
      <c r="BA133" s="18">
        <v>4953.6329999999998</v>
      </c>
      <c r="BB133" s="18">
        <v>4942.6909999999998</v>
      </c>
      <c r="BC133" s="18">
        <v>4925.616</v>
      </c>
      <c r="BD133" s="18">
        <v>4900.53</v>
      </c>
      <c r="BE133" s="18">
        <v>4869.1589999999997</v>
      </c>
      <c r="BF133" s="18">
        <v>4836.6809999999996</v>
      </c>
      <c r="BG133" s="18">
        <v>4803.9549999999999</v>
      </c>
      <c r="BH133" s="18">
        <v>4764.0749999999998</v>
      </c>
      <c r="BI133" s="18">
        <v>4714.7389999999996</v>
      </c>
      <c r="BJ133" s="18">
        <v>4660.1099999999997</v>
      </c>
      <c r="BK133" s="18">
        <v>4605.9970000000003</v>
      </c>
      <c r="BL133" s="18">
        <v>4550.45</v>
      </c>
      <c r="BM133" s="18">
        <v>4504.9229999999998</v>
      </c>
      <c r="BN133" s="18">
        <v>4475.4629999999997</v>
      </c>
      <c r="BO133" s="18">
        <v>4456.942</v>
      </c>
      <c r="BP133" s="18">
        <v>4435.223</v>
      </c>
      <c r="BQ133" s="18">
        <v>4409.5709999999999</v>
      </c>
      <c r="BR133" s="18">
        <v>4393.1130000000003</v>
      </c>
      <c r="BS133" s="18">
        <v>4389.8119999999999</v>
      </c>
      <c r="BT133" s="18">
        <v>4392.0789999999997</v>
      </c>
      <c r="BU133" s="18">
        <v>4390.2929999999997</v>
      </c>
      <c r="BV133" s="18">
        <v>4388.6859999999997</v>
      </c>
      <c r="BW133" s="18">
        <v>4362.1379999999999</v>
      </c>
      <c r="BX133" s="18">
        <v>4297.8950000000004</v>
      </c>
      <c r="BY133" s="18">
        <v>4207.6679999999997</v>
      </c>
      <c r="BZ133" s="18">
        <v>4115.2219999999998</v>
      </c>
      <c r="CA133" s="18">
        <v>4014.9630000000002</v>
      </c>
      <c r="CB133" s="18">
        <v>3917.0549999999998</v>
      </c>
      <c r="CC133" s="18">
        <v>3828.672</v>
      </c>
      <c r="CD133" s="18">
        <v>3743.8629999999998</v>
      </c>
      <c r="CE133" s="18">
        <v>3647.52</v>
      </c>
      <c r="CF133" s="18">
        <v>3540.288</v>
      </c>
      <c r="CG133" s="18">
        <v>3430.4929999999999</v>
      </c>
      <c r="CH133" s="18">
        <v>3319.998</v>
      </c>
      <c r="CI133" s="18">
        <v>3204.26</v>
      </c>
      <c r="CJ133" s="18">
        <v>3078.3440000000001</v>
      </c>
      <c r="CK133" s="18">
        <v>2965.0259999999998</v>
      </c>
      <c r="CL133" s="18">
        <v>2809.8429999999998</v>
      </c>
      <c r="CM133" s="18">
        <v>2593.855</v>
      </c>
      <c r="CN133" s="18">
        <v>2330.364</v>
      </c>
      <c r="CO133" s="18">
        <v>2076.8879999999999</v>
      </c>
      <c r="CP133" s="18">
        <v>1901.556</v>
      </c>
      <c r="CQ133" s="18">
        <v>1716.6369999999999</v>
      </c>
      <c r="CR133" s="18">
        <v>1459.9459999999999</v>
      </c>
      <c r="CS133" s="18">
        <v>1131.48</v>
      </c>
      <c r="CT133" s="18">
        <v>980.18299999999999</v>
      </c>
      <c r="CU133" s="18">
        <v>838.63800000000003</v>
      </c>
      <c r="CV133" s="18">
        <v>661.02599999999995</v>
      </c>
      <c r="CW133" s="18">
        <v>447.34699999999998</v>
      </c>
      <c r="CX133" s="18">
        <v>1034.4780000000001</v>
      </c>
      <c r="CY133" s="3">
        <f t="shared" si="172"/>
        <v>416175.70299999998</v>
      </c>
      <c r="CZ133" s="21">
        <f t="shared" si="173"/>
        <v>337050.47000000003</v>
      </c>
      <c r="DA133">
        <f t="shared" si="174"/>
        <v>1.3435937353833092E-2</v>
      </c>
      <c r="DB133">
        <f t="shared" si="175"/>
        <v>1.3528152030169249E-2</v>
      </c>
      <c r="DC133">
        <f t="shared" si="176"/>
        <v>1.3626202627754826E-2</v>
      </c>
      <c r="DD133">
        <f t="shared" si="177"/>
        <v>1.372473089860993E-2</v>
      </c>
      <c r="DE133">
        <f t="shared" si="178"/>
        <v>1.3825276671472968E-2</v>
      </c>
      <c r="DF133">
        <f t="shared" si="179"/>
        <v>1.3914598605959514E-2</v>
      </c>
      <c r="DG133">
        <f t="shared" si="180"/>
        <v>1.3985691816421439E-2</v>
      </c>
      <c r="DH133">
        <f t="shared" si="181"/>
        <v>1.4043884881691454E-2</v>
      </c>
      <c r="DI133">
        <f t="shared" si="182"/>
        <v>1.4102137285255823E-2</v>
      </c>
      <c r="DJ133">
        <f t="shared" si="183"/>
        <v>1.4158615473819096E-2</v>
      </c>
      <c r="DK133">
        <f t="shared" si="184"/>
        <v>1.4210058808106689E-2</v>
      </c>
      <c r="DL133">
        <f t="shared" si="185"/>
        <v>1.4256372346847639E-2</v>
      </c>
      <c r="DM133">
        <f t="shared" si="186"/>
        <v>1.4298677583805179E-2</v>
      </c>
      <c r="DN133">
        <f t="shared" si="187"/>
        <v>1.4337885361797597E-2</v>
      </c>
      <c r="DO133">
        <f t="shared" si="188"/>
        <v>1.4373473503834604E-2</v>
      </c>
      <c r="DP133">
        <f t="shared" si="189"/>
        <v>1.4410414558982813E-2</v>
      </c>
      <c r="DQ133">
        <f t="shared" si="190"/>
        <v>1.4451171066457791E-2</v>
      </c>
      <c r="DR133">
        <f t="shared" si="191"/>
        <v>1.4493633549895361E-2</v>
      </c>
      <c r="DS133">
        <f t="shared" si="192"/>
        <v>1.4532654412260574E-2</v>
      </c>
      <c r="DT133">
        <f t="shared" si="193"/>
        <v>1.4568586716404815E-2</v>
      </c>
      <c r="DU133">
        <f t="shared" si="194"/>
        <v>1.4603483567312633E-2</v>
      </c>
      <c r="DV133">
        <f t="shared" si="195"/>
        <v>1.4637629788796911E-2</v>
      </c>
      <c r="DW133">
        <f t="shared" si="196"/>
        <v>1.4669892019435544E-2</v>
      </c>
      <c r="DX133">
        <f t="shared" si="197"/>
        <v>1.4698531647204052E-2</v>
      </c>
      <c r="DY133">
        <f t="shared" si="198"/>
        <v>1.4723513069125818E-2</v>
      </c>
      <c r="DZ133">
        <f t="shared" si="199"/>
        <v>1.4743317224865462E-2</v>
      </c>
      <c r="EA133">
        <f t="shared" si="200"/>
        <v>1.4756884925868815E-2</v>
      </c>
      <c r="EB133">
        <f t="shared" si="201"/>
        <v>1.4764394187018932E-2</v>
      </c>
      <c r="EC133">
        <f t="shared" si="202"/>
        <v>1.4765776769277312E-2</v>
      </c>
      <c r="ED133">
        <f t="shared" si="203"/>
        <v>1.4759498777734976E-2</v>
      </c>
      <c r="EE133">
        <f t="shared" si="204"/>
        <v>1.4749883007135398E-2</v>
      </c>
      <c r="EF133">
        <f t="shared" si="205"/>
        <v>1.473856126057323E-2</v>
      </c>
      <c r="EG133">
        <f t="shared" si="206"/>
        <v>1.4722287733347472E-2</v>
      </c>
      <c r="EH133">
        <f t="shared" si="207"/>
        <v>1.4697006653039231E-2</v>
      </c>
      <c r="EI133">
        <f t="shared" si="208"/>
        <v>1.4664542672199802E-2</v>
      </c>
      <c r="EJ133">
        <f t="shared" si="209"/>
        <v>1.4613882603397644E-2</v>
      </c>
      <c r="EK133">
        <f t="shared" si="210"/>
        <v>1.4539454580793195E-2</v>
      </c>
      <c r="EL133">
        <f t="shared" si="211"/>
        <v>1.4446379499188948E-2</v>
      </c>
      <c r="EM133">
        <f t="shared" si="212"/>
        <v>1.4350020042992372E-2</v>
      </c>
      <c r="EN133">
        <f t="shared" si="213"/>
        <v>1.4252924791945846E-2</v>
      </c>
      <c r="EO133">
        <f t="shared" si="214"/>
        <v>1.4134604233009969E-2</v>
      </c>
      <c r="EP133">
        <f t="shared" si="215"/>
        <v>1.3988228528504941E-2</v>
      </c>
      <c r="EQ133">
        <f t="shared" si="216"/>
        <v>1.3826148944399926E-2</v>
      </c>
      <c r="ER133">
        <f t="shared" si="217"/>
        <v>1.3665600288289169E-2</v>
      </c>
      <c r="ES133">
        <f t="shared" si="218"/>
        <v>1.3500797076473442E-2</v>
      </c>
      <c r="ET133">
        <f t="shared" si="219"/>
        <v>1.3365722350127562E-2</v>
      </c>
      <c r="EU133">
        <f t="shared" si="220"/>
        <v>1.3278317042548551E-2</v>
      </c>
      <c r="EV133">
        <f t="shared" si="221"/>
        <v>1.3223366815064816E-2</v>
      </c>
      <c r="EW133">
        <f t="shared" si="222"/>
        <v>1.3158928394314357E-2</v>
      </c>
      <c r="EX133">
        <f t="shared" si="223"/>
        <v>1.3082821097979777E-2</v>
      </c>
      <c r="EY133">
        <f t="shared" si="224"/>
        <v>1.3033991615558346E-2</v>
      </c>
      <c r="EZ133">
        <f t="shared" si="225"/>
        <v>1.3024197830075714E-2</v>
      </c>
      <c r="FA133">
        <f t="shared" si="226"/>
        <v>1.3030923825740398E-2</v>
      </c>
      <c r="FB133">
        <f t="shared" si="227"/>
        <v>1.3025624916054855E-2</v>
      </c>
      <c r="FC133">
        <f t="shared" si="228"/>
        <v>1.3020857084103752E-2</v>
      </c>
      <c r="FD133">
        <f t="shared" si="229"/>
        <v>1.2942091432182248E-2</v>
      </c>
      <c r="FE133">
        <f t="shared" si="230"/>
        <v>1.2751487929982711E-2</v>
      </c>
      <c r="FF133">
        <f t="shared" si="231"/>
        <v>1.2483792115762364E-2</v>
      </c>
      <c r="FG133">
        <f t="shared" si="232"/>
        <v>1.2209512717783777E-2</v>
      </c>
      <c r="FH133">
        <f t="shared" si="233"/>
        <v>1.1912052815116977E-2</v>
      </c>
      <c r="FI133">
        <f t="shared" si="234"/>
        <v>1.1621568128951132E-2</v>
      </c>
      <c r="FJ133">
        <f t="shared" si="235"/>
        <v>1.1359343305469949E-2</v>
      </c>
      <c r="FK133">
        <f t="shared" si="236"/>
        <v>1.1107722235189287E-2</v>
      </c>
      <c r="FL133">
        <f t="shared" si="237"/>
        <v>1.0821880770556409E-2</v>
      </c>
      <c r="FM133">
        <f t="shared" si="238"/>
        <v>1.0503732571564133E-2</v>
      </c>
      <c r="FN133">
        <f t="shared" si="239"/>
        <v>1.0177980170150779E-2</v>
      </c>
      <c r="FO133">
        <f t="shared" si="240"/>
        <v>9.850150928435138E-3</v>
      </c>
      <c r="FP133">
        <f t="shared" si="241"/>
        <v>9.5067661528553862E-3</v>
      </c>
      <c r="FQ133">
        <f t="shared" si="242"/>
        <v>9.1331841192804145E-3</v>
      </c>
      <c r="FR133">
        <f t="shared" si="243"/>
        <v>8.796979277317131E-3</v>
      </c>
      <c r="FS133">
        <f t="shared" si="244"/>
        <v>8.3365645507036366E-3</v>
      </c>
      <c r="FT133">
        <f t="shared" si="245"/>
        <v>7.6957465746895406E-3</v>
      </c>
      <c r="FU133">
        <f t="shared" si="246"/>
        <v>6.9139912488476868E-3</v>
      </c>
      <c r="FV133">
        <f t="shared" si="247"/>
        <v>6.1619495739020915E-3</v>
      </c>
      <c r="FW133">
        <f t="shared" si="248"/>
        <v>5.6417544826446904E-3</v>
      </c>
      <c r="FX133">
        <f t="shared" si="249"/>
        <v>5.0931155799901415E-3</v>
      </c>
      <c r="FY133">
        <f t="shared" si="250"/>
        <v>4.3315352742276251E-3</v>
      </c>
      <c r="FZ133">
        <f t="shared" si="251"/>
        <v>3.3570046646129877E-3</v>
      </c>
      <c r="GA133">
        <f t="shared" si="252"/>
        <v>2.9081193685918903E-3</v>
      </c>
      <c r="GB133">
        <f t="shared" si="253"/>
        <v>2.4881674248963368E-3</v>
      </c>
      <c r="GC133">
        <f t="shared" si="254"/>
        <v>1.9612077680829223E-3</v>
      </c>
      <c r="GD133">
        <f t="shared" si="255"/>
        <v>1.3272403981516476E-3</v>
      </c>
      <c r="GE133">
        <f t="shared" si="256"/>
        <v>3.0692080031812447E-3</v>
      </c>
    </row>
    <row r="134" spans="1:187">
      <c r="A134" s="15">
        <v>2082</v>
      </c>
      <c r="B134" s="18">
        <v>4364.5550000000003</v>
      </c>
      <c r="C134" s="18">
        <v>4372.2979999999998</v>
      </c>
      <c r="D134" s="18">
        <v>4367.0720000000001</v>
      </c>
      <c r="E134" s="18">
        <v>4371.5069999999996</v>
      </c>
      <c r="F134" s="18">
        <v>4374.0940000000001</v>
      </c>
      <c r="G134" s="18">
        <v>4375.4629999999997</v>
      </c>
      <c r="H134" s="18">
        <v>4376.24</v>
      </c>
      <c r="I134" s="18">
        <v>4376.6390000000001</v>
      </c>
      <c r="J134" s="18">
        <v>4376.8739999999998</v>
      </c>
      <c r="K134" s="18">
        <v>4379.6409999999996</v>
      </c>
      <c r="L134" s="18">
        <v>4386.393</v>
      </c>
      <c r="M134" s="18">
        <v>4396.5190000000002</v>
      </c>
      <c r="N134" s="18">
        <v>4407.4790000000003</v>
      </c>
      <c r="O134" s="18">
        <v>4419.2179999999998</v>
      </c>
      <c r="P134" s="18">
        <v>4435.7860000000001</v>
      </c>
      <c r="Q134" s="18">
        <v>4458.7659999999996</v>
      </c>
      <c r="R134" s="18">
        <v>4486.317</v>
      </c>
      <c r="S134" s="18">
        <v>4514.4350000000004</v>
      </c>
      <c r="T134" s="18">
        <v>4543.2150000000001</v>
      </c>
      <c r="U134" s="18">
        <v>4573.4480000000003</v>
      </c>
      <c r="V134" s="18">
        <v>4604.8879999999999</v>
      </c>
      <c r="W134" s="18">
        <v>4636.7250000000004</v>
      </c>
      <c r="X134" s="18">
        <v>4668.5910000000003</v>
      </c>
      <c r="Y134" s="18">
        <v>4700.8059999999996</v>
      </c>
      <c r="Z134" s="18">
        <v>4728.9459999999999</v>
      </c>
      <c r="AA134" s="18">
        <v>4750.8440000000001</v>
      </c>
      <c r="AB134" s="18">
        <v>4768.2870000000003</v>
      </c>
      <c r="AC134" s="18">
        <v>4785.451</v>
      </c>
      <c r="AD134" s="18">
        <v>4801.768</v>
      </c>
      <c r="AE134" s="18">
        <v>4816.5749999999998</v>
      </c>
      <c r="AF134" s="18">
        <v>4830.0460000000003</v>
      </c>
      <c r="AG134" s="18">
        <v>4842.4359999999997</v>
      </c>
      <c r="AH134" s="18">
        <v>4853.7139999999999</v>
      </c>
      <c r="AI134" s="18">
        <v>4863.7619999999997</v>
      </c>
      <c r="AJ134" s="18">
        <v>4874.4179999999997</v>
      </c>
      <c r="AK134" s="18">
        <v>4886.5540000000001</v>
      </c>
      <c r="AL134" s="18">
        <v>4899.4139999999998</v>
      </c>
      <c r="AM134" s="18">
        <v>4911.1639999999998</v>
      </c>
      <c r="AN134" s="18">
        <v>4921.93</v>
      </c>
      <c r="AO134" s="18">
        <v>4932.4160000000002</v>
      </c>
      <c r="AP134" s="18">
        <v>4942.7120000000004</v>
      </c>
      <c r="AQ134" s="18">
        <v>4952.4229999999998</v>
      </c>
      <c r="AR134" s="18">
        <v>4960.9489999999996</v>
      </c>
      <c r="AS134" s="18">
        <v>4968.2759999999998</v>
      </c>
      <c r="AT134" s="18">
        <v>4973.857</v>
      </c>
      <c r="AU134" s="18">
        <v>4977.3159999999998</v>
      </c>
      <c r="AV134" s="18">
        <v>4978.7150000000001</v>
      </c>
      <c r="AW134" s="18">
        <v>4978.0619999999999</v>
      </c>
      <c r="AX134" s="18">
        <v>4974.835</v>
      </c>
      <c r="AY134" s="18">
        <v>4970.4269999999997</v>
      </c>
      <c r="AZ134" s="18">
        <v>4965.3549999999996</v>
      </c>
      <c r="BA134" s="18">
        <v>4958.5550000000003</v>
      </c>
      <c r="BB134" s="18">
        <v>4948.7190000000001</v>
      </c>
      <c r="BC134" s="18">
        <v>4936.4489999999996</v>
      </c>
      <c r="BD134" s="18">
        <v>4918.0559999999996</v>
      </c>
      <c r="BE134" s="18">
        <v>4891.6790000000001</v>
      </c>
      <c r="BF134" s="18">
        <v>4859.0320000000002</v>
      </c>
      <c r="BG134" s="18">
        <v>4825.24</v>
      </c>
      <c r="BH134" s="18">
        <v>4791.1379999999999</v>
      </c>
      <c r="BI134" s="18">
        <v>4749.9539999999997</v>
      </c>
      <c r="BJ134" s="18">
        <v>4699.4350000000004</v>
      </c>
      <c r="BK134" s="18">
        <v>4643.6670000000004</v>
      </c>
      <c r="BL134" s="18">
        <v>4588.299</v>
      </c>
      <c r="BM134" s="18">
        <v>4531.3649999999998</v>
      </c>
      <c r="BN134" s="18">
        <v>4484.3860000000004</v>
      </c>
      <c r="BO134" s="18">
        <v>4453.4059999999999</v>
      </c>
      <c r="BP134" s="18">
        <v>4433.2370000000001</v>
      </c>
      <c r="BQ134" s="18">
        <v>4409.6559999999999</v>
      </c>
      <c r="BR134" s="18">
        <v>4381.9260000000004</v>
      </c>
      <c r="BS134" s="18">
        <v>4363.0479999999998</v>
      </c>
      <c r="BT134" s="18">
        <v>4356.9059999999999</v>
      </c>
      <c r="BU134" s="18">
        <v>4355.9350000000004</v>
      </c>
      <c r="BV134" s="18">
        <v>4350.5550000000003</v>
      </c>
      <c r="BW134" s="18">
        <v>4344.9279999999999</v>
      </c>
      <c r="BX134" s="18">
        <v>4314.0789999999997</v>
      </c>
      <c r="BY134" s="18">
        <v>4245.3100000000004</v>
      </c>
      <c r="BZ134" s="18">
        <v>4150.2049999999999</v>
      </c>
      <c r="CA134" s="18">
        <v>4052.39</v>
      </c>
      <c r="CB134" s="18">
        <v>3946.3620000000001</v>
      </c>
      <c r="CC134" s="18">
        <v>3841.7370000000001</v>
      </c>
      <c r="CD134" s="18">
        <v>3745.431</v>
      </c>
      <c r="CE134" s="18">
        <v>3651.75</v>
      </c>
      <c r="CF134" s="18">
        <v>3546.5549999999998</v>
      </c>
      <c r="CG134" s="18">
        <v>3430.837</v>
      </c>
      <c r="CH134" s="18">
        <v>3310.8739999999998</v>
      </c>
      <c r="CI134" s="18">
        <v>3187.7820000000002</v>
      </c>
      <c r="CJ134" s="18">
        <v>3058.2620000000002</v>
      </c>
      <c r="CK134" s="18">
        <v>2916.9160000000002</v>
      </c>
      <c r="CL134" s="18">
        <v>2803.703</v>
      </c>
      <c r="CM134" s="18">
        <v>2642.1880000000001</v>
      </c>
      <c r="CN134" s="18">
        <v>2409.6109999999999</v>
      </c>
      <c r="CO134" s="18">
        <v>2115.9520000000002</v>
      </c>
      <c r="CP134" s="18">
        <v>1860.1130000000001</v>
      </c>
      <c r="CQ134" s="18">
        <v>1700.8910000000001</v>
      </c>
      <c r="CR134" s="18">
        <v>1523.683</v>
      </c>
      <c r="CS134" s="18">
        <v>1281.83</v>
      </c>
      <c r="CT134" s="18">
        <v>975.33100000000002</v>
      </c>
      <c r="CU134" s="18">
        <v>864.00400000000002</v>
      </c>
      <c r="CV134" s="18">
        <v>681.26800000000003</v>
      </c>
      <c r="CW134" s="18">
        <v>460.95</v>
      </c>
      <c r="CX134" s="18">
        <v>1065.3209999999999</v>
      </c>
      <c r="CY134" s="3">
        <f t="shared" si="172"/>
        <v>417136.52700000018</v>
      </c>
      <c r="CZ134" s="21">
        <f t="shared" si="173"/>
        <v>337897.23100000009</v>
      </c>
      <c r="DA134">
        <f t="shared" si="174"/>
        <v>1.3445552621293896E-2</v>
      </c>
      <c r="DB134">
        <f t="shared" si="175"/>
        <v>1.3535026571437039E-2</v>
      </c>
      <c r="DC134">
        <f t="shared" si="176"/>
        <v>1.3628072613592973E-2</v>
      </c>
      <c r="DD134">
        <f t="shared" si="177"/>
        <v>1.3722293569194709E-2</v>
      </c>
      <c r="DE134">
        <f t="shared" si="178"/>
        <v>1.3816600349708101E-2</v>
      </c>
      <c r="DF134">
        <f t="shared" si="179"/>
        <v>1.3911939988641098E-2</v>
      </c>
      <c r="DG134">
        <f t="shared" si="180"/>
        <v>1.3995219747746316E-2</v>
      </c>
      <c r="DH134">
        <f t="shared" si="181"/>
        <v>1.4060026434487114E-2</v>
      </c>
      <c r="DI134">
        <f t="shared" si="182"/>
        <v>1.4111648639109443E-2</v>
      </c>
      <c r="DJ134">
        <f t="shared" si="183"/>
        <v>1.4162445148892028E-2</v>
      </c>
      <c r="DK134">
        <f t="shared" si="184"/>
        <v>1.4210734979358262E-2</v>
      </c>
      <c r="DL134">
        <f t="shared" si="185"/>
        <v>1.4254555995458863E-2</v>
      </c>
      <c r="DM134">
        <f t="shared" si="186"/>
        <v>1.4294423146663782E-2</v>
      </c>
      <c r="DN134">
        <f t="shared" si="187"/>
        <v>1.433109110029966E-2</v>
      </c>
      <c r="DO134">
        <f t="shared" si="188"/>
        <v>1.4364468112495419E-2</v>
      </c>
      <c r="DP134">
        <f t="shared" si="189"/>
        <v>1.4394204964645E-2</v>
      </c>
      <c r="DQ134">
        <f t="shared" si="190"/>
        <v>1.4425741180459684E-2</v>
      </c>
      <c r="DR134">
        <f t="shared" si="191"/>
        <v>1.4461657426248629E-2</v>
      </c>
      <c r="DS134">
        <f t="shared" si="192"/>
        <v>1.4499716335349308E-2</v>
      </c>
      <c r="DT134">
        <f t="shared" si="193"/>
        <v>1.4534490221969291E-2</v>
      </c>
      <c r="DU134">
        <f t="shared" si="194"/>
        <v>1.4566351980552332E-2</v>
      </c>
      <c r="DV134">
        <f t="shared" si="195"/>
        <v>1.4597385084815917E-2</v>
      </c>
      <c r="DW134">
        <f t="shared" si="196"/>
        <v>1.4627855887934161E-2</v>
      </c>
      <c r="DX134">
        <f t="shared" si="197"/>
        <v>1.4656595395420682E-2</v>
      </c>
      <c r="DY134">
        <f t="shared" si="198"/>
        <v>1.4681827919448083E-2</v>
      </c>
      <c r="DZ134">
        <f t="shared" si="199"/>
        <v>1.4703512027300391E-2</v>
      </c>
      <c r="EA134">
        <f t="shared" si="200"/>
        <v>1.4720028883574956E-2</v>
      </c>
      <c r="EB134">
        <f t="shared" si="201"/>
        <v>1.4730265723899934E-2</v>
      </c>
      <c r="EC134">
        <f t="shared" si="202"/>
        <v>1.4734406036017498E-2</v>
      </c>
      <c r="ED134">
        <f t="shared" si="203"/>
        <v>1.473247349576534E-2</v>
      </c>
      <c r="EE134">
        <f t="shared" si="204"/>
        <v>1.4722923254733622E-2</v>
      </c>
      <c r="EF134">
        <f t="shared" si="205"/>
        <v>1.4709877868161631E-2</v>
      </c>
      <c r="EG134">
        <f t="shared" si="206"/>
        <v>1.4694867387060648E-2</v>
      </c>
      <c r="EH134">
        <f t="shared" si="207"/>
        <v>1.4674742925016747E-2</v>
      </c>
      <c r="EI134">
        <f t="shared" si="208"/>
        <v>1.464563348256618E-2</v>
      </c>
      <c r="EJ134">
        <f t="shared" si="209"/>
        <v>1.4609320666495779E-2</v>
      </c>
      <c r="EK134">
        <f t="shared" si="210"/>
        <v>1.4554886956146729E-2</v>
      </c>
      <c r="EL134">
        <f t="shared" si="211"/>
        <v>1.4476824759774368E-2</v>
      </c>
      <c r="EM134">
        <f t="shared" si="212"/>
        <v>1.4380206625605638E-2</v>
      </c>
      <c r="EN134">
        <f t="shared" si="213"/>
        <v>1.428019988716628E-2</v>
      </c>
      <c r="EO134">
        <f t="shared" si="214"/>
        <v>1.4179275710016098E-2</v>
      </c>
      <c r="EP134">
        <f t="shared" si="215"/>
        <v>1.4057392497543132E-2</v>
      </c>
      <c r="EQ134">
        <f t="shared" si="216"/>
        <v>1.3907882541955484E-2</v>
      </c>
      <c r="ER134">
        <f t="shared" si="217"/>
        <v>1.3742838277357766E-2</v>
      </c>
      <c r="ES134">
        <f t="shared" si="218"/>
        <v>1.3578977804644983E-2</v>
      </c>
      <c r="ET134">
        <f t="shared" si="219"/>
        <v>1.3410482786702678E-2</v>
      </c>
      <c r="EU134">
        <f t="shared" si="220"/>
        <v>1.3271449389296711E-2</v>
      </c>
      <c r="EV134">
        <f t="shared" si="221"/>
        <v>1.3179764707808449E-2</v>
      </c>
      <c r="EW134">
        <f t="shared" si="222"/>
        <v>1.3120074961490286E-2</v>
      </c>
      <c r="EX134">
        <f t="shared" si="223"/>
        <v>1.3050287470393621E-2</v>
      </c>
      <c r="EY134">
        <f t="shared" si="224"/>
        <v>1.2968221097970464E-2</v>
      </c>
      <c r="EZ134">
        <f t="shared" si="225"/>
        <v>1.2912352039960927E-2</v>
      </c>
      <c r="FA134">
        <f t="shared" si="226"/>
        <v>1.2894174915567743E-2</v>
      </c>
      <c r="FB134">
        <f t="shared" si="227"/>
        <v>1.2891301260767062E-2</v>
      </c>
      <c r="FC134">
        <f t="shared" si="228"/>
        <v>1.2875379259914679E-2</v>
      </c>
      <c r="FD134">
        <f t="shared" si="229"/>
        <v>1.2858726267573346E-2</v>
      </c>
      <c r="FE134">
        <f t="shared" si="230"/>
        <v>1.2767429277927402E-2</v>
      </c>
      <c r="FF134">
        <f t="shared" si="231"/>
        <v>1.2563908817589569E-2</v>
      </c>
      <c r="FG134">
        <f t="shared" si="232"/>
        <v>1.2282447499547574E-2</v>
      </c>
      <c r="FH134">
        <f t="shared" si="233"/>
        <v>1.1992965991485142E-2</v>
      </c>
      <c r="FI134">
        <f t="shared" si="234"/>
        <v>1.1679178276545269E-2</v>
      </c>
      <c r="FJ134">
        <f t="shared" si="235"/>
        <v>1.136954271164181E-2</v>
      </c>
      <c r="FK134">
        <f t="shared" si="236"/>
        <v>1.1084527058465297E-2</v>
      </c>
      <c r="FL134">
        <f t="shared" si="237"/>
        <v>1.0807280039533674E-2</v>
      </c>
      <c r="FM134">
        <f t="shared" si="238"/>
        <v>1.0495957571194181E-2</v>
      </c>
      <c r="FN134">
        <f t="shared" si="239"/>
        <v>1.0153492497841745E-2</v>
      </c>
      <c r="FO134">
        <f t="shared" si="240"/>
        <v>9.7984644331104293E-3</v>
      </c>
      <c r="FP134">
        <f t="shared" si="241"/>
        <v>9.4341761563592075E-3</v>
      </c>
      <c r="FQ134">
        <f t="shared" si="242"/>
        <v>9.0508643440170705E-3</v>
      </c>
      <c r="FR134">
        <f t="shared" si="243"/>
        <v>8.6325537245968125E-3</v>
      </c>
      <c r="FS134">
        <f t="shared" si="244"/>
        <v>8.2975021479237843E-3</v>
      </c>
      <c r="FT134">
        <f t="shared" si="245"/>
        <v>7.8195017821853629E-3</v>
      </c>
      <c r="FU134">
        <f t="shared" si="246"/>
        <v>7.1311948691287121E-3</v>
      </c>
      <c r="FV134">
        <f t="shared" si="247"/>
        <v>6.2621170162829769E-3</v>
      </c>
      <c r="FW134">
        <f t="shared" si="248"/>
        <v>5.504966686157897E-3</v>
      </c>
      <c r="FX134">
        <f t="shared" si="249"/>
        <v>5.0337524073998689E-3</v>
      </c>
      <c r="FY134">
        <f t="shared" si="250"/>
        <v>4.5093089265357119E-3</v>
      </c>
      <c r="FZ134">
        <f t="shared" si="251"/>
        <v>3.7935498796674056E-3</v>
      </c>
      <c r="GA134">
        <f t="shared" si="252"/>
        <v>2.8864723073152372E-3</v>
      </c>
      <c r="GB134">
        <f t="shared" si="253"/>
        <v>2.5570023093796817E-3</v>
      </c>
      <c r="GC134">
        <f t="shared" si="254"/>
        <v>2.0161988246657158E-3</v>
      </c>
      <c r="GD134">
        <f t="shared" si="255"/>
        <v>1.3641721734026281E-3</v>
      </c>
      <c r="GE134">
        <f t="shared" si="256"/>
        <v>3.1527958866286172E-3</v>
      </c>
    </row>
    <row r="135" spans="1:187">
      <c r="A135" s="15">
        <v>2083</v>
      </c>
      <c r="B135" s="18">
        <v>4374.1580000000004</v>
      </c>
      <c r="C135" s="18">
        <v>4381.2790000000005</v>
      </c>
      <c r="D135" s="18">
        <v>4385.259</v>
      </c>
      <c r="E135" s="18">
        <v>4377.4340000000002</v>
      </c>
      <c r="F135" s="18">
        <v>4378.9960000000001</v>
      </c>
      <c r="G135" s="18">
        <v>4379.3100000000004</v>
      </c>
      <c r="H135" s="18">
        <v>4379.0389999999998</v>
      </c>
      <c r="I135" s="18">
        <v>4378.8440000000001</v>
      </c>
      <c r="J135" s="18">
        <v>4378.7659999999996</v>
      </c>
      <c r="K135" s="18">
        <v>4378.8459999999995</v>
      </c>
      <c r="L135" s="18">
        <v>4382.848</v>
      </c>
      <c r="M135" s="18">
        <v>4392.6729999999998</v>
      </c>
      <c r="N135" s="18">
        <v>4407.1210000000001</v>
      </c>
      <c r="O135" s="18">
        <v>4422.4610000000002</v>
      </c>
      <c r="P135" s="18">
        <v>4438.6809999999996</v>
      </c>
      <c r="Q135" s="18">
        <v>4459.8059999999996</v>
      </c>
      <c r="R135" s="18">
        <v>4487.223</v>
      </c>
      <c r="S135" s="18">
        <v>4518.9549999999999</v>
      </c>
      <c r="T135" s="18">
        <v>4551.1670000000004</v>
      </c>
      <c r="U135" s="18">
        <v>4584.0590000000002</v>
      </c>
      <c r="V135" s="18">
        <v>4616.8770000000004</v>
      </c>
      <c r="W135" s="18">
        <v>4648.67</v>
      </c>
      <c r="X135" s="18">
        <v>4679.2830000000004</v>
      </c>
      <c r="Y135" s="18">
        <v>4709.7960000000003</v>
      </c>
      <c r="Z135" s="18">
        <v>4740.326</v>
      </c>
      <c r="AA135" s="18">
        <v>4766.49</v>
      </c>
      <c r="AB135" s="18">
        <v>4786.3140000000003</v>
      </c>
      <c r="AC135" s="18">
        <v>4801.58</v>
      </c>
      <c r="AD135" s="18">
        <v>4816.268</v>
      </c>
      <c r="AE135" s="18">
        <v>4829.8590000000004</v>
      </c>
      <c r="AF135" s="18">
        <v>4842.1279999999997</v>
      </c>
      <c r="AG135" s="18">
        <v>4853.4560000000001</v>
      </c>
      <c r="AH135" s="18">
        <v>4863.97</v>
      </c>
      <c r="AI135" s="18">
        <v>4873.3069999999998</v>
      </c>
      <c r="AJ135" s="18">
        <v>4881.4059999999999</v>
      </c>
      <c r="AK135" s="18">
        <v>4890.2610000000004</v>
      </c>
      <c r="AL135" s="18">
        <v>4900.7910000000002</v>
      </c>
      <c r="AM135" s="18">
        <v>4912.1940000000004</v>
      </c>
      <c r="AN135" s="18">
        <v>4922.5379999999996</v>
      </c>
      <c r="AO135" s="18">
        <v>4931.9530000000004</v>
      </c>
      <c r="AP135" s="18">
        <v>4941.1610000000001</v>
      </c>
      <c r="AQ135" s="18">
        <v>4950.2389999999996</v>
      </c>
      <c r="AR135" s="18">
        <v>4958.7830000000004</v>
      </c>
      <c r="AS135" s="18">
        <v>4966.1809999999996</v>
      </c>
      <c r="AT135" s="18">
        <v>4972.4110000000001</v>
      </c>
      <c r="AU135" s="18">
        <v>4976.8959999999997</v>
      </c>
      <c r="AV135" s="18">
        <v>4979.2389999999996</v>
      </c>
      <c r="AW135" s="18">
        <v>4979.5039999999999</v>
      </c>
      <c r="AX135" s="18">
        <v>4977.7299999999996</v>
      </c>
      <c r="AY135" s="18">
        <v>4973.3959999999997</v>
      </c>
      <c r="AZ135" s="18">
        <v>4967.8190000000004</v>
      </c>
      <c r="BA135" s="18">
        <v>4961.4939999999997</v>
      </c>
      <c r="BB135" s="18">
        <v>4953.38</v>
      </c>
      <c r="BC135" s="18">
        <v>4942.232</v>
      </c>
      <c r="BD135" s="18">
        <v>4928.6369999999997</v>
      </c>
      <c r="BE135" s="18">
        <v>4908.9309999999996</v>
      </c>
      <c r="BF135" s="18">
        <v>4881.2709999999997</v>
      </c>
      <c r="BG135" s="18">
        <v>4847.357</v>
      </c>
      <c r="BH135" s="18">
        <v>4812.259</v>
      </c>
      <c r="BI135" s="18">
        <v>4776.7939999999999</v>
      </c>
      <c r="BJ135" s="18">
        <v>4734.3180000000002</v>
      </c>
      <c r="BK135" s="18">
        <v>4682.63</v>
      </c>
      <c r="BL135" s="18">
        <v>4625.74</v>
      </c>
      <c r="BM135" s="18">
        <v>4569.1329999999998</v>
      </c>
      <c r="BN135" s="18">
        <v>4510.8310000000001</v>
      </c>
      <c r="BO135" s="18">
        <v>4462.4129999999996</v>
      </c>
      <c r="BP135" s="18">
        <v>4429.9229999999998</v>
      </c>
      <c r="BQ135" s="18">
        <v>4408.1099999999997</v>
      </c>
      <c r="BR135" s="18">
        <v>4382.6750000000002</v>
      </c>
      <c r="BS135" s="18">
        <v>4352.875</v>
      </c>
      <c r="BT135" s="18">
        <v>4331.5820000000003</v>
      </c>
      <c r="BU135" s="18">
        <v>4322.5990000000002</v>
      </c>
      <c r="BV135" s="18">
        <v>4318.3860000000004</v>
      </c>
      <c r="BW135" s="18">
        <v>4309.4129999999996</v>
      </c>
      <c r="BX135" s="18">
        <v>4299.7650000000003</v>
      </c>
      <c r="BY135" s="18">
        <v>4264.6220000000003</v>
      </c>
      <c r="BZ135" s="18">
        <v>4191.348</v>
      </c>
      <c r="CA135" s="18">
        <v>4091.3919999999998</v>
      </c>
      <c r="CB135" s="18">
        <v>3988.2370000000001</v>
      </c>
      <c r="CC135" s="18">
        <v>3876.4679999999998</v>
      </c>
      <c r="CD135" s="18">
        <v>3765.1579999999999</v>
      </c>
      <c r="CE135" s="18">
        <v>3660.9560000000001</v>
      </c>
      <c r="CF135" s="18">
        <v>3558.4259999999999</v>
      </c>
      <c r="CG135" s="18">
        <v>3444.4090000000001</v>
      </c>
      <c r="CH135" s="18">
        <v>3320.2359999999999</v>
      </c>
      <c r="CI135" s="18">
        <v>3190.1379999999999</v>
      </c>
      <c r="CJ135" s="18">
        <v>3054.4810000000002</v>
      </c>
      <c r="CK135" s="18">
        <v>2911.2139999999999</v>
      </c>
      <c r="CL135" s="18">
        <v>2754.473</v>
      </c>
      <c r="CM135" s="18">
        <v>2641.4029999999998</v>
      </c>
      <c r="CN135" s="18">
        <v>2473.6030000000001</v>
      </c>
      <c r="CO135" s="18">
        <v>2224.5010000000002</v>
      </c>
      <c r="CP135" s="18">
        <v>1900.7529999999999</v>
      </c>
      <c r="CQ135" s="18">
        <v>1642.63</v>
      </c>
      <c r="CR135" s="18">
        <v>1499.577</v>
      </c>
      <c r="CS135" s="18">
        <v>1330.1410000000001</v>
      </c>
      <c r="CT135" s="18">
        <v>1103.212</v>
      </c>
      <c r="CU135" s="18">
        <v>818.78899999999999</v>
      </c>
      <c r="CV135" s="18">
        <v>701.87800000000004</v>
      </c>
      <c r="CW135" s="18">
        <v>475.07900000000001</v>
      </c>
      <c r="CX135" s="18">
        <v>1098.4590000000001</v>
      </c>
      <c r="CY135" s="3">
        <f t="shared" si="172"/>
        <v>418082.08199999994</v>
      </c>
      <c r="CZ135" s="21">
        <f t="shared" si="173"/>
        <v>338780.38299999991</v>
      </c>
      <c r="DA135">
        <f t="shared" si="174"/>
        <v>1.3433974422302963E-2</v>
      </c>
      <c r="DB135">
        <f t="shared" si="175"/>
        <v>1.3531063869185133E-2</v>
      </c>
      <c r="DC135">
        <f t="shared" si="176"/>
        <v>1.3627934885474173E-2</v>
      </c>
      <c r="DD135">
        <f t="shared" si="177"/>
        <v>1.3721780342871864E-2</v>
      </c>
      <c r="DE135">
        <f t="shared" si="178"/>
        <v>1.381214271783854E-2</v>
      </c>
      <c r="DF135">
        <f t="shared" si="179"/>
        <v>1.390220991632801E-2</v>
      </c>
      <c r="DG135">
        <f t="shared" si="180"/>
        <v>1.3992327294818606E-2</v>
      </c>
      <c r="DH135">
        <f t="shared" si="181"/>
        <v>1.4069557268314443E-2</v>
      </c>
      <c r="DI135">
        <f t="shared" si="182"/>
        <v>1.4128073053155506E-2</v>
      </c>
      <c r="DJ135">
        <f t="shared" si="183"/>
        <v>1.4173134694165574E-2</v>
      </c>
      <c r="DK135">
        <f t="shared" si="184"/>
        <v>1.4216490215137401E-2</v>
      </c>
      <c r="DL135">
        <f t="shared" si="185"/>
        <v>1.4256607650154294E-2</v>
      </c>
      <c r="DM135">
        <f t="shared" si="186"/>
        <v>1.4292822852142537E-2</v>
      </c>
      <c r="DN135">
        <f t="shared" si="187"/>
        <v>1.4326260443480286E-2</v>
      </c>
      <c r="DO135">
        <f t="shared" si="188"/>
        <v>1.435729529829359E-2</v>
      </c>
      <c r="DP135">
        <f t="shared" si="189"/>
        <v>1.4384855925970191E-2</v>
      </c>
      <c r="DQ135">
        <f t="shared" si="190"/>
        <v>1.4408762268859001E-2</v>
      </c>
      <c r="DR135">
        <f t="shared" si="191"/>
        <v>1.4434900145915478E-2</v>
      </c>
      <c r="DS135">
        <f t="shared" si="192"/>
        <v>1.4465982228965132E-2</v>
      </c>
      <c r="DT135">
        <f t="shared" si="193"/>
        <v>1.4499641202660786E-2</v>
      </c>
      <c r="DU135">
        <f t="shared" si="194"/>
        <v>1.4530174257462837E-2</v>
      </c>
      <c r="DV135">
        <f t="shared" si="195"/>
        <v>1.4557965122791663E-2</v>
      </c>
      <c r="DW135">
        <f t="shared" si="196"/>
        <v>1.4585144972812672E-2</v>
      </c>
      <c r="DX135">
        <f t="shared" si="197"/>
        <v>1.4611941093413313E-2</v>
      </c>
      <c r="DY135">
        <f t="shared" si="198"/>
        <v>1.4637160971625684E-2</v>
      </c>
      <c r="DZ135">
        <f t="shared" si="199"/>
        <v>1.4658998127409286E-2</v>
      </c>
      <c r="EA135">
        <f t="shared" si="200"/>
        <v>1.4677387621939141E-2</v>
      </c>
      <c r="EB135">
        <f t="shared" si="201"/>
        <v>1.4690626286941771E-2</v>
      </c>
      <c r="EC135">
        <f t="shared" si="202"/>
        <v>1.4697542271802677E-2</v>
      </c>
      <c r="ED135">
        <f t="shared" si="203"/>
        <v>1.4698324489467269E-2</v>
      </c>
      <c r="EE135">
        <f t="shared" si="204"/>
        <v>1.4693088058761657E-2</v>
      </c>
      <c r="EF135">
        <f t="shared" si="205"/>
        <v>1.4680295110239607E-2</v>
      </c>
      <c r="EG135">
        <f t="shared" si="206"/>
        <v>1.4663833118105901E-2</v>
      </c>
      <c r="EH135">
        <f t="shared" si="207"/>
        <v>1.4645163205922702E-2</v>
      </c>
      <c r="EI135">
        <f t="shared" si="208"/>
        <v>1.4621212586562314E-2</v>
      </c>
      <c r="EJ135">
        <f t="shared" si="209"/>
        <v>1.4588306312883534E-2</v>
      </c>
      <c r="EK135">
        <f t="shared" si="210"/>
        <v>1.4548177070807553E-2</v>
      </c>
      <c r="EL135">
        <f t="shared" si="211"/>
        <v>1.4490009594209595E-2</v>
      </c>
      <c r="EM135">
        <f t="shared" si="212"/>
        <v>1.4408363780614773E-2</v>
      </c>
      <c r="EN135">
        <f t="shared" si="213"/>
        <v>1.4308257630135572E-2</v>
      </c>
      <c r="EO135">
        <f t="shared" si="214"/>
        <v>1.4204656590166264E-2</v>
      </c>
      <c r="EP135">
        <f t="shared" si="215"/>
        <v>1.4099972252525617E-2</v>
      </c>
      <c r="EQ135">
        <f t="shared" si="216"/>
        <v>1.3974593092068149E-2</v>
      </c>
      <c r="ER135">
        <f t="shared" si="217"/>
        <v>1.382202227453058E-2</v>
      </c>
      <c r="ES135">
        <f t="shared" si="218"/>
        <v>1.3654096376648824E-2</v>
      </c>
      <c r="ET135">
        <f t="shared" si="219"/>
        <v>1.3487005828197559E-2</v>
      </c>
      <c r="EU135">
        <f t="shared" si="220"/>
        <v>1.3314912038457673E-2</v>
      </c>
      <c r="EV135">
        <f t="shared" si="221"/>
        <v>1.3171993491724699E-2</v>
      </c>
      <c r="EW135">
        <f t="shared" si="222"/>
        <v>1.3076090654280892E-2</v>
      </c>
      <c r="EX135">
        <f t="shared" si="223"/>
        <v>1.3011703809308229E-2</v>
      </c>
      <c r="EY135">
        <f t="shared" si="224"/>
        <v>1.2936625672331213E-2</v>
      </c>
      <c r="EZ135">
        <f t="shared" si="225"/>
        <v>1.2848663082124212E-2</v>
      </c>
      <c r="FA135">
        <f t="shared" si="226"/>
        <v>1.2785811154833016E-2</v>
      </c>
      <c r="FB135">
        <f t="shared" si="227"/>
        <v>1.2759295451885717E-2</v>
      </c>
      <c r="FC135">
        <f t="shared" si="228"/>
        <v>1.2746859666901084E-2</v>
      </c>
      <c r="FD135">
        <f t="shared" si="229"/>
        <v>1.2720373481601504E-2</v>
      </c>
      <c r="FE135">
        <f t="shared" si="230"/>
        <v>1.2691894855080795E-2</v>
      </c>
      <c r="FF135">
        <f t="shared" si="231"/>
        <v>1.2588160985696747E-2</v>
      </c>
      <c r="FG135">
        <f t="shared" si="232"/>
        <v>1.2371873373789772E-2</v>
      </c>
      <c r="FH135">
        <f t="shared" si="233"/>
        <v>1.2076826774235038E-2</v>
      </c>
      <c r="FI135">
        <f t="shared" si="234"/>
        <v>1.1772337479174527E-2</v>
      </c>
      <c r="FJ135">
        <f t="shared" si="235"/>
        <v>1.1442421682367603E-2</v>
      </c>
      <c r="FK135">
        <f t="shared" si="236"/>
        <v>1.1113860745591049E-2</v>
      </c>
      <c r="FL135">
        <f t="shared" si="237"/>
        <v>1.0806280952814204E-2</v>
      </c>
      <c r="FM135">
        <f t="shared" si="238"/>
        <v>1.0503636510736223E-2</v>
      </c>
      <c r="FN135">
        <f t="shared" si="239"/>
        <v>1.0167085146721737E-2</v>
      </c>
      <c r="FO135">
        <f t="shared" si="240"/>
        <v>9.800555659682339E-3</v>
      </c>
      <c r="FP135">
        <f t="shared" si="241"/>
        <v>9.4165369663685647E-3</v>
      </c>
      <c r="FQ135">
        <f t="shared" si="242"/>
        <v>9.0161094126869831E-3</v>
      </c>
      <c r="FR135">
        <f t="shared" si="243"/>
        <v>8.5932189290901205E-3</v>
      </c>
      <c r="FS135">
        <f t="shared" si="244"/>
        <v>8.1305563669546964E-3</v>
      </c>
      <c r="FT135">
        <f t="shared" si="245"/>
        <v>7.7968003241793383E-3</v>
      </c>
      <c r="FU135">
        <f t="shared" si="246"/>
        <v>7.301494195429848E-3</v>
      </c>
      <c r="FV135">
        <f t="shared" si="247"/>
        <v>6.5662036871833888E-3</v>
      </c>
      <c r="FW135">
        <f t="shared" si="248"/>
        <v>5.6105757457627064E-3</v>
      </c>
      <c r="FX135">
        <f t="shared" si="249"/>
        <v>4.8486573675076122E-3</v>
      </c>
      <c r="FY135">
        <f t="shared" si="250"/>
        <v>4.4263985615719675E-3</v>
      </c>
      <c r="FZ135">
        <f t="shared" si="251"/>
        <v>3.9262633456554081E-3</v>
      </c>
      <c r="GA135">
        <f t="shared" si="252"/>
        <v>3.2564223176995474E-3</v>
      </c>
      <c r="GB135">
        <f t="shared" si="253"/>
        <v>2.4168725259396148E-3</v>
      </c>
      <c r="GC135">
        <f t="shared" si="254"/>
        <v>2.0717787546748251E-3</v>
      </c>
      <c r="GD135">
        <f t="shared" si="255"/>
        <v>1.4023214561393305E-3</v>
      </c>
      <c r="GE135">
        <f t="shared" si="256"/>
        <v>3.2423925797380078E-3</v>
      </c>
    </row>
    <row r="136" spans="1:187">
      <c r="A136" s="15">
        <v>2084</v>
      </c>
      <c r="B136" s="18">
        <v>4381.8450000000003</v>
      </c>
      <c r="C136" s="18">
        <v>4388.7219999999998</v>
      </c>
      <c r="D136" s="18">
        <v>4392.2110000000002</v>
      </c>
      <c r="E136" s="18">
        <v>4392.9930000000004</v>
      </c>
      <c r="F136" s="18">
        <v>4385.9679999999998</v>
      </c>
      <c r="G136" s="18">
        <v>4384.6559999999999</v>
      </c>
      <c r="H136" s="18">
        <v>4382.6970000000001</v>
      </c>
      <c r="I136" s="18">
        <v>4380.7870000000003</v>
      </c>
      <c r="J136" s="18">
        <v>4379.62</v>
      </c>
      <c r="K136" s="18">
        <v>4379.0659999999998</v>
      </c>
      <c r="L136" s="18">
        <v>4378.991</v>
      </c>
      <c r="M136" s="18">
        <v>4384.2259999999997</v>
      </c>
      <c r="N136" s="18">
        <v>4397.1170000000002</v>
      </c>
      <c r="O136" s="18">
        <v>4415.8810000000003</v>
      </c>
      <c r="P136" s="18">
        <v>4435.5929999999998</v>
      </c>
      <c r="Q136" s="18">
        <v>4456.2870000000003</v>
      </c>
      <c r="R136" s="18">
        <v>4481.96</v>
      </c>
      <c r="S136" s="18">
        <v>4513.8010000000004</v>
      </c>
      <c r="T136" s="18">
        <v>4549.6970000000001</v>
      </c>
      <c r="U136" s="18">
        <v>4585.991</v>
      </c>
      <c r="V136" s="18">
        <v>4622.9809999999998</v>
      </c>
      <c r="W136" s="18">
        <v>4658.37</v>
      </c>
      <c r="X136" s="18">
        <v>4690.4989999999998</v>
      </c>
      <c r="Y136" s="18">
        <v>4719.8779999999997</v>
      </c>
      <c r="Z136" s="18">
        <v>4749.0240000000003</v>
      </c>
      <c r="AA136" s="18">
        <v>4777.8580000000002</v>
      </c>
      <c r="AB136" s="18">
        <v>4802.0360000000001</v>
      </c>
      <c r="AC136" s="18">
        <v>4819.7790000000005</v>
      </c>
      <c r="AD136" s="18">
        <v>4832.8599999999997</v>
      </c>
      <c r="AE136" s="18">
        <v>4845.067</v>
      </c>
      <c r="AF136" s="18">
        <v>4855.9269999999997</v>
      </c>
      <c r="AG136" s="18">
        <v>4865.6540000000005</v>
      </c>
      <c r="AH136" s="18">
        <v>4874.8320000000003</v>
      </c>
      <c r="AI136" s="18">
        <v>4883.4669999999996</v>
      </c>
      <c r="AJ136" s="18">
        <v>4890.8609999999999</v>
      </c>
      <c r="AK136" s="18">
        <v>4897.0060000000003</v>
      </c>
      <c r="AL136" s="18">
        <v>4904.058</v>
      </c>
      <c r="AM136" s="18">
        <v>4912.9780000000001</v>
      </c>
      <c r="AN136" s="18">
        <v>4922.92</v>
      </c>
      <c r="AO136" s="18">
        <v>4931.8519999999999</v>
      </c>
      <c r="AP136" s="18">
        <v>4939.915</v>
      </c>
      <c r="AQ136" s="18">
        <v>4947.8389999999999</v>
      </c>
      <c r="AR136" s="18">
        <v>4955.6980000000003</v>
      </c>
      <c r="AS136" s="18">
        <v>4963.0709999999999</v>
      </c>
      <c r="AT136" s="18">
        <v>4969.3360000000002</v>
      </c>
      <c r="AU136" s="18">
        <v>4974.4660000000003</v>
      </c>
      <c r="AV136" s="18">
        <v>4977.8549999999996</v>
      </c>
      <c r="AW136" s="18">
        <v>4979.0810000000001</v>
      </c>
      <c r="AX136" s="18">
        <v>4978.2150000000001</v>
      </c>
      <c r="AY136" s="18">
        <v>4975.3190000000004</v>
      </c>
      <c r="AZ136" s="18">
        <v>4969.8770000000004</v>
      </c>
      <c r="BA136" s="18">
        <v>4963.1369999999997</v>
      </c>
      <c r="BB136" s="18">
        <v>4955.5600000000004</v>
      </c>
      <c r="BC136" s="18">
        <v>4946.1369999999997</v>
      </c>
      <c r="BD136" s="18">
        <v>4933.6809999999996</v>
      </c>
      <c r="BE136" s="18">
        <v>4918.7669999999998</v>
      </c>
      <c r="BF136" s="18">
        <v>4897.7560000000003</v>
      </c>
      <c r="BG136" s="18">
        <v>4868.8239999999996</v>
      </c>
      <c r="BH136" s="18">
        <v>4833.6580000000004</v>
      </c>
      <c r="BI136" s="18">
        <v>4797.2690000000002</v>
      </c>
      <c r="BJ136" s="18">
        <v>4760.4539999999997</v>
      </c>
      <c r="BK136" s="18">
        <v>4716.7060000000001</v>
      </c>
      <c r="BL136" s="18">
        <v>4663.8710000000001</v>
      </c>
      <c r="BM136" s="18">
        <v>4605.884</v>
      </c>
      <c r="BN136" s="18">
        <v>4548.0609999999997</v>
      </c>
      <c r="BO136" s="18">
        <v>4488.415</v>
      </c>
      <c r="BP136" s="18">
        <v>4438.5780000000004</v>
      </c>
      <c r="BQ136" s="18">
        <v>4404.5919999999996</v>
      </c>
      <c r="BR136" s="18">
        <v>4381.1450000000004</v>
      </c>
      <c r="BS136" s="18">
        <v>4353.866</v>
      </c>
      <c r="BT136" s="18">
        <v>4322.009</v>
      </c>
      <c r="BU136" s="18">
        <v>4298.3100000000004</v>
      </c>
      <c r="BV136" s="18">
        <v>4286.49</v>
      </c>
      <c r="BW136" s="18">
        <v>4279.0389999999998</v>
      </c>
      <c r="BX136" s="18">
        <v>4266.4769999999999</v>
      </c>
      <c r="BY136" s="18">
        <v>4252.8119999999999</v>
      </c>
      <c r="BZ136" s="18">
        <v>4213.3900000000003</v>
      </c>
      <c r="CA136" s="18">
        <v>4135.6419999999998</v>
      </c>
      <c r="CB136" s="18">
        <v>4030.877</v>
      </c>
      <c r="CC136" s="18">
        <v>3922.4270000000001</v>
      </c>
      <c r="CD136" s="18">
        <v>3804.9650000000001</v>
      </c>
      <c r="CE136" s="18">
        <v>3687.018</v>
      </c>
      <c r="CF136" s="18">
        <v>3574.9630000000002</v>
      </c>
      <c r="CG136" s="18">
        <v>3463.6309999999999</v>
      </c>
      <c r="CH136" s="18">
        <v>3340.8409999999999</v>
      </c>
      <c r="CI136" s="18">
        <v>3208.2669999999998</v>
      </c>
      <c r="CJ136" s="18">
        <v>3068.09</v>
      </c>
      <c r="CK136" s="18">
        <v>2919.9270000000001</v>
      </c>
      <c r="CL136" s="18">
        <v>2762.9760000000001</v>
      </c>
      <c r="CM136" s="18">
        <v>2590.9079999999999</v>
      </c>
      <c r="CN136" s="18">
        <v>2478.0279999999998</v>
      </c>
      <c r="CO136" s="18">
        <v>2304.0160000000001</v>
      </c>
      <c r="CP136" s="18">
        <v>2038.498</v>
      </c>
      <c r="CQ136" s="18">
        <v>1684.8</v>
      </c>
      <c r="CR136" s="18">
        <v>1424.5029999999999</v>
      </c>
      <c r="CS136" s="18">
        <v>1297.6769999999999</v>
      </c>
      <c r="CT136" s="18">
        <v>1136.0820000000001</v>
      </c>
      <c r="CU136" s="18">
        <v>924.16800000000001</v>
      </c>
      <c r="CV136" s="18">
        <v>661.93499999999995</v>
      </c>
      <c r="CW136" s="18">
        <v>489.75900000000001</v>
      </c>
      <c r="CX136" s="18">
        <v>1133.326</v>
      </c>
      <c r="CY136" s="3">
        <f t="shared" si="172"/>
        <v>419014.9000000002</v>
      </c>
      <c r="CZ136" s="21">
        <f t="shared" si="173"/>
        <v>339702.47900000011</v>
      </c>
      <c r="DA136">
        <f t="shared" si="174"/>
        <v>1.3393181625854424E-2</v>
      </c>
      <c r="DB136">
        <f t="shared" si="175"/>
        <v>1.3500022176758971E-2</v>
      </c>
      <c r="DC136">
        <f t="shared" si="176"/>
        <v>1.3608911579358826E-2</v>
      </c>
      <c r="DD136">
        <f t="shared" si="177"/>
        <v>1.3713088034308983E-2</v>
      </c>
      <c r="DE136">
        <f t="shared" si="178"/>
        <v>1.3807667856318465E-2</v>
      </c>
      <c r="DF136">
        <f t="shared" si="179"/>
        <v>1.3894152359129526E-2</v>
      </c>
      <c r="DG136">
        <f t="shared" si="180"/>
        <v>1.3979950967623051E-2</v>
      </c>
      <c r="DH136">
        <f t="shared" si="181"/>
        <v>1.4064831125356605E-2</v>
      </c>
      <c r="DI136">
        <f t="shared" si="182"/>
        <v>1.4136005171749125E-2</v>
      </c>
      <c r="DJ136">
        <f t="shared" si="183"/>
        <v>1.4188236171217341E-2</v>
      </c>
      <c r="DK136">
        <f t="shared" si="184"/>
        <v>1.4226743396829901E-2</v>
      </c>
      <c r="DL136">
        <f t="shared" si="185"/>
        <v>1.4262677782813584E-2</v>
      </c>
      <c r="DM136">
        <f t="shared" si="186"/>
        <v>1.4294646934266259E-2</v>
      </c>
      <c r="DN136">
        <f t="shared" si="187"/>
        <v>1.4323280814209185E-2</v>
      </c>
      <c r="DO136">
        <f t="shared" si="188"/>
        <v>1.4350298574064863E-2</v>
      </c>
      <c r="DP136">
        <f t="shared" si="189"/>
        <v>1.4375717876347904E-2</v>
      </c>
      <c r="DQ136">
        <f t="shared" si="190"/>
        <v>1.4397483981858132E-2</v>
      </c>
      <c r="DR136">
        <f t="shared" si="191"/>
        <v>1.441557334057606E-2</v>
      </c>
      <c r="DS136">
        <f t="shared" si="192"/>
        <v>1.4436332682753246E-2</v>
      </c>
      <c r="DT136">
        <f t="shared" si="193"/>
        <v>1.446259095448049E-2</v>
      </c>
      <c r="DU136">
        <f t="shared" si="194"/>
        <v>1.4491857741197109E-2</v>
      </c>
      <c r="DV136">
        <f t="shared" si="195"/>
        <v>1.4518151337953582E-2</v>
      </c>
      <c r="DW136">
        <f t="shared" si="196"/>
        <v>1.4541886813843352E-2</v>
      </c>
      <c r="DX136">
        <f t="shared" si="197"/>
        <v>1.4565213108144549E-2</v>
      </c>
      <c r="DY136">
        <f t="shared" si="198"/>
        <v>1.4588348058537421E-2</v>
      </c>
      <c r="DZ136">
        <f t="shared" si="199"/>
        <v>1.4610052345246495E-2</v>
      </c>
      <c r="EA136">
        <f t="shared" si="200"/>
        <v>1.4628494954256718E-2</v>
      </c>
      <c r="EB136">
        <f t="shared" si="201"/>
        <v>1.4643596404252319E-2</v>
      </c>
      <c r="EC136">
        <f t="shared" si="202"/>
        <v>1.4653572781257207E-2</v>
      </c>
      <c r="ED136">
        <f t="shared" si="203"/>
        <v>1.4657181821743488E-2</v>
      </c>
      <c r="EE136">
        <f t="shared" si="204"/>
        <v>1.4654632532134093E-2</v>
      </c>
      <c r="EF136">
        <f t="shared" si="205"/>
        <v>1.4646107425080048E-2</v>
      </c>
      <c r="EG136">
        <f t="shared" si="206"/>
        <v>1.463008752432448E-2</v>
      </c>
      <c r="EH136">
        <f t="shared" si="207"/>
        <v>1.4610246632907256E-2</v>
      </c>
      <c r="EI136">
        <f t="shared" si="208"/>
        <v>1.4587941820701281E-2</v>
      </c>
      <c r="EJ136">
        <f t="shared" si="209"/>
        <v>1.4560202841498834E-2</v>
      </c>
      <c r="EK136">
        <f t="shared" si="210"/>
        <v>1.452353546115864E-2</v>
      </c>
      <c r="EL136">
        <f t="shared" si="211"/>
        <v>1.4479632337331275E-2</v>
      </c>
      <c r="EM136">
        <f t="shared" si="212"/>
        <v>1.4417781154902902E-2</v>
      </c>
      <c r="EN136">
        <f t="shared" si="213"/>
        <v>1.4332612509430636E-2</v>
      </c>
      <c r="EO136">
        <f t="shared" si="214"/>
        <v>1.4229092511273663E-2</v>
      </c>
      <c r="EP136">
        <f t="shared" si="215"/>
        <v>1.4121972303887717E-2</v>
      </c>
      <c r="EQ136">
        <f t="shared" si="216"/>
        <v>1.4013598057964123E-2</v>
      </c>
      <c r="ER136">
        <f t="shared" si="217"/>
        <v>1.3884814776403203E-2</v>
      </c>
      <c r="ES136">
        <f t="shared" si="218"/>
        <v>1.3729281616458261E-2</v>
      </c>
      <c r="ET136">
        <f t="shared" si="219"/>
        <v>1.3558582243964133E-2</v>
      </c>
      <c r="EU136">
        <f t="shared" si="220"/>
        <v>1.3388365646869472E-2</v>
      </c>
      <c r="EV136">
        <f t="shared" si="221"/>
        <v>1.3212782589084369E-2</v>
      </c>
      <c r="EW136">
        <f t="shared" si="222"/>
        <v>1.3066074798941927E-2</v>
      </c>
      <c r="EX136">
        <f t="shared" si="223"/>
        <v>1.296602842865918E-2</v>
      </c>
      <c r="EY136">
        <f t="shared" si="224"/>
        <v>1.2897006265297226E-2</v>
      </c>
      <c r="EZ136">
        <f t="shared" si="225"/>
        <v>1.281670364260132E-2</v>
      </c>
      <c r="FA136">
        <f t="shared" si="226"/>
        <v>1.2722924521254373E-2</v>
      </c>
      <c r="FB136">
        <f t="shared" si="227"/>
        <v>1.2653160532278598E-2</v>
      </c>
      <c r="FC136">
        <f t="shared" si="228"/>
        <v>1.2618365378487564E-2</v>
      </c>
      <c r="FD136">
        <f t="shared" si="229"/>
        <v>1.2596431479088495E-2</v>
      </c>
      <c r="FE136">
        <f t="shared" si="230"/>
        <v>1.2559452060990108E-2</v>
      </c>
      <c r="FF136">
        <f t="shared" si="231"/>
        <v>1.2519225683955042E-2</v>
      </c>
      <c r="FG136">
        <f t="shared" si="232"/>
        <v>1.2403177075431348E-2</v>
      </c>
      <c r="FH136">
        <f t="shared" si="233"/>
        <v>1.217430621105358E-2</v>
      </c>
      <c r="FI136">
        <f t="shared" si="234"/>
        <v>1.1865903987118087E-2</v>
      </c>
      <c r="FJ136">
        <f t="shared" si="235"/>
        <v>1.1546654035456712E-2</v>
      </c>
      <c r="FK136">
        <f t="shared" si="236"/>
        <v>1.1200874986843998E-2</v>
      </c>
      <c r="FL136">
        <f t="shared" si="237"/>
        <v>1.0853668218299929E-2</v>
      </c>
      <c r="FM136">
        <f t="shared" si="238"/>
        <v>1.052380603910753E-2</v>
      </c>
      <c r="FN136">
        <f t="shared" si="239"/>
        <v>1.0196072192926207E-2</v>
      </c>
      <c r="FO136">
        <f t="shared" si="240"/>
        <v>9.8346088313356079E-3</v>
      </c>
      <c r="FP136">
        <f t="shared" si="241"/>
        <v>9.4443437959132424E-3</v>
      </c>
      <c r="FQ136">
        <f t="shared" si="242"/>
        <v>9.0316974107215713E-3</v>
      </c>
      <c r="FR136">
        <f t="shared" si="243"/>
        <v>8.5955422185776849E-3</v>
      </c>
      <c r="FS136">
        <f t="shared" si="244"/>
        <v>8.1335173300280776E-3</v>
      </c>
      <c r="FT136">
        <f t="shared" si="245"/>
        <v>7.6269917359066408E-3</v>
      </c>
      <c r="FU136">
        <f t="shared" si="246"/>
        <v>7.2947009609547154E-3</v>
      </c>
      <c r="FV136">
        <f t="shared" si="247"/>
        <v>6.782452712098104E-3</v>
      </c>
      <c r="FW136">
        <f t="shared" si="248"/>
        <v>6.000833452852134E-3</v>
      </c>
      <c r="FX136">
        <f t="shared" si="249"/>
        <v>4.9596341038182397E-3</v>
      </c>
      <c r="FY136">
        <f t="shared" si="250"/>
        <v>4.1933841760395264E-3</v>
      </c>
      <c r="FZ136">
        <f t="shared" si="251"/>
        <v>3.8200398296180803E-3</v>
      </c>
      <c r="GA136">
        <f t="shared" si="252"/>
        <v>3.3443441547566679E-3</v>
      </c>
      <c r="GB136">
        <f t="shared" si="253"/>
        <v>2.7205218010787602E-3</v>
      </c>
      <c r="GC136">
        <f t="shared" si="254"/>
        <v>1.948572768584358E-3</v>
      </c>
      <c r="GD136">
        <f t="shared" si="255"/>
        <v>1.4417292491998559E-3</v>
      </c>
      <c r="GE136">
        <f t="shared" si="256"/>
        <v>3.3362311730436318E-3</v>
      </c>
    </row>
    <row r="137" spans="1:187">
      <c r="A137" s="15">
        <v>2085</v>
      </c>
      <c r="B137" s="18">
        <v>4386.87</v>
      </c>
      <c r="C137" s="18">
        <v>4393.8500000000004</v>
      </c>
      <c r="D137" s="18">
        <v>4397.1419999999998</v>
      </c>
      <c r="E137" s="18">
        <v>4397.473</v>
      </c>
      <c r="F137" s="18">
        <v>4395.5720000000001</v>
      </c>
      <c r="G137" s="18">
        <v>4392.1670000000004</v>
      </c>
      <c r="H137" s="18">
        <v>4387.9859999999999</v>
      </c>
      <c r="I137" s="18">
        <v>4383.7579999999998</v>
      </c>
      <c r="J137" s="18">
        <v>4380.2120000000004</v>
      </c>
      <c r="K137" s="18">
        <v>4378.0749999999998</v>
      </c>
      <c r="L137" s="18">
        <v>4377.0429999999997</v>
      </c>
      <c r="M137" s="18">
        <v>4376.8140000000003</v>
      </c>
      <c r="N137" s="18">
        <v>4383.277</v>
      </c>
      <c r="O137" s="18">
        <v>4399.2250000000004</v>
      </c>
      <c r="P137" s="18">
        <v>4422.2910000000002</v>
      </c>
      <c r="Q137" s="18">
        <v>4446.3590000000004</v>
      </c>
      <c r="R137" s="18">
        <v>4471.5110000000004</v>
      </c>
      <c r="S137" s="18">
        <v>4501.7129999999997</v>
      </c>
      <c r="T137" s="18">
        <v>4537.9560000000001</v>
      </c>
      <c r="U137" s="18">
        <v>4577.9930000000004</v>
      </c>
      <c r="V137" s="18">
        <v>4618.3419999999996</v>
      </c>
      <c r="W137" s="18">
        <v>4659.4059999999999</v>
      </c>
      <c r="X137" s="18">
        <v>4697.3450000000003</v>
      </c>
      <c r="Y137" s="18">
        <v>4729.7950000000001</v>
      </c>
      <c r="Z137" s="18">
        <v>4757.9229999999998</v>
      </c>
      <c r="AA137" s="18">
        <v>4785.6899999999996</v>
      </c>
      <c r="AB137" s="18">
        <v>4812.8130000000001</v>
      </c>
      <c r="AC137" s="18">
        <v>4834.9930000000004</v>
      </c>
      <c r="AD137" s="18">
        <v>4850.6490000000003</v>
      </c>
      <c r="AE137" s="18">
        <v>4861.5410000000002</v>
      </c>
      <c r="AF137" s="18">
        <v>4871.2619999999997</v>
      </c>
      <c r="AG137" s="18">
        <v>4879.3879999999999</v>
      </c>
      <c r="AH137" s="18">
        <v>4886.5720000000001</v>
      </c>
      <c r="AI137" s="18">
        <v>4893.598</v>
      </c>
      <c r="AJ137" s="18">
        <v>4900.3519999999999</v>
      </c>
      <c r="AK137" s="18">
        <v>4905.8</v>
      </c>
      <c r="AL137" s="18">
        <v>4909.9889999999996</v>
      </c>
      <c r="AM137" s="18">
        <v>4915.2359999999999</v>
      </c>
      <c r="AN137" s="18">
        <v>4922.5439999999999</v>
      </c>
      <c r="AO137" s="18">
        <v>4931.0209999999997</v>
      </c>
      <c r="AP137" s="18">
        <v>4938.54</v>
      </c>
      <c r="AQ137" s="18">
        <v>4945.2470000000003</v>
      </c>
      <c r="AR137" s="18">
        <v>4951.884</v>
      </c>
      <c r="AS137" s="18">
        <v>4958.5200000000004</v>
      </c>
      <c r="AT137" s="18">
        <v>4964.72</v>
      </c>
      <c r="AU137" s="18">
        <v>4969.8509999999997</v>
      </c>
      <c r="AV137" s="18">
        <v>4973.8810000000003</v>
      </c>
      <c r="AW137" s="18">
        <v>4976.1710000000003</v>
      </c>
      <c r="AX137" s="18">
        <v>4976.2809999999999</v>
      </c>
      <c r="AY137" s="18">
        <v>4974.2839999999997</v>
      </c>
      <c r="AZ137" s="18">
        <v>4970.2709999999997</v>
      </c>
      <c r="BA137" s="18">
        <v>4963.7259999999997</v>
      </c>
      <c r="BB137" s="18">
        <v>4955.8270000000002</v>
      </c>
      <c r="BC137" s="18">
        <v>4947.0039999999999</v>
      </c>
      <c r="BD137" s="18">
        <v>4936.2780000000002</v>
      </c>
      <c r="BE137" s="18">
        <v>4922.5219999999999</v>
      </c>
      <c r="BF137" s="18">
        <v>4906.2969999999996</v>
      </c>
      <c r="BG137" s="18">
        <v>4883.9949999999999</v>
      </c>
      <c r="BH137" s="18">
        <v>4853.8090000000002</v>
      </c>
      <c r="BI137" s="18">
        <v>4817.41</v>
      </c>
      <c r="BJ137" s="18">
        <v>4779.75</v>
      </c>
      <c r="BK137" s="18">
        <v>4741.6080000000002</v>
      </c>
      <c r="BL137" s="18">
        <v>4696.6099999999997</v>
      </c>
      <c r="BM137" s="18">
        <v>4642.6570000000002</v>
      </c>
      <c r="BN137" s="18">
        <v>4583.6049999999996</v>
      </c>
      <c r="BO137" s="18">
        <v>4524.5990000000002</v>
      </c>
      <c r="BP137" s="18">
        <v>4463.6409999999996</v>
      </c>
      <c r="BQ137" s="18">
        <v>4412.4139999999998</v>
      </c>
      <c r="BR137" s="18">
        <v>4376.9520000000002</v>
      </c>
      <c r="BS137" s="18">
        <v>4351.884</v>
      </c>
      <c r="BT137" s="18">
        <v>4322.7780000000002</v>
      </c>
      <c r="BU137" s="18">
        <v>4288.8829999999998</v>
      </c>
      <c r="BV137" s="18">
        <v>4262.7920000000004</v>
      </c>
      <c r="BW137" s="18">
        <v>4248.1450000000004</v>
      </c>
      <c r="BX137" s="18">
        <v>4237.4620000000004</v>
      </c>
      <c r="BY137" s="18">
        <v>4221.3230000000003</v>
      </c>
      <c r="BZ137" s="18">
        <v>4203.6530000000002</v>
      </c>
      <c r="CA137" s="18">
        <v>4159.9790000000003</v>
      </c>
      <c r="CB137" s="18">
        <v>4077.8020000000001</v>
      </c>
      <c r="CC137" s="18">
        <v>3968.29</v>
      </c>
      <c r="CD137" s="18">
        <v>3854.607</v>
      </c>
      <c r="CE137" s="18">
        <v>3731.5210000000002</v>
      </c>
      <c r="CF137" s="18">
        <v>3607.0070000000001</v>
      </c>
      <c r="CG137" s="18">
        <v>3487.1680000000001</v>
      </c>
      <c r="CH137" s="18">
        <v>3367.1019999999999</v>
      </c>
      <c r="CI137" s="18">
        <v>3235.614</v>
      </c>
      <c r="CJ137" s="18">
        <v>3094.7179999999998</v>
      </c>
      <c r="CK137" s="18">
        <v>2944.5479999999998</v>
      </c>
      <c r="CL137" s="18">
        <v>2783.973</v>
      </c>
      <c r="CM137" s="18">
        <v>2613.4369999999999</v>
      </c>
      <c r="CN137" s="18">
        <v>2426.1529999999998</v>
      </c>
      <c r="CO137" s="18">
        <v>2313.5219999999999</v>
      </c>
      <c r="CP137" s="18">
        <v>2133.3960000000002</v>
      </c>
      <c r="CQ137" s="18">
        <v>1851.623</v>
      </c>
      <c r="CR137" s="18">
        <v>1468.201</v>
      </c>
      <c r="CS137" s="18">
        <v>1205.8699999999999</v>
      </c>
      <c r="CT137" s="18">
        <v>1095.318</v>
      </c>
      <c r="CU137" s="18">
        <v>941.64200000000005</v>
      </c>
      <c r="CV137" s="18">
        <v>744.83799999999997</v>
      </c>
      <c r="CW137" s="18">
        <v>504.90899999999999</v>
      </c>
      <c r="CX137" s="18">
        <v>1169.3800000000001</v>
      </c>
      <c r="CY137" s="3">
        <f t="shared" si="172"/>
        <v>419937.43799999991</v>
      </c>
      <c r="CZ137" s="21">
        <f t="shared" si="173"/>
        <v>340666.09999999992</v>
      </c>
      <c r="DA137">
        <f t="shared" si="174"/>
        <v>1.332083233406553E-2</v>
      </c>
      <c r="DB137">
        <f t="shared" si="175"/>
        <v>1.3438357969871383E-2</v>
      </c>
      <c r="DC137">
        <f t="shared" si="176"/>
        <v>1.3556799458472683E-2</v>
      </c>
      <c r="DD137">
        <f t="shared" si="177"/>
        <v>1.3677339776396891E-2</v>
      </c>
      <c r="DE137">
        <f t="shared" si="178"/>
        <v>1.3788706889238469E-2</v>
      </c>
      <c r="DF137">
        <f t="shared" si="179"/>
        <v>1.3883961450816508E-2</v>
      </c>
      <c r="DG137">
        <f t="shared" si="180"/>
        <v>1.3966529102837062E-2</v>
      </c>
      <c r="DH137">
        <f t="shared" si="181"/>
        <v>1.4048037066206472E-2</v>
      </c>
      <c r="DI137">
        <f t="shared" si="182"/>
        <v>1.4127654615472456E-2</v>
      </c>
      <c r="DJ137">
        <f t="shared" si="183"/>
        <v>1.4192762355866938E-2</v>
      </c>
      <c r="DK137">
        <f t="shared" si="184"/>
        <v>1.4238719379474511E-2</v>
      </c>
      <c r="DL137">
        <f t="shared" si="185"/>
        <v>1.4270692035397714E-2</v>
      </c>
      <c r="DM137">
        <f t="shared" si="186"/>
        <v>1.4299227307912355E-2</v>
      </c>
      <c r="DN137">
        <f t="shared" si="187"/>
        <v>1.4323080576552821E-2</v>
      </c>
      <c r="DO137">
        <f t="shared" si="188"/>
        <v>1.434416867425318E-2</v>
      </c>
      <c r="DP137">
        <f t="shared" si="189"/>
        <v>1.436479297470456E-2</v>
      </c>
      <c r="DQ137">
        <f t="shared" si="190"/>
        <v>1.4384618839385547E-2</v>
      </c>
      <c r="DR137">
        <f t="shared" si="191"/>
        <v>1.4400611038198403E-2</v>
      </c>
      <c r="DS137">
        <f t="shared" si="192"/>
        <v>1.4412907536147566E-2</v>
      </c>
      <c r="DT137">
        <f t="shared" si="193"/>
        <v>1.4428309714409509E-2</v>
      </c>
      <c r="DU137">
        <f t="shared" si="194"/>
        <v>1.4449761804887546E-2</v>
      </c>
      <c r="DV137">
        <f t="shared" si="195"/>
        <v>1.4474645407922893E-2</v>
      </c>
      <c r="DW137">
        <f t="shared" si="196"/>
        <v>1.449671687320811E-2</v>
      </c>
      <c r="DX137">
        <f t="shared" si="197"/>
        <v>1.4516404772884656E-2</v>
      </c>
      <c r="DY137">
        <f t="shared" si="198"/>
        <v>1.453588719276735E-2</v>
      </c>
      <c r="DZ137">
        <f t="shared" si="199"/>
        <v>1.4555366677224419E-2</v>
      </c>
      <c r="EA137">
        <f t="shared" si="200"/>
        <v>1.4573566316108358E-2</v>
      </c>
      <c r="EB137">
        <f t="shared" si="201"/>
        <v>1.4588627984997628E-2</v>
      </c>
      <c r="EC137">
        <f t="shared" si="202"/>
        <v>1.4600457750272192E-2</v>
      </c>
      <c r="ED137">
        <f t="shared" si="203"/>
        <v>1.4607179874956744E-2</v>
      </c>
      <c r="EE137">
        <f t="shared" si="204"/>
        <v>1.4607502771775652E-2</v>
      </c>
      <c r="EF137">
        <f t="shared" si="205"/>
        <v>1.4601640726799646E-2</v>
      </c>
      <c r="EG137">
        <f t="shared" si="206"/>
        <v>1.4589860863760734E-2</v>
      </c>
      <c r="EH137">
        <f t="shared" si="207"/>
        <v>1.4570648503035672E-2</v>
      </c>
      <c r="EI137">
        <f t="shared" si="208"/>
        <v>1.4547461576012411E-2</v>
      </c>
      <c r="EJ137">
        <f t="shared" si="209"/>
        <v>1.4521562315710314E-2</v>
      </c>
      <c r="EK137">
        <f t="shared" si="210"/>
        <v>1.4490076940441099E-2</v>
      </c>
      <c r="EL137">
        <f t="shared" si="211"/>
        <v>1.4449697225523764E-2</v>
      </c>
      <c r="EM137">
        <f t="shared" si="212"/>
        <v>1.4402069944734744E-2</v>
      </c>
      <c r="EN137">
        <f t="shared" si="213"/>
        <v>1.4336604082413839E-2</v>
      </c>
      <c r="EO137">
        <f t="shared" si="214"/>
        <v>1.4247995324454065E-2</v>
      </c>
      <c r="EP137">
        <f t="shared" si="215"/>
        <v>1.4141148767077208E-2</v>
      </c>
      <c r="EQ137">
        <f t="shared" si="216"/>
        <v>1.4030600637985408E-2</v>
      </c>
      <c r="ER137">
        <f t="shared" si="217"/>
        <v>1.3918637633741664E-2</v>
      </c>
      <c r="ES137">
        <f t="shared" si="218"/>
        <v>1.3786549351403034E-2</v>
      </c>
      <c r="ET137">
        <f t="shared" si="219"/>
        <v>1.3628174332579618E-2</v>
      </c>
      <c r="EU137">
        <f t="shared" si="220"/>
        <v>1.3454831578486972E-2</v>
      </c>
      <c r="EV137">
        <f t="shared" si="221"/>
        <v>1.3281623853973147E-2</v>
      </c>
      <c r="EW137">
        <f t="shared" si="222"/>
        <v>1.3102686178636502E-2</v>
      </c>
      <c r="EX137">
        <f t="shared" si="223"/>
        <v>1.2952313130070767E-2</v>
      </c>
      <c r="EY137">
        <f t="shared" si="224"/>
        <v>1.2848217066505888E-2</v>
      </c>
      <c r="EZ137">
        <f t="shared" si="225"/>
        <v>1.2774631816902242E-2</v>
      </c>
      <c r="FA137">
        <f t="shared" si="226"/>
        <v>1.2689193318619027E-2</v>
      </c>
      <c r="FB137">
        <f t="shared" si="227"/>
        <v>1.2589697067010779E-2</v>
      </c>
      <c r="FC137">
        <f t="shared" si="228"/>
        <v>1.2513108876991287E-2</v>
      </c>
      <c r="FD137">
        <f t="shared" si="229"/>
        <v>1.2470113697840794E-2</v>
      </c>
      <c r="FE137">
        <f t="shared" si="230"/>
        <v>1.2438754545873515E-2</v>
      </c>
      <c r="FF137">
        <f t="shared" si="231"/>
        <v>1.2391379711688369E-2</v>
      </c>
      <c r="FG137">
        <f t="shared" si="232"/>
        <v>1.2339510740869142E-2</v>
      </c>
      <c r="FH137">
        <f t="shared" si="233"/>
        <v>1.2211308962059922E-2</v>
      </c>
      <c r="FI137">
        <f t="shared" si="234"/>
        <v>1.1970084490355809E-2</v>
      </c>
      <c r="FJ137">
        <f t="shared" si="235"/>
        <v>1.164862015915291E-2</v>
      </c>
      <c r="FK137">
        <f t="shared" si="236"/>
        <v>1.131491216766212E-2</v>
      </c>
      <c r="FL137">
        <f t="shared" si="237"/>
        <v>1.09536023690059E-2</v>
      </c>
      <c r="FM137">
        <f t="shared" si="238"/>
        <v>1.0588100782555121E-2</v>
      </c>
      <c r="FN137">
        <f t="shared" si="239"/>
        <v>1.0236322310907956E-2</v>
      </c>
      <c r="FO137">
        <f t="shared" si="240"/>
        <v>9.8838774976435888E-3</v>
      </c>
      <c r="FP137">
        <f t="shared" si="241"/>
        <v>9.4979042528740044E-3</v>
      </c>
      <c r="FQ137">
        <f t="shared" si="242"/>
        <v>9.0843145238108537E-3</v>
      </c>
      <c r="FR137">
        <f t="shared" si="243"/>
        <v>8.643501657488081E-3</v>
      </c>
      <c r="FS137">
        <f t="shared" si="244"/>
        <v>8.172145687522182E-3</v>
      </c>
      <c r="FT137">
        <f t="shared" si="245"/>
        <v>7.671549942891296E-3</v>
      </c>
      <c r="FU137">
        <f t="shared" si="246"/>
        <v>7.1217916898687608E-3</v>
      </c>
      <c r="FV137">
        <f t="shared" si="247"/>
        <v>6.7911717661369901E-3</v>
      </c>
      <c r="FW137">
        <f t="shared" si="248"/>
        <v>6.2624252897485267E-3</v>
      </c>
      <c r="FX137">
        <f t="shared" si="249"/>
        <v>5.4353016047091283E-3</v>
      </c>
      <c r="FY137">
        <f t="shared" si="250"/>
        <v>4.3097948401675436E-3</v>
      </c>
      <c r="FZ137">
        <f t="shared" si="251"/>
        <v>3.5397417001574276E-3</v>
      </c>
      <c r="GA137">
        <f t="shared" si="252"/>
        <v>3.215224526303029E-3</v>
      </c>
      <c r="GB137">
        <f t="shared" si="253"/>
        <v>2.7641200577339519E-3</v>
      </c>
      <c r="GC137">
        <f t="shared" si="254"/>
        <v>2.186416552747691E-3</v>
      </c>
      <c r="GD137">
        <f t="shared" si="255"/>
        <v>1.4821228176211255E-3</v>
      </c>
      <c r="GE137">
        <f t="shared" si="256"/>
        <v>3.4326280190485653E-3</v>
      </c>
    </row>
    <row r="138" spans="1:187">
      <c r="A138" s="15">
        <v>2086</v>
      </c>
      <c r="B138" s="18">
        <v>4397.8159999999998</v>
      </c>
      <c r="C138" s="18">
        <v>4399.4210000000003</v>
      </c>
      <c r="D138" s="18">
        <v>4403.6239999999998</v>
      </c>
      <c r="E138" s="18">
        <v>4404.6989999999996</v>
      </c>
      <c r="F138" s="18">
        <v>4403.4170000000004</v>
      </c>
      <c r="G138" s="18">
        <v>4400.5450000000001</v>
      </c>
      <c r="H138" s="18">
        <v>4396.6390000000001</v>
      </c>
      <c r="I138" s="18">
        <v>4392.2569999999996</v>
      </c>
      <c r="J138" s="18">
        <v>4389.2290000000003</v>
      </c>
      <c r="K138" s="18">
        <v>4388.75</v>
      </c>
      <c r="L138" s="18">
        <v>4390.9520000000002</v>
      </c>
      <c r="M138" s="18">
        <v>4394.3050000000003</v>
      </c>
      <c r="N138" s="18">
        <v>4398.558</v>
      </c>
      <c r="O138" s="18">
        <v>4409.5829999999996</v>
      </c>
      <c r="P138" s="18">
        <v>4429.9790000000003</v>
      </c>
      <c r="Q138" s="18">
        <v>4457.24</v>
      </c>
      <c r="R138" s="18">
        <v>4485.4210000000003</v>
      </c>
      <c r="S138" s="18">
        <v>4514.7030000000004</v>
      </c>
      <c r="T138" s="18">
        <v>4547.5150000000003</v>
      </c>
      <c r="U138" s="18">
        <v>4584.143</v>
      </c>
      <c r="V138" s="18">
        <v>4622.9979999999996</v>
      </c>
      <c r="W138" s="18">
        <v>4662.0330000000004</v>
      </c>
      <c r="X138" s="18">
        <v>4701.4530000000004</v>
      </c>
      <c r="Y138" s="18">
        <v>4737.4530000000004</v>
      </c>
      <c r="Z138" s="18">
        <v>4767.857</v>
      </c>
      <c r="AA138" s="18">
        <v>4793.8310000000001</v>
      </c>
      <c r="AB138" s="18">
        <v>4819.1459999999997</v>
      </c>
      <c r="AC138" s="18">
        <v>4843.5659999999998</v>
      </c>
      <c r="AD138" s="18">
        <v>4863.2299999999996</v>
      </c>
      <c r="AE138" s="18">
        <v>4876.7569999999996</v>
      </c>
      <c r="AF138" s="18">
        <v>4885.7889999999998</v>
      </c>
      <c r="AG138" s="18">
        <v>4893.5829999999996</v>
      </c>
      <c r="AH138" s="18">
        <v>4899.7690000000002</v>
      </c>
      <c r="AI138" s="18">
        <v>4905.1670000000004</v>
      </c>
      <c r="AJ138" s="18">
        <v>4910.6019999999999</v>
      </c>
      <c r="AK138" s="18">
        <v>4915.915</v>
      </c>
      <c r="AL138" s="18">
        <v>4919.973</v>
      </c>
      <c r="AM138" s="18">
        <v>4922.8289999999997</v>
      </c>
      <c r="AN138" s="18">
        <v>4926.8140000000003</v>
      </c>
      <c r="AO138" s="18">
        <v>4932.9250000000002</v>
      </c>
      <c r="AP138" s="18">
        <v>4940.2550000000001</v>
      </c>
      <c r="AQ138" s="18">
        <v>4946.6670000000004</v>
      </c>
      <c r="AR138" s="18">
        <v>4952.299</v>
      </c>
      <c r="AS138" s="18">
        <v>4957.866</v>
      </c>
      <c r="AT138" s="18">
        <v>4963.4139999999998</v>
      </c>
      <c r="AU138" s="18">
        <v>4968.5119999999997</v>
      </c>
      <c r="AV138" s="18">
        <v>4972.5519999999997</v>
      </c>
      <c r="AW138" s="18">
        <v>4975.5</v>
      </c>
      <c r="AX138" s="18">
        <v>4976.6559999999999</v>
      </c>
      <c r="AY138" s="18">
        <v>4975.5550000000003</v>
      </c>
      <c r="AZ138" s="18">
        <v>4972.2929999999997</v>
      </c>
      <c r="BA138" s="18">
        <v>4967.0129999999999</v>
      </c>
      <c r="BB138" s="18">
        <v>4959.1880000000001</v>
      </c>
      <c r="BC138" s="18">
        <v>4950.0029999999997</v>
      </c>
      <c r="BD138" s="18">
        <v>4939.8990000000003</v>
      </c>
      <c r="BE138" s="18">
        <v>4927.8909999999996</v>
      </c>
      <c r="BF138" s="18">
        <v>4912.8239999999996</v>
      </c>
      <c r="BG138" s="18">
        <v>4895.2489999999998</v>
      </c>
      <c r="BH138" s="18">
        <v>4871.6319999999996</v>
      </c>
      <c r="BI138" s="18">
        <v>4840.2</v>
      </c>
      <c r="BJ138" s="18">
        <v>4802.5810000000001</v>
      </c>
      <c r="BK138" s="18">
        <v>4763.6080000000002</v>
      </c>
      <c r="BL138" s="18">
        <v>4724.03</v>
      </c>
      <c r="BM138" s="18">
        <v>4677.6189999999997</v>
      </c>
      <c r="BN138" s="18">
        <v>4622.317</v>
      </c>
      <c r="BO138" s="18">
        <v>4561.88</v>
      </c>
      <c r="BP138" s="18">
        <v>4501.2550000000001</v>
      </c>
      <c r="BQ138" s="18">
        <v>4438.415</v>
      </c>
      <c r="BR138" s="18">
        <v>4385.1019999999999</v>
      </c>
      <c r="BS138" s="18">
        <v>4347.3389999999999</v>
      </c>
      <c r="BT138" s="18">
        <v>4319.6689999999999</v>
      </c>
      <c r="BU138" s="18">
        <v>4287.5910000000003</v>
      </c>
      <c r="BV138" s="18">
        <v>4250.3810000000003</v>
      </c>
      <c r="BW138" s="18">
        <v>4220.2520000000004</v>
      </c>
      <c r="BX138" s="18">
        <v>4200.6530000000002</v>
      </c>
      <c r="BY138" s="18">
        <v>4184.2489999999998</v>
      </c>
      <c r="BZ138" s="18">
        <v>4161.9780000000001</v>
      </c>
      <c r="CA138" s="18">
        <v>4137.7209999999995</v>
      </c>
      <c r="CB138" s="18">
        <v>4086.8780000000002</v>
      </c>
      <c r="CC138" s="18">
        <v>3996.9290000000001</v>
      </c>
      <c r="CD138" s="18">
        <v>3879.0940000000001</v>
      </c>
      <c r="CE138" s="18">
        <v>3756.86</v>
      </c>
      <c r="CF138" s="18">
        <v>3625.2280000000001</v>
      </c>
      <c r="CG138" s="18">
        <v>3491.0569999999998</v>
      </c>
      <c r="CH138" s="18">
        <v>3360.0250000000001</v>
      </c>
      <c r="CI138" s="18">
        <v>3227.9279999999999</v>
      </c>
      <c r="CJ138" s="18">
        <v>3082.828</v>
      </c>
      <c r="CK138" s="18">
        <v>2941.3710000000001</v>
      </c>
      <c r="CL138" s="18">
        <v>2785.386</v>
      </c>
      <c r="CM138" s="18">
        <v>2605.3850000000002</v>
      </c>
      <c r="CN138" s="18">
        <v>2401.723</v>
      </c>
      <c r="CO138" s="18">
        <v>2207.6959999999999</v>
      </c>
      <c r="CP138" s="18">
        <v>2097.2190000000001</v>
      </c>
      <c r="CQ138" s="18">
        <v>1921.5229999999999</v>
      </c>
      <c r="CR138" s="18">
        <v>1653.2650000000001</v>
      </c>
      <c r="CS138" s="18">
        <v>1292.4449999999999</v>
      </c>
      <c r="CT138" s="18">
        <v>1125.9179999999999</v>
      </c>
      <c r="CU138" s="18">
        <v>970.43399999999997</v>
      </c>
      <c r="CV138" s="18">
        <v>769.01400000000001</v>
      </c>
      <c r="CW138" s="18">
        <v>521.66</v>
      </c>
      <c r="CX138" s="18">
        <v>1208.68</v>
      </c>
      <c r="CY138" s="3">
        <f t="shared" si="172"/>
        <v>420851.13999999996</v>
      </c>
      <c r="CZ138" s="21">
        <f t="shared" si="173"/>
        <v>341394.00200000004</v>
      </c>
      <c r="DA138">
        <f t="shared" si="174"/>
        <v>1.3320430275163416E-2</v>
      </c>
      <c r="DB138">
        <f t="shared" si="175"/>
        <v>1.3427719799248259E-2</v>
      </c>
      <c r="DC138">
        <f t="shared" si="176"/>
        <v>1.3541532577950795E-2</v>
      </c>
      <c r="DD138">
        <f t="shared" si="177"/>
        <v>1.3655872606689792E-2</v>
      </c>
      <c r="DE138">
        <f t="shared" si="178"/>
        <v>1.3771340364673425E-2</v>
      </c>
      <c r="DF138">
        <f t="shared" si="179"/>
        <v>1.3876790371964414E-2</v>
      </c>
      <c r="DG138">
        <f t="shared" si="180"/>
        <v>1.3965848761455391E-2</v>
      </c>
      <c r="DH138">
        <f t="shared" si="181"/>
        <v>1.404193094171584E-2</v>
      </c>
      <c r="DI138">
        <f t="shared" si="182"/>
        <v>1.411608280100949E-2</v>
      </c>
      <c r="DJ138">
        <f t="shared" si="183"/>
        <v>1.4187613055955211E-2</v>
      </c>
      <c r="DK138">
        <f t="shared" si="184"/>
        <v>1.4245212193271043E-2</v>
      </c>
      <c r="DL138">
        <f t="shared" si="185"/>
        <v>1.4284835033510633E-2</v>
      </c>
      <c r="DM138">
        <f t="shared" si="186"/>
        <v>1.4311291268673195E-2</v>
      </c>
      <c r="DN138">
        <f t="shared" si="187"/>
        <v>1.4334121195251693E-2</v>
      </c>
      <c r="DO138">
        <f t="shared" si="188"/>
        <v>1.4352241021504531E-2</v>
      </c>
      <c r="DP138">
        <f t="shared" si="189"/>
        <v>1.4368052664264441E-2</v>
      </c>
      <c r="DQ138">
        <f t="shared" si="190"/>
        <v>1.438397268619851E-2</v>
      </c>
      <c r="DR138">
        <f t="shared" si="191"/>
        <v>1.4399535349774539E-2</v>
      </c>
      <c r="DS138">
        <f t="shared" si="192"/>
        <v>1.4411421908929729E-2</v>
      </c>
      <c r="DT138">
        <f t="shared" si="193"/>
        <v>1.4419787609508145E-2</v>
      </c>
      <c r="DU138">
        <f t="shared" si="194"/>
        <v>1.4431460339481887E-2</v>
      </c>
      <c r="DV138">
        <f t="shared" si="195"/>
        <v>1.4449360478219531E-2</v>
      </c>
      <c r="DW138">
        <f t="shared" si="196"/>
        <v>1.4470831271370724E-2</v>
      </c>
      <c r="DX138">
        <f t="shared" si="197"/>
        <v>1.4489613089335997E-2</v>
      </c>
      <c r="DY138">
        <f t="shared" si="198"/>
        <v>1.4506110157143298E-2</v>
      </c>
      <c r="DZ138">
        <f t="shared" si="199"/>
        <v>1.4522416829104101E-2</v>
      </c>
      <c r="EA138">
        <f t="shared" si="200"/>
        <v>1.453866784689439E-2</v>
      </c>
      <c r="EB138">
        <f t="shared" si="201"/>
        <v>1.4553600739593543E-2</v>
      </c>
      <c r="EC138">
        <f t="shared" si="202"/>
        <v>1.4565434573745087E-2</v>
      </c>
      <c r="ED138">
        <f t="shared" si="203"/>
        <v>1.4574069757675471E-2</v>
      </c>
      <c r="EE138">
        <f t="shared" si="204"/>
        <v>1.457745587457626E-2</v>
      </c>
      <c r="EF138">
        <f t="shared" si="205"/>
        <v>1.4574230861853278E-2</v>
      </c>
      <c r="EG138">
        <f t="shared" si="206"/>
        <v>1.4564675919525965E-2</v>
      </c>
      <c r="EH138">
        <f t="shared" si="207"/>
        <v>1.454920991845662E-2</v>
      </c>
      <c r="EI138">
        <f t="shared" si="208"/>
        <v>1.4526289187705177E-2</v>
      </c>
      <c r="EJ138">
        <f t="shared" si="209"/>
        <v>1.4499384790011628E-2</v>
      </c>
      <c r="EK138">
        <f t="shared" si="210"/>
        <v>1.4469788487965292E-2</v>
      </c>
      <c r="EL138">
        <f t="shared" si="211"/>
        <v>1.4434615052200006E-2</v>
      </c>
      <c r="EM138">
        <f t="shared" si="212"/>
        <v>1.4390481294981858E-2</v>
      </c>
      <c r="EN138">
        <f t="shared" si="213"/>
        <v>1.4339001187255772E-2</v>
      </c>
      <c r="EO138">
        <f t="shared" si="214"/>
        <v>1.4269823053306013E-2</v>
      </c>
      <c r="EP138">
        <f t="shared" si="215"/>
        <v>1.4177753480273503E-2</v>
      </c>
      <c r="EQ138">
        <f t="shared" si="216"/>
        <v>1.4067561151821289E-2</v>
      </c>
      <c r="ER138">
        <f t="shared" si="217"/>
        <v>1.3953402731428186E-2</v>
      </c>
      <c r="ES138">
        <f t="shared" si="218"/>
        <v>1.3837472165079219E-2</v>
      </c>
      <c r="ET138">
        <f t="shared" si="219"/>
        <v>1.370152660151305E-2</v>
      </c>
      <c r="EU138">
        <f t="shared" si="220"/>
        <v>1.3539537815312875E-2</v>
      </c>
      <c r="EV138">
        <f t="shared" si="221"/>
        <v>1.336250775723939E-2</v>
      </c>
      <c r="EW138">
        <f t="shared" si="222"/>
        <v>1.3184927015794495E-2</v>
      </c>
      <c r="EX138">
        <f t="shared" si="223"/>
        <v>1.3000858169734333E-2</v>
      </c>
      <c r="EY138">
        <f t="shared" si="224"/>
        <v>1.2844695496436987E-2</v>
      </c>
      <c r="EZ138">
        <f t="shared" si="225"/>
        <v>1.2734081367955608E-2</v>
      </c>
      <c r="FA138">
        <f t="shared" si="226"/>
        <v>1.2653031320685005E-2</v>
      </c>
      <c r="FB138">
        <f t="shared" si="227"/>
        <v>1.2559069505854998E-2</v>
      </c>
      <c r="FC138">
        <f t="shared" si="228"/>
        <v>1.2450075206652284E-2</v>
      </c>
      <c r="FD138">
        <f t="shared" si="229"/>
        <v>1.2361822338050332E-2</v>
      </c>
      <c r="FE138">
        <f t="shared" si="230"/>
        <v>1.2304413596580997E-2</v>
      </c>
      <c r="FF138">
        <f t="shared" si="231"/>
        <v>1.2256363543258734E-2</v>
      </c>
      <c r="FG138">
        <f t="shared" si="232"/>
        <v>1.2191128067914912E-2</v>
      </c>
      <c r="FH138">
        <f t="shared" si="233"/>
        <v>1.2120075267168868E-2</v>
      </c>
      <c r="FI138">
        <f t="shared" si="234"/>
        <v>1.1971147636038432E-2</v>
      </c>
      <c r="FJ138">
        <f t="shared" si="235"/>
        <v>1.1707672005321287E-2</v>
      </c>
      <c r="FK138">
        <f t="shared" si="236"/>
        <v>1.1362513627289796E-2</v>
      </c>
      <c r="FL138">
        <f t="shared" si="237"/>
        <v>1.1004469844200719E-2</v>
      </c>
      <c r="FM138">
        <f t="shared" si="238"/>
        <v>1.0618897750874955E-2</v>
      </c>
      <c r="FN138">
        <f t="shared" si="239"/>
        <v>1.0225888502868307E-2</v>
      </c>
      <c r="FO138">
        <f t="shared" si="240"/>
        <v>9.8420739096640592E-3</v>
      </c>
      <c r="FP138">
        <f t="shared" si="241"/>
        <v>9.4551397537441205E-3</v>
      </c>
      <c r="FQ138">
        <f t="shared" si="242"/>
        <v>9.0301176410240488E-3</v>
      </c>
      <c r="FR138">
        <f t="shared" si="243"/>
        <v>8.6157664832084528E-3</v>
      </c>
      <c r="FS138">
        <f t="shared" si="244"/>
        <v>8.1588603891172042E-3</v>
      </c>
      <c r="FT138">
        <f t="shared" si="245"/>
        <v>7.6316074234953901E-3</v>
      </c>
      <c r="FU138">
        <f t="shared" si="246"/>
        <v>7.0350474405815712E-3</v>
      </c>
      <c r="FV138">
        <f t="shared" si="247"/>
        <v>6.4667099804524382E-3</v>
      </c>
      <c r="FW138">
        <f t="shared" si="248"/>
        <v>6.1431044122444772E-3</v>
      </c>
      <c r="FX138">
        <f t="shared" si="249"/>
        <v>5.6284615099945418E-3</v>
      </c>
      <c r="FY138">
        <f t="shared" si="250"/>
        <v>4.8426890639982597E-3</v>
      </c>
      <c r="FZ138">
        <f t="shared" si="251"/>
        <v>3.7857870742556273E-3</v>
      </c>
      <c r="GA138">
        <f t="shared" si="252"/>
        <v>3.2980017030293336E-3</v>
      </c>
      <c r="GB138">
        <f t="shared" si="253"/>
        <v>2.8425631215395516E-3</v>
      </c>
      <c r="GC138">
        <f t="shared" si="254"/>
        <v>2.2525703307464669E-3</v>
      </c>
      <c r="GD138">
        <f t="shared" si="255"/>
        <v>1.5280291889838179E-3</v>
      </c>
      <c r="GE138">
        <f t="shared" si="256"/>
        <v>3.5404254114575801E-3</v>
      </c>
    </row>
    <row r="139" spans="1:187">
      <c r="A139" s="15">
        <v>2087</v>
      </c>
      <c r="B139" s="18">
        <v>4407.3649999999998</v>
      </c>
      <c r="C139" s="18">
        <v>4415.7389999999996</v>
      </c>
      <c r="D139" s="18">
        <v>4411.0879999999997</v>
      </c>
      <c r="E139" s="18">
        <v>4412.509</v>
      </c>
      <c r="F139" s="18">
        <v>4411.366</v>
      </c>
      <c r="G139" s="18">
        <v>4408.4690000000001</v>
      </c>
      <c r="H139" s="18">
        <v>4404.625</v>
      </c>
      <c r="I139" s="18">
        <v>4400.22</v>
      </c>
      <c r="J139" s="18">
        <v>4395.6360000000004</v>
      </c>
      <c r="K139" s="18">
        <v>4393.8100000000004</v>
      </c>
      <c r="L139" s="18">
        <v>4396.4030000000002</v>
      </c>
      <c r="M139" s="18">
        <v>4402.9470000000001</v>
      </c>
      <c r="N139" s="18">
        <v>4410.6880000000001</v>
      </c>
      <c r="O139" s="18">
        <v>4419.4260000000004</v>
      </c>
      <c r="P139" s="18">
        <v>4435.0159999999996</v>
      </c>
      <c r="Q139" s="18">
        <v>4459.8609999999999</v>
      </c>
      <c r="R139" s="18">
        <v>4491.3159999999998</v>
      </c>
      <c r="S139" s="18">
        <v>4523.607</v>
      </c>
      <c r="T139" s="18">
        <v>4557.018</v>
      </c>
      <c r="U139" s="18">
        <v>4592.4380000000001</v>
      </c>
      <c r="V139" s="18">
        <v>4629.4430000000002</v>
      </c>
      <c r="W139" s="18">
        <v>4667.1049999999996</v>
      </c>
      <c r="X139" s="18">
        <v>4704.817</v>
      </c>
      <c r="Y139" s="18">
        <v>4742.5829999999996</v>
      </c>
      <c r="Z139" s="18">
        <v>4776.634</v>
      </c>
      <c r="AA139" s="18">
        <v>4804.9870000000001</v>
      </c>
      <c r="AB139" s="18">
        <v>4828.7979999999998</v>
      </c>
      <c r="AC139" s="18">
        <v>4851.6530000000002</v>
      </c>
      <c r="AD139" s="18">
        <v>4873.3620000000001</v>
      </c>
      <c r="AE139" s="18">
        <v>4890.5039999999999</v>
      </c>
      <c r="AF139" s="18">
        <v>4901.8969999999999</v>
      </c>
      <c r="AG139" s="18">
        <v>4909.0630000000001</v>
      </c>
      <c r="AH139" s="18">
        <v>4914.9260000000004</v>
      </c>
      <c r="AI139" s="18">
        <v>4919.1719999999996</v>
      </c>
      <c r="AJ139" s="18">
        <v>4922.7790000000005</v>
      </c>
      <c r="AK139" s="18">
        <v>4926.62</v>
      </c>
      <c r="AL139" s="18">
        <v>4930.49</v>
      </c>
      <c r="AM139" s="18">
        <v>4933.1549999999997</v>
      </c>
      <c r="AN139" s="18">
        <v>4934.6760000000004</v>
      </c>
      <c r="AO139" s="18">
        <v>4937.3980000000001</v>
      </c>
      <c r="AP139" s="18">
        <v>4942.308</v>
      </c>
      <c r="AQ139" s="18">
        <v>4948.49</v>
      </c>
      <c r="AR139" s="18">
        <v>4953.7910000000002</v>
      </c>
      <c r="AS139" s="18">
        <v>4958.3469999999998</v>
      </c>
      <c r="AT139" s="18">
        <v>4962.8410000000003</v>
      </c>
      <c r="AU139" s="18">
        <v>4967.299</v>
      </c>
      <c r="AV139" s="18">
        <v>4971.2929999999997</v>
      </c>
      <c r="AW139" s="18">
        <v>4974.2389999999996</v>
      </c>
      <c r="AX139" s="18">
        <v>4976.1040000000003</v>
      </c>
      <c r="AY139" s="18">
        <v>4976.1239999999998</v>
      </c>
      <c r="AZ139" s="18">
        <v>4973.8130000000001</v>
      </c>
      <c r="BA139" s="18">
        <v>4969.2849999999999</v>
      </c>
      <c r="BB139" s="18">
        <v>4962.7359999999999</v>
      </c>
      <c r="BC139" s="18">
        <v>4953.6310000000003</v>
      </c>
      <c r="BD139" s="18">
        <v>4943.1610000000001</v>
      </c>
      <c r="BE139" s="18">
        <v>4931.7759999999998</v>
      </c>
      <c r="BF139" s="18">
        <v>4918.4880000000003</v>
      </c>
      <c r="BG139" s="18">
        <v>4902.1120000000001</v>
      </c>
      <c r="BH139" s="18">
        <v>4883.1880000000001</v>
      </c>
      <c r="BI139" s="18">
        <v>4858.2610000000004</v>
      </c>
      <c r="BJ139" s="18">
        <v>4825.5889999999999</v>
      </c>
      <c r="BK139" s="18">
        <v>4786.7550000000001</v>
      </c>
      <c r="BL139" s="18">
        <v>4746.4740000000002</v>
      </c>
      <c r="BM139" s="18">
        <v>4705.4690000000001</v>
      </c>
      <c r="BN139" s="18">
        <v>4657.6530000000002</v>
      </c>
      <c r="BO139" s="18">
        <v>4601.0110000000004</v>
      </c>
      <c r="BP139" s="18">
        <v>4539.1989999999996</v>
      </c>
      <c r="BQ139" s="18">
        <v>4476.9650000000001</v>
      </c>
      <c r="BR139" s="18">
        <v>4412.2520000000004</v>
      </c>
      <c r="BS139" s="18">
        <v>4356.8639999999996</v>
      </c>
      <c r="BT139" s="18">
        <v>4316.8050000000003</v>
      </c>
      <c r="BU139" s="18">
        <v>4286.5349999999999</v>
      </c>
      <c r="BV139" s="18">
        <v>4251.4889999999996</v>
      </c>
      <c r="BW139" s="18">
        <v>4210.9679999999998</v>
      </c>
      <c r="BX139" s="18">
        <v>4176.8029999999999</v>
      </c>
      <c r="BY139" s="18">
        <v>4152.2520000000004</v>
      </c>
      <c r="BZ139" s="18">
        <v>4130.1239999999998</v>
      </c>
      <c r="CA139" s="18">
        <v>4101.7190000000001</v>
      </c>
      <c r="CB139" s="18">
        <v>4070.875</v>
      </c>
      <c r="CC139" s="18">
        <v>4012.864</v>
      </c>
      <c r="CD139" s="18">
        <v>3915.1529999999998</v>
      </c>
      <c r="CE139" s="18">
        <v>3789.011</v>
      </c>
      <c r="CF139" s="18">
        <v>3658.241</v>
      </c>
      <c r="CG139" s="18">
        <v>3518.0810000000001</v>
      </c>
      <c r="CH139" s="18">
        <v>3374.2689999999998</v>
      </c>
      <c r="CI139" s="18">
        <v>3232.06</v>
      </c>
      <c r="CJ139" s="18">
        <v>3087.9459999999999</v>
      </c>
      <c r="CK139" s="18">
        <v>2929.252</v>
      </c>
      <c r="CL139" s="18">
        <v>2787.26</v>
      </c>
      <c r="CM139" s="18">
        <v>2625.4859999999999</v>
      </c>
      <c r="CN139" s="18">
        <v>2426.076</v>
      </c>
      <c r="CO139" s="18">
        <v>2189.2939999999999</v>
      </c>
      <c r="CP139" s="18">
        <v>1988.556</v>
      </c>
      <c r="CQ139" s="18">
        <v>1880.26</v>
      </c>
      <c r="CR139" s="18">
        <v>1709.0329999999999</v>
      </c>
      <c r="CS139" s="18">
        <v>1454.3589999999999</v>
      </c>
      <c r="CT139" s="18">
        <v>1116.24</v>
      </c>
      <c r="CU139" s="18">
        <v>999.73</v>
      </c>
      <c r="CV139" s="18">
        <v>793.93499999999995</v>
      </c>
      <c r="CW139" s="18">
        <v>538.95500000000004</v>
      </c>
      <c r="CX139" s="18">
        <v>1249.1320000000001</v>
      </c>
      <c r="CY139" s="3">
        <f t="shared" si="172"/>
        <v>421757.88999999978</v>
      </c>
      <c r="CZ139" s="21">
        <f t="shared" si="173"/>
        <v>342157.79899999982</v>
      </c>
      <c r="DA139">
        <f t="shared" si="174"/>
        <v>1.3318468885755261E-2</v>
      </c>
      <c r="DB139">
        <f t="shared" si="175"/>
        <v>1.3421988373265175E-2</v>
      </c>
      <c r="DC139">
        <f t="shared" si="176"/>
        <v>1.3530140226322892E-2</v>
      </c>
      <c r="DD139">
        <f t="shared" si="177"/>
        <v>1.3640212246046165E-2</v>
      </c>
      <c r="DE139">
        <f t="shared" si="178"/>
        <v>1.3750430397174733E-2</v>
      </c>
      <c r="DF139">
        <f t="shared" si="179"/>
        <v>1.3860806370221017E-2</v>
      </c>
      <c r="DG139">
        <f t="shared" si="180"/>
        <v>1.3960324779853995E-2</v>
      </c>
      <c r="DH139">
        <f t="shared" si="181"/>
        <v>1.4043190054539726E-2</v>
      </c>
      <c r="DI139">
        <f t="shared" si="182"/>
        <v>1.4112780752368595E-2</v>
      </c>
      <c r="DJ139">
        <f t="shared" si="183"/>
        <v>1.4179577417728254E-2</v>
      </c>
      <c r="DK139">
        <f t="shared" si="184"/>
        <v>1.4243024751278583E-2</v>
      </c>
      <c r="DL139">
        <f t="shared" si="185"/>
        <v>1.4293124442269406E-2</v>
      </c>
      <c r="DM139">
        <f t="shared" si="186"/>
        <v>1.4326421944279582E-2</v>
      </c>
      <c r="DN139">
        <f t="shared" si="187"/>
        <v>1.4347365497286246E-2</v>
      </c>
      <c r="DO139">
        <f t="shared" si="188"/>
        <v>1.4364500865870962E-2</v>
      </c>
      <c r="DP139">
        <f t="shared" si="189"/>
        <v>1.4376910344808484E-2</v>
      </c>
      <c r="DQ139">
        <f t="shared" si="190"/>
        <v>1.438745226438636E-2</v>
      </c>
      <c r="DR139">
        <f t="shared" si="191"/>
        <v>1.4398678078941005E-2</v>
      </c>
      <c r="DS139">
        <f t="shared" si="192"/>
        <v>1.4409988649710721E-2</v>
      </c>
      <c r="DT139">
        <f t="shared" si="193"/>
        <v>1.4417777453612864E-2</v>
      </c>
      <c r="DU139">
        <f t="shared" si="194"/>
        <v>1.4422222770961895E-2</v>
      </c>
      <c r="DV139">
        <f t="shared" si="195"/>
        <v>1.4430178164666073E-2</v>
      </c>
      <c r="DW139">
        <f t="shared" si="196"/>
        <v>1.4444528268665893E-2</v>
      </c>
      <c r="DX139">
        <f t="shared" si="197"/>
        <v>1.4462595955616379E-2</v>
      </c>
      <c r="DY139">
        <f t="shared" si="198"/>
        <v>1.4478088807205598E-2</v>
      </c>
      <c r="DZ139">
        <f t="shared" si="199"/>
        <v>1.449140430085594E-2</v>
      </c>
      <c r="EA139">
        <f t="shared" si="200"/>
        <v>1.4504538591563721E-2</v>
      </c>
      <c r="EB139">
        <f t="shared" si="201"/>
        <v>1.4517567667659688E-2</v>
      </c>
      <c r="EC139">
        <f t="shared" si="202"/>
        <v>1.4529240644314533E-2</v>
      </c>
      <c r="ED139">
        <f t="shared" si="203"/>
        <v>1.4537850706714425E-2</v>
      </c>
      <c r="EE139">
        <f t="shared" si="204"/>
        <v>1.4543301408131874E-2</v>
      </c>
      <c r="EF139">
        <f t="shared" si="205"/>
        <v>1.4543359860693991E-2</v>
      </c>
      <c r="EG139">
        <f t="shared" si="206"/>
        <v>1.4536605667141326E-2</v>
      </c>
      <c r="EH139">
        <f t="shared" si="207"/>
        <v>1.4523372007077946E-2</v>
      </c>
      <c r="EI139">
        <f t="shared" si="208"/>
        <v>1.4504231715612603E-2</v>
      </c>
      <c r="EJ139">
        <f t="shared" si="209"/>
        <v>1.4477621186708658E-2</v>
      </c>
      <c r="EK139">
        <f t="shared" si="210"/>
        <v>1.4447021270440201E-2</v>
      </c>
      <c r="EL139">
        <f t="shared" si="211"/>
        <v>1.441374714945487E-2</v>
      </c>
      <c r="EM139">
        <f t="shared" si="212"/>
        <v>1.4374911267184071E-2</v>
      </c>
      <c r="EN139">
        <f t="shared" si="213"/>
        <v>1.4327050309322345E-2</v>
      </c>
      <c r="EO139">
        <f t="shared" si="214"/>
        <v>1.4271742495046862E-2</v>
      </c>
      <c r="EP139">
        <f t="shared" si="215"/>
        <v>1.4198890144251842E-2</v>
      </c>
      <c r="EQ139">
        <f t="shared" si="216"/>
        <v>1.4103402038776858E-2</v>
      </c>
      <c r="ER139">
        <f t="shared" si="217"/>
        <v>1.3989904698913504E-2</v>
      </c>
      <c r="ES139">
        <f t="shared" si="218"/>
        <v>1.3872178316180957E-2</v>
      </c>
      <c r="ET139">
        <f t="shared" si="219"/>
        <v>1.3752335950699759E-2</v>
      </c>
      <c r="EU139">
        <f t="shared" si="220"/>
        <v>1.3612587565189483E-2</v>
      </c>
      <c r="EV139">
        <f t="shared" si="221"/>
        <v>1.3447044064016799E-2</v>
      </c>
      <c r="EW139">
        <f t="shared" si="222"/>
        <v>1.3266390575536762E-2</v>
      </c>
      <c r="EX139">
        <f t="shared" si="223"/>
        <v>1.3084503737996054E-2</v>
      </c>
      <c r="EY139">
        <f t="shared" si="224"/>
        <v>1.2895371705380892E-2</v>
      </c>
      <c r="EZ139">
        <f t="shared" si="225"/>
        <v>1.2733493179852966E-2</v>
      </c>
      <c r="FA139">
        <f t="shared" si="226"/>
        <v>1.2616415620559924E-2</v>
      </c>
      <c r="FB139">
        <f t="shared" si="227"/>
        <v>1.2527947667795239E-2</v>
      </c>
      <c r="FC139">
        <f t="shared" si="228"/>
        <v>1.2425521243196919E-2</v>
      </c>
      <c r="FD139">
        <f t="shared" si="229"/>
        <v>1.2307093429718965E-2</v>
      </c>
      <c r="FE139">
        <f t="shared" si="230"/>
        <v>1.2207241840481917E-2</v>
      </c>
      <c r="FF139">
        <f t="shared" si="231"/>
        <v>1.2135488397854706E-2</v>
      </c>
      <c r="FG139">
        <f t="shared" si="232"/>
        <v>1.2070816483128015E-2</v>
      </c>
      <c r="FH139">
        <f t="shared" si="233"/>
        <v>1.1987799231780779E-2</v>
      </c>
      <c r="FI139">
        <f t="shared" si="234"/>
        <v>1.1897653690483326E-2</v>
      </c>
      <c r="FJ139">
        <f t="shared" si="235"/>
        <v>1.1728109111433705E-2</v>
      </c>
      <c r="FK139">
        <f t="shared" si="236"/>
        <v>1.1442536196581045E-2</v>
      </c>
      <c r="FL139">
        <f t="shared" si="237"/>
        <v>1.1073870042050399E-2</v>
      </c>
      <c r="FM139">
        <f t="shared" si="238"/>
        <v>1.0691677964645785E-2</v>
      </c>
      <c r="FN139">
        <f t="shared" si="239"/>
        <v>1.0282042409327055E-2</v>
      </c>
      <c r="FO139">
        <f t="shared" si="240"/>
        <v>9.8617334161656845E-3</v>
      </c>
      <c r="FP139">
        <f t="shared" si="241"/>
        <v>9.4461093958580246E-3</v>
      </c>
      <c r="FQ139">
        <f t="shared" si="242"/>
        <v>9.0249177690086835E-3</v>
      </c>
      <c r="FR139">
        <f t="shared" si="243"/>
        <v>8.5611142243757574E-3</v>
      </c>
      <c r="FS139">
        <f t="shared" si="244"/>
        <v>8.146124414367073E-3</v>
      </c>
      <c r="FT139">
        <f t="shared" si="245"/>
        <v>7.6733191751680672E-3</v>
      </c>
      <c r="FU139">
        <f t="shared" si="246"/>
        <v>7.0905179045765406E-3</v>
      </c>
      <c r="FV139">
        <f t="shared" si="247"/>
        <v>6.3984921764124424E-3</v>
      </c>
      <c r="FW139">
        <f t="shared" si="248"/>
        <v>5.8118096556963213E-3</v>
      </c>
      <c r="FX139">
        <f t="shared" si="249"/>
        <v>5.495300722343029E-3</v>
      </c>
      <c r="FY139">
        <f t="shared" si="250"/>
        <v>4.9948678796592353E-3</v>
      </c>
      <c r="FZ139">
        <f t="shared" si="251"/>
        <v>4.2505504894249117E-3</v>
      </c>
      <c r="GA139">
        <f t="shared" si="252"/>
        <v>3.2623543968962714E-3</v>
      </c>
      <c r="GB139">
        <f t="shared" si="253"/>
        <v>2.9218389962813634E-3</v>
      </c>
      <c r="GC139">
        <f t="shared" si="254"/>
        <v>2.3203767452338571E-3</v>
      </c>
      <c r="GD139">
        <f t="shared" si="255"/>
        <v>1.5751650307991381E-3</v>
      </c>
      <c r="GE139">
        <f t="shared" si="256"/>
        <v>3.6507482911415407E-3</v>
      </c>
    </row>
    <row r="140" spans="1:187">
      <c r="A140" s="15">
        <v>2088</v>
      </c>
      <c r="B140" s="18">
        <v>4415.3040000000001</v>
      </c>
      <c r="C140" s="18">
        <v>4424.7629999999999</v>
      </c>
      <c r="D140" s="18">
        <v>4429.3440000000001</v>
      </c>
      <c r="E140" s="18">
        <v>4421.4690000000001</v>
      </c>
      <c r="F140" s="18">
        <v>4420.1059999999998</v>
      </c>
      <c r="G140" s="18">
        <v>4416.7430000000004</v>
      </c>
      <c r="H140" s="18">
        <v>4412.2309999999998</v>
      </c>
      <c r="I140" s="18">
        <v>4407.4160000000002</v>
      </c>
      <c r="J140" s="18">
        <v>4402.5129999999999</v>
      </c>
      <c r="K140" s="18">
        <v>4397.7290000000003</v>
      </c>
      <c r="L140" s="18">
        <v>4397.1059999999998</v>
      </c>
      <c r="M140" s="18">
        <v>4402.7709999999997</v>
      </c>
      <c r="N140" s="18">
        <v>4413.6580000000004</v>
      </c>
      <c r="O140" s="18">
        <v>4425.7860000000001</v>
      </c>
      <c r="P140" s="18">
        <v>4439.01</v>
      </c>
      <c r="Q140" s="18">
        <v>4459.1629999999996</v>
      </c>
      <c r="R140" s="18">
        <v>4488.4520000000002</v>
      </c>
      <c r="S140" s="18">
        <v>4524.0940000000001</v>
      </c>
      <c r="T140" s="18">
        <v>4560.4889999999996</v>
      </c>
      <c r="U140" s="18">
        <v>4598.0209999999997</v>
      </c>
      <c r="V140" s="18">
        <v>4636.0389999999998</v>
      </c>
      <c r="W140" s="18">
        <v>4673.4110000000001</v>
      </c>
      <c r="X140" s="18">
        <v>4709.8680000000004</v>
      </c>
      <c r="Y140" s="18">
        <v>4746.2460000000001</v>
      </c>
      <c r="Z140" s="18">
        <v>4782.3459999999995</v>
      </c>
      <c r="AA140" s="18">
        <v>4814.4369999999999</v>
      </c>
      <c r="AB140" s="18">
        <v>4840.7259999999997</v>
      </c>
      <c r="AC140" s="18">
        <v>4862.3670000000002</v>
      </c>
      <c r="AD140" s="18">
        <v>4882.7539999999999</v>
      </c>
      <c r="AE140" s="18">
        <v>4901.7460000000001</v>
      </c>
      <c r="AF140" s="18">
        <v>4916.357</v>
      </c>
      <c r="AG140" s="18">
        <v>4925.6130000000003</v>
      </c>
      <c r="AH140" s="18">
        <v>4930.9110000000001</v>
      </c>
      <c r="AI140" s="18">
        <v>4934.84</v>
      </c>
      <c r="AJ140" s="18">
        <v>4937.1419999999998</v>
      </c>
      <c r="AK140" s="18">
        <v>4938.9579999999996</v>
      </c>
      <c r="AL140" s="18">
        <v>4941.2030000000004</v>
      </c>
      <c r="AM140" s="18">
        <v>4943.6270000000004</v>
      </c>
      <c r="AN140" s="18">
        <v>4944.8980000000001</v>
      </c>
      <c r="AO140" s="18">
        <v>4945.0820000000003</v>
      </c>
      <c r="AP140" s="18">
        <v>4946.5389999999998</v>
      </c>
      <c r="AQ140" s="18">
        <v>4950.2470000000003</v>
      </c>
      <c r="AR140" s="18">
        <v>4955.277</v>
      </c>
      <c r="AS140" s="18">
        <v>4959.4660000000003</v>
      </c>
      <c r="AT140" s="18">
        <v>4962.9440000000004</v>
      </c>
      <c r="AU140" s="18">
        <v>4966.3620000000001</v>
      </c>
      <c r="AV140" s="18">
        <v>4969.7280000000001</v>
      </c>
      <c r="AW140" s="18">
        <v>4972.616</v>
      </c>
      <c r="AX140" s="18">
        <v>4974.4669999999996</v>
      </c>
      <c r="AY140" s="18">
        <v>4975.2470000000003</v>
      </c>
      <c r="AZ140" s="18">
        <v>4974.1329999999998</v>
      </c>
      <c r="BA140" s="18">
        <v>4970.6099999999997</v>
      </c>
      <c r="BB140" s="18">
        <v>4964.8180000000002</v>
      </c>
      <c r="BC140" s="18">
        <v>4957.0010000000002</v>
      </c>
      <c r="BD140" s="18">
        <v>4946.6189999999997</v>
      </c>
      <c r="BE140" s="18">
        <v>4934.866</v>
      </c>
      <c r="BF140" s="18">
        <v>4922.2030000000004</v>
      </c>
      <c r="BG140" s="18">
        <v>4907.6379999999999</v>
      </c>
      <c r="BH140" s="18">
        <v>4889.9549999999999</v>
      </c>
      <c r="BI140" s="18">
        <v>4869.6869999999999</v>
      </c>
      <c r="BJ140" s="18">
        <v>4843.4570000000003</v>
      </c>
      <c r="BK140" s="18">
        <v>4809.5540000000001</v>
      </c>
      <c r="BL140" s="18">
        <v>4769.5159999999996</v>
      </c>
      <c r="BM140" s="18">
        <v>4727.9390000000003</v>
      </c>
      <c r="BN140" s="18">
        <v>4685.5159999999996</v>
      </c>
      <c r="BO140" s="18">
        <v>4636.308</v>
      </c>
      <c r="BP140" s="18">
        <v>4578.3419999999996</v>
      </c>
      <c r="BQ140" s="18">
        <v>4515.1729999999998</v>
      </c>
      <c r="BR140" s="18">
        <v>4451.348</v>
      </c>
      <c r="BS140" s="18">
        <v>4384.7820000000002</v>
      </c>
      <c r="BT140" s="18">
        <v>4327.3310000000001</v>
      </c>
      <c r="BU140" s="18">
        <v>4284.9889999999996</v>
      </c>
      <c r="BV140" s="18">
        <v>4252.125</v>
      </c>
      <c r="BW140" s="18">
        <v>4214.12</v>
      </c>
      <c r="BX140" s="18">
        <v>4170.2960000000003</v>
      </c>
      <c r="BY140" s="18">
        <v>4132.1040000000003</v>
      </c>
      <c r="BZ140" s="18">
        <v>4102.6049999999996</v>
      </c>
      <c r="CA140" s="18">
        <v>4074.7559999999999</v>
      </c>
      <c r="CB140" s="18">
        <v>4040.221</v>
      </c>
      <c r="CC140" s="18">
        <v>4002.7950000000001</v>
      </c>
      <c r="CD140" s="18">
        <v>3937.6309999999999</v>
      </c>
      <c r="CE140" s="18">
        <v>3832.181</v>
      </c>
      <c r="CF140" s="18">
        <v>3697.7649999999999</v>
      </c>
      <c r="CG140" s="18">
        <v>3558.4929999999999</v>
      </c>
      <c r="CH140" s="18">
        <v>3409.84</v>
      </c>
      <c r="CI140" s="18">
        <v>3256.4259999999999</v>
      </c>
      <c r="CJ140" s="18">
        <v>3103.0729999999999</v>
      </c>
      <c r="CK140" s="18">
        <v>2946.9789999999998</v>
      </c>
      <c r="CL140" s="18">
        <v>2774.7280000000001</v>
      </c>
      <c r="CM140" s="18">
        <v>2632.2449999999999</v>
      </c>
      <c r="CN140" s="18">
        <v>2464.7249999999999</v>
      </c>
      <c r="CO140" s="18">
        <v>2245.9520000000002</v>
      </c>
      <c r="CP140" s="18">
        <v>1976.104</v>
      </c>
      <c r="CQ140" s="18">
        <v>1768.7090000000001</v>
      </c>
      <c r="CR140" s="18">
        <v>1662.626</v>
      </c>
      <c r="CS140" s="18">
        <v>1495.921</v>
      </c>
      <c r="CT140" s="18">
        <v>1254.914</v>
      </c>
      <c r="CU140" s="18">
        <v>939.60699999999997</v>
      </c>
      <c r="CV140" s="18">
        <v>817.93799999999999</v>
      </c>
      <c r="CW140" s="18">
        <v>556.01599999999996</v>
      </c>
      <c r="CX140" s="18">
        <v>1290.5999999999999</v>
      </c>
      <c r="CY140" s="3">
        <f t="shared" si="172"/>
        <v>422660.91199999978</v>
      </c>
      <c r="CZ140" s="21">
        <f t="shared" si="173"/>
        <v>342963.2539999999</v>
      </c>
      <c r="DA140">
        <f t="shared" si="174"/>
        <v>1.329731085418265E-2</v>
      </c>
      <c r="DB140">
        <f t="shared" si="175"/>
        <v>1.340674531855241E-2</v>
      </c>
      <c r="DC140">
        <f t="shared" si="176"/>
        <v>1.3517596844354647E-2</v>
      </c>
      <c r="DD140">
        <f t="shared" si="177"/>
        <v>1.362656478644211E-2</v>
      </c>
      <c r="DE140">
        <f t="shared" si="178"/>
        <v>1.3732864804227691E-2</v>
      </c>
      <c r="DF140">
        <f t="shared" si="179"/>
        <v>1.3838934476636386E-2</v>
      </c>
      <c r="DG140">
        <f t="shared" si="180"/>
        <v>1.3944193566579588E-2</v>
      </c>
      <c r="DH140">
        <f t="shared" si="181"/>
        <v>1.4037763357586995E-2</v>
      </c>
      <c r="DI140">
        <f t="shared" si="182"/>
        <v>1.4114415884332614E-2</v>
      </c>
      <c r="DJ140">
        <f t="shared" si="183"/>
        <v>1.4177515938777516E-2</v>
      </c>
      <c r="DK140">
        <f t="shared" si="184"/>
        <v>1.4236959624834913E-2</v>
      </c>
      <c r="DL140">
        <f t="shared" si="185"/>
        <v>1.4292335819743538E-2</v>
      </c>
      <c r="DM140">
        <f t="shared" si="186"/>
        <v>1.4334938051410026E-2</v>
      </c>
      <c r="DN140">
        <f t="shared" si="187"/>
        <v>1.4361926365440893E-2</v>
      </c>
      <c r="DO140">
        <f t="shared" si="188"/>
        <v>1.4377374084513443E-2</v>
      </c>
      <c r="DP140">
        <f t="shared" si="189"/>
        <v>1.4388830122308092E-2</v>
      </c>
      <c r="DQ140">
        <f t="shared" si="190"/>
        <v>1.4395542211644637E-2</v>
      </c>
      <c r="DR140">
        <f t="shared" si="191"/>
        <v>1.4400837239548703E-2</v>
      </c>
      <c r="DS140">
        <f t="shared" si="192"/>
        <v>1.4407383130322183E-2</v>
      </c>
      <c r="DT140">
        <f t="shared" si="193"/>
        <v>1.4414450942898978E-2</v>
      </c>
      <c r="DU140">
        <f t="shared" si="194"/>
        <v>1.4418156879278972E-2</v>
      </c>
      <c r="DV140">
        <f t="shared" si="195"/>
        <v>1.4418693379903614E-2</v>
      </c>
      <c r="DW140">
        <f t="shared" si="196"/>
        <v>1.4422941648436778E-2</v>
      </c>
      <c r="DX140">
        <f t="shared" si="197"/>
        <v>1.4433753302329006E-2</v>
      </c>
      <c r="DY140">
        <f t="shared" si="198"/>
        <v>1.4448419596578709E-2</v>
      </c>
      <c r="DZ140">
        <f t="shared" si="199"/>
        <v>1.4460633733082092E-2</v>
      </c>
      <c r="EA140">
        <f t="shared" si="200"/>
        <v>1.4470774761193518E-2</v>
      </c>
      <c r="EB140">
        <f t="shared" si="201"/>
        <v>1.4480740843449082E-2</v>
      </c>
      <c r="EC140">
        <f t="shared" si="202"/>
        <v>1.44905553059629E-2</v>
      </c>
      <c r="ED140">
        <f t="shared" si="203"/>
        <v>1.4498976033158355E-2</v>
      </c>
      <c r="EE140">
        <f t="shared" si="204"/>
        <v>1.4504373112811674E-2</v>
      </c>
      <c r="EF140">
        <f t="shared" si="205"/>
        <v>1.4506647408937874E-2</v>
      </c>
      <c r="EG140">
        <f t="shared" si="206"/>
        <v>1.450339924754738E-2</v>
      </c>
      <c r="EH140">
        <f t="shared" si="207"/>
        <v>1.4493127010044059E-2</v>
      </c>
      <c r="EI140">
        <f t="shared" si="208"/>
        <v>1.4476238903424919E-2</v>
      </c>
      <c r="EJ140">
        <f t="shared" si="209"/>
        <v>1.4453446374170457E-2</v>
      </c>
      <c r="EK140">
        <f t="shared" si="210"/>
        <v>1.4423174909577926E-2</v>
      </c>
      <c r="EL140">
        <f t="shared" si="211"/>
        <v>1.4388905932178966E-2</v>
      </c>
      <c r="EM140">
        <f t="shared" si="212"/>
        <v>1.4351983609299443E-2</v>
      </c>
      <c r="EN140">
        <f t="shared" si="213"/>
        <v>1.4309515502789116E-2</v>
      </c>
      <c r="EO140">
        <f t="shared" si="214"/>
        <v>1.4257956043302532E-2</v>
      </c>
      <c r="EP140">
        <f t="shared" si="215"/>
        <v>1.4198859333192591E-2</v>
      </c>
      <c r="EQ140">
        <f t="shared" si="216"/>
        <v>1.4122378836538569E-2</v>
      </c>
      <c r="ER140">
        <f t="shared" si="217"/>
        <v>1.4023525680684152E-2</v>
      </c>
      <c r="ES140">
        <f t="shared" si="218"/>
        <v>1.3906784311067916E-2</v>
      </c>
      <c r="ET140">
        <f t="shared" si="219"/>
        <v>1.3785555580248843E-2</v>
      </c>
      <c r="EU140">
        <f t="shared" si="220"/>
        <v>1.3661860112862124E-2</v>
      </c>
      <c r="EV140">
        <f t="shared" si="221"/>
        <v>1.3518381184941759E-2</v>
      </c>
      <c r="EW140">
        <f t="shared" si="222"/>
        <v>1.3349365993594174E-2</v>
      </c>
      <c r="EX140">
        <f t="shared" si="223"/>
        <v>1.3165180080779153E-2</v>
      </c>
      <c r="EY140">
        <f t="shared" si="224"/>
        <v>1.2979081426606715E-2</v>
      </c>
      <c r="EZ140">
        <f t="shared" si="225"/>
        <v>1.2784990662585682E-2</v>
      </c>
      <c r="FA140">
        <f t="shared" si="226"/>
        <v>1.2617477089834241E-2</v>
      </c>
      <c r="FB140">
        <f t="shared" si="227"/>
        <v>1.2494017799352932E-2</v>
      </c>
      <c r="FC140">
        <f t="shared" si="228"/>
        <v>1.2398194122569182E-2</v>
      </c>
      <c r="FD140">
        <f t="shared" si="229"/>
        <v>1.2287380501702382E-2</v>
      </c>
      <c r="FE140">
        <f t="shared" si="230"/>
        <v>1.2159600048581302E-2</v>
      </c>
      <c r="FF140">
        <f t="shared" si="231"/>
        <v>1.2048241179797067E-2</v>
      </c>
      <c r="FG140">
        <f t="shared" si="232"/>
        <v>1.1962229049762867E-2</v>
      </c>
      <c r="FH140">
        <f t="shared" si="233"/>
        <v>1.1881027930764855E-2</v>
      </c>
      <c r="FI140">
        <f t="shared" si="234"/>
        <v>1.1780332011895366E-2</v>
      </c>
      <c r="FJ140">
        <f t="shared" si="235"/>
        <v>1.1671206618537627E-2</v>
      </c>
      <c r="FK140">
        <f t="shared" si="236"/>
        <v>1.1481203756015218E-2</v>
      </c>
      <c r="FL140">
        <f t="shared" si="237"/>
        <v>1.1173736414339016E-2</v>
      </c>
      <c r="FM140">
        <f t="shared" si="238"/>
        <v>1.0781811044981516E-2</v>
      </c>
      <c r="FN140">
        <f t="shared" si="239"/>
        <v>1.0375726724356309E-2</v>
      </c>
      <c r="FO140">
        <f t="shared" si="240"/>
        <v>9.9422896191671932E-3</v>
      </c>
      <c r="FP140">
        <f t="shared" si="241"/>
        <v>9.4949705603154817E-3</v>
      </c>
      <c r="FQ140">
        <f t="shared" si="242"/>
        <v>9.0478293630838966E-3</v>
      </c>
      <c r="FR140">
        <f t="shared" si="243"/>
        <v>8.5926960560037159E-3</v>
      </c>
      <c r="FS140">
        <f t="shared" si="244"/>
        <v>8.0904527457043574E-3</v>
      </c>
      <c r="FT140">
        <f t="shared" si="245"/>
        <v>7.6750059060263073E-3</v>
      </c>
      <c r="FU140">
        <f t="shared" si="246"/>
        <v>7.1865570764616101E-3</v>
      </c>
      <c r="FV140">
        <f t="shared" si="247"/>
        <v>6.5486665810559428E-3</v>
      </c>
      <c r="FW140">
        <f t="shared" si="248"/>
        <v>5.7618534258483583E-3</v>
      </c>
      <c r="FX140">
        <f t="shared" si="249"/>
        <v>5.1571384962425179E-3</v>
      </c>
      <c r="FY140">
        <f t="shared" si="250"/>
        <v>4.8478254757869784E-3</v>
      </c>
      <c r="FZ140">
        <f t="shared" si="251"/>
        <v>4.3617529940977303E-3</v>
      </c>
      <c r="GA140">
        <f t="shared" si="252"/>
        <v>3.6590333960383999E-3</v>
      </c>
      <c r="GB140">
        <f t="shared" si="253"/>
        <v>2.7396725131375158E-3</v>
      </c>
      <c r="GC140">
        <f t="shared" si="254"/>
        <v>2.3849143908577456E-3</v>
      </c>
      <c r="GD140">
        <f t="shared" si="255"/>
        <v>1.6212115832094365E-3</v>
      </c>
      <c r="GE140">
        <f t="shared" si="256"/>
        <v>3.7630853595761612E-3</v>
      </c>
    </row>
    <row r="141" spans="1:187">
      <c r="A141" s="15">
        <v>2089</v>
      </c>
      <c r="B141" s="18">
        <v>4421.375</v>
      </c>
      <c r="C141" s="18">
        <v>4431.88</v>
      </c>
      <c r="D141" s="18">
        <v>4437.143</v>
      </c>
      <c r="E141" s="18">
        <v>4438.0709999999999</v>
      </c>
      <c r="F141" s="18">
        <v>4429.9960000000001</v>
      </c>
      <c r="G141" s="18">
        <v>4425.8509999999997</v>
      </c>
      <c r="H141" s="18">
        <v>4420.2700000000004</v>
      </c>
      <c r="I141" s="18">
        <v>4414.1450000000004</v>
      </c>
      <c r="J141" s="18">
        <v>4408.3630000000003</v>
      </c>
      <c r="K141" s="18">
        <v>4402.9610000000002</v>
      </c>
      <c r="L141" s="18">
        <v>4397.9790000000003</v>
      </c>
      <c r="M141" s="18">
        <v>4398.5600000000004</v>
      </c>
      <c r="N141" s="18">
        <v>4407.2939999999999</v>
      </c>
      <c r="O141" s="18">
        <v>4422.5190000000002</v>
      </c>
      <c r="P141" s="18">
        <v>4439.0290000000005</v>
      </c>
      <c r="Q141" s="18">
        <v>4456.732</v>
      </c>
      <c r="R141" s="18">
        <v>4481.4390000000003</v>
      </c>
      <c r="S141" s="18">
        <v>4515.1570000000002</v>
      </c>
      <c r="T141" s="18">
        <v>4554.9709999999995</v>
      </c>
      <c r="U141" s="18">
        <v>4595.4549999999999</v>
      </c>
      <c r="V141" s="18">
        <v>4637.09</v>
      </c>
      <c r="W141" s="18">
        <v>4677.6890000000003</v>
      </c>
      <c r="X141" s="18">
        <v>4715.4129999999996</v>
      </c>
      <c r="Y141" s="18">
        <v>4750.6509999999998</v>
      </c>
      <c r="Z141" s="18">
        <v>4785.6779999999999</v>
      </c>
      <c r="AA141" s="18">
        <v>4820.098</v>
      </c>
      <c r="AB141" s="18">
        <v>4850.2169999999996</v>
      </c>
      <c r="AC141" s="18">
        <v>4874.433</v>
      </c>
      <c r="AD141" s="18">
        <v>4893.8940000000002</v>
      </c>
      <c r="AE141" s="18">
        <v>4911.8050000000003</v>
      </c>
      <c r="AF141" s="18">
        <v>4928.0709999999999</v>
      </c>
      <c r="AG141" s="18">
        <v>4940.1469999999999</v>
      </c>
      <c r="AH141" s="18">
        <v>4947.26</v>
      </c>
      <c r="AI141" s="18">
        <v>4950.6880000000001</v>
      </c>
      <c r="AJ141" s="18">
        <v>4952.683</v>
      </c>
      <c r="AK141" s="18">
        <v>4953.04</v>
      </c>
      <c r="AL141" s="18">
        <v>4953.0630000000001</v>
      </c>
      <c r="AM141" s="18">
        <v>4953.7120000000004</v>
      </c>
      <c r="AN141" s="18">
        <v>4954.6899999999996</v>
      </c>
      <c r="AO141" s="18">
        <v>4954.5659999999998</v>
      </c>
      <c r="AP141" s="18">
        <v>4953.4139999999998</v>
      </c>
      <c r="AQ141" s="18">
        <v>4953.6049999999996</v>
      </c>
      <c r="AR141" s="18">
        <v>4956.1099999999997</v>
      </c>
      <c r="AS141" s="18">
        <v>4959.9859999999999</v>
      </c>
      <c r="AT141" s="18">
        <v>4963.0619999999999</v>
      </c>
      <c r="AU141" s="18">
        <v>4965.46</v>
      </c>
      <c r="AV141" s="18">
        <v>4967.8019999999997</v>
      </c>
      <c r="AW141" s="18">
        <v>4970.0749999999998</v>
      </c>
      <c r="AX141" s="18">
        <v>4971.8559999999998</v>
      </c>
      <c r="AY141" s="18">
        <v>4972.6109999999999</v>
      </c>
      <c r="AZ141" s="18">
        <v>4972.3059999999996</v>
      </c>
      <c r="BA141" s="18">
        <v>4970.058</v>
      </c>
      <c r="BB141" s="18">
        <v>4965.3239999999996</v>
      </c>
      <c r="BC141" s="18">
        <v>4958.2700000000004</v>
      </c>
      <c r="BD141" s="18">
        <v>4949.1899999999996</v>
      </c>
      <c r="BE141" s="18">
        <v>4937.5330000000004</v>
      </c>
      <c r="BF141" s="18">
        <v>4924.5029999999997</v>
      </c>
      <c r="BG141" s="18">
        <v>4910.5680000000002</v>
      </c>
      <c r="BH141" s="18">
        <v>4894.7309999999998</v>
      </c>
      <c r="BI141" s="18">
        <v>4875.7510000000002</v>
      </c>
      <c r="BJ141" s="18">
        <v>4854.1459999999997</v>
      </c>
      <c r="BK141" s="18">
        <v>4826.6239999999998</v>
      </c>
      <c r="BL141" s="18">
        <v>4791.5039999999999</v>
      </c>
      <c r="BM141" s="18">
        <v>4750.28</v>
      </c>
      <c r="BN141" s="18">
        <v>4707.424</v>
      </c>
      <c r="BO141" s="18">
        <v>4663.6019999999999</v>
      </c>
      <c r="BP141" s="18">
        <v>4613.0230000000001</v>
      </c>
      <c r="BQ141" s="18">
        <v>4553.7569999999996</v>
      </c>
      <c r="BR141" s="18">
        <v>4489.2569999999996</v>
      </c>
      <c r="BS141" s="18">
        <v>4423.8680000000004</v>
      </c>
      <c r="BT141" s="18">
        <v>4355.4750000000004</v>
      </c>
      <c r="BU141" s="18">
        <v>4295.9880000000003</v>
      </c>
      <c r="BV141" s="18">
        <v>4251.3779999999997</v>
      </c>
      <c r="BW141" s="18">
        <v>4215.9350000000004</v>
      </c>
      <c r="BX141" s="18">
        <v>4174.9870000000001</v>
      </c>
      <c r="BY141" s="18">
        <v>4127.8810000000003</v>
      </c>
      <c r="BZ141" s="18">
        <v>4085.6770000000001</v>
      </c>
      <c r="CA141" s="18">
        <v>4051.2429999999999</v>
      </c>
      <c r="CB141" s="18">
        <v>4017.6849999999999</v>
      </c>
      <c r="CC141" s="18">
        <v>3977.0369999999998</v>
      </c>
      <c r="CD141" s="18">
        <v>3933.0450000000001</v>
      </c>
      <c r="CE141" s="18">
        <v>3860.7550000000001</v>
      </c>
      <c r="CF141" s="18">
        <v>3747.6129999999998</v>
      </c>
      <c r="CG141" s="18">
        <v>3604.9789999999998</v>
      </c>
      <c r="CH141" s="18">
        <v>3457.2640000000001</v>
      </c>
      <c r="CI141" s="18">
        <v>3300.1819999999998</v>
      </c>
      <c r="CJ141" s="18">
        <v>3137.2330000000002</v>
      </c>
      <c r="CK141" s="18">
        <v>2972.8029999999999</v>
      </c>
      <c r="CL141" s="18">
        <v>2804.7950000000001</v>
      </c>
      <c r="CM141" s="18">
        <v>2619.0630000000001</v>
      </c>
      <c r="CN141" s="18">
        <v>2476.1460000000002</v>
      </c>
      <c r="CO141" s="18">
        <v>2302.953</v>
      </c>
      <c r="CP141" s="18">
        <v>2064.9140000000002</v>
      </c>
      <c r="CQ141" s="18">
        <v>1762.117</v>
      </c>
      <c r="CR141" s="18">
        <v>1548.154</v>
      </c>
      <c r="CS141" s="18">
        <v>1444.329</v>
      </c>
      <c r="CT141" s="18">
        <v>1282.2149999999999</v>
      </c>
      <c r="CU141" s="18">
        <v>1054.9739999999999</v>
      </c>
      <c r="CV141" s="18">
        <v>762.60900000000004</v>
      </c>
      <c r="CW141" s="18">
        <v>571.76700000000005</v>
      </c>
      <c r="CX141" s="18">
        <v>1332.96</v>
      </c>
      <c r="CY141" s="3">
        <f t="shared" si="172"/>
        <v>423563.93400000018</v>
      </c>
      <c r="CZ141" s="21">
        <f t="shared" si="173"/>
        <v>343815.1700000001</v>
      </c>
      <c r="DA141">
        <f t="shared" si="174"/>
        <v>1.3248313039823106E-2</v>
      </c>
      <c r="DB141">
        <f t="shared" si="175"/>
        <v>1.3366062352629753E-2</v>
      </c>
      <c r="DC141">
        <f t="shared" si="176"/>
        <v>1.3487159394392047E-2</v>
      </c>
      <c r="DD141">
        <f t="shared" si="177"/>
        <v>1.3605243189240309E-2</v>
      </c>
      <c r="DE141">
        <f t="shared" si="178"/>
        <v>1.3714964933048178E-2</v>
      </c>
      <c r="DF141">
        <f t="shared" si="179"/>
        <v>1.3817456047678171E-2</v>
      </c>
      <c r="DG141">
        <f t="shared" si="180"/>
        <v>1.3919333460475285E-2</v>
      </c>
      <c r="DH141">
        <f t="shared" si="181"/>
        <v>1.4019445389800569E-2</v>
      </c>
      <c r="DI141">
        <f t="shared" si="182"/>
        <v>1.4107047690769427E-2</v>
      </c>
      <c r="DJ141">
        <f t="shared" si="183"/>
        <v>1.4177480883115188E-2</v>
      </c>
      <c r="DK141">
        <f t="shared" si="184"/>
        <v>1.4234083970175018E-2</v>
      </c>
      <c r="DL141">
        <f t="shared" si="185"/>
        <v>1.4286178821021768E-2</v>
      </c>
      <c r="DM141">
        <f t="shared" si="186"/>
        <v>1.4333489124403669E-2</v>
      </c>
      <c r="DN141">
        <f t="shared" si="187"/>
        <v>1.4368612647312795E-2</v>
      </c>
      <c r="DO141">
        <f t="shared" si="188"/>
        <v>1.4389301088721591E-2</v>
      </c>
      <c r="DP141">
        <f t="shared" si="189"/>
        <v>1.4399271562101227E-2</v>
      </c>
      <c r="DQ141">
        <f t="shared" si="190"/>
        <v>1.4405074098388383E-2</v>
      </c>
      <c r="DR141">
        <f t="shared" si="191"/>
        <v>1.4406112446987137E-2</v>
      </c>
      <c r="DS141">
        <f t="shared" si="192"/>
        <v>1.4406179343395461E-2</v>
      </c>
      <c r="DT141">
        <f t="shared" si="193"/>
        <v>1.440806698552597E-2</v>
      </c>
      <c r="DU141">
        <f t="shared" si="194"/>
        <v>1.4410911537149447E-2</v>
      </c>
      <c r="DV141">
        <f t="shared" si="195"/>
        <v>1.4410550878252401E-2</v>
      </c>
      <c r="DW141">
        <f t="shared" si="196"/>
        <v>1.440720024075726E-2</v>
      </c>
      <c r="DX141">
        <f t="shared" si="197"/>
        <v>1.440775577180029E-2</v>
      </c>
      <c r="DY141">
        <f t="shared" si="198"/>
        <v>1.4415041663228526E-2</v>
      </c>
      <c r="DZ141">
        <f t="shared" si="199"/>
        <v>1.4426315162300717E-2</v>
      </c>
      <c r="EA141">
        <f t="shared" si="200"/>
        <v>1.4435261829779059E-2</v>
      </c>
      <c r="EB141">
        <f t="shared" si="201"/>
        <v>1.4442236507481618E-2</v>
      </c>
      <c r="EC141">
        <f t="shared" si="202"/>
        <v>1.4449048306972604E-2</v>
      </c>
      <c r="ED141">
        <f t="shared" si="203"/>
        <v>1.4455659417238623E-2</v>
      </c>
      <c r="EE141">
        <f t="shared" si="204"/>
        <v>1.4460839526074427E-2</v>
      </c>
      <c r="EF141">
        <f t="shared" si="205"/>
        <v>1.4463035473391121E-2</v>
      </c>
      <c r="EG141">
        <f t="shared" si="206"/>
        <v>1.4462148368845965E-2</v>
      </c>
      <c r="EH141">
        <f t="shared" si="207"/>
        <v>1.4455609972067254E-2</v>
      </c>
      <c r="EI141">
        <f t="shared" si="208"/>
        <v>1.4441840946110663E-2</v>
      </c>
      <c r="EJ141">
        <f t="shared" si="209"/>
        <v>1.4421324108531915E-2</v>
      </c>
      <c r="EK141">
        <f t="shared" si="210"/>
        <v>1.4394914569941745E-2</v>
      </c>
      <c r="EL141">
        <f t="shared" si="211"/>
        <v>1.43610097250799E-2</v>
      </c>
      <c r="EM141">
        <f t="shared" si="212"/>
        <v>1.4323111455495108E-2</v>
      </c>
      <c r="EN141">
        <f t="shared" si="213"/>
        <v>1.4282580957669782E-2</v>
      </c>
      <c r="EO141">
        <f t="shared" si="214"/>
        <v>1.423651841773008E-2</v>
      </c>
      <c r="EP141">
        <f t="shared" si="215"/>
        <v>1.4181314338166053E-2</v>
      </c>
      <c r="EQ141">
        <f t="shared" si="216"/>
        <v>1.4118475342434711E-2</v>
      </c>
      <c r="ER141">
        <f t="shared" si="217"/>
        <v>1.4038426518527377E-2</v>
      </c>
      <c r="ES141">
        <f t="shared" si="218"/>
        <v>1.3936278611557478E-2</v>
      </c>
      <c r="ET141">
        <f t="shared" si="219"/>
        <v>1.3816376979526524E-2</v>
      </c>
      <c r="EU141">
        <f t="shared" si="220"/>
        <v>1.3691728611044122E-2</v>
      </c>
      <c r="EV141">
        <f t="shared" si="221"/>
        <v>1.3564270593412147E-2</v>
      </c>
      <c r="EW141">
        <f t="shared" si="222"/>
        <v>1.3417159574430642E-2</v>
      </c>
      <c r="EX141">
        <f t="shared" si="223"/>
        <v>1.3244782072879444E-2</v>
      </c>
      <c r="EY141">
        <f t="shared" si="224"/>
        <v>1.3057181275625501E-2</v>
      </c>
      <c r="EZ141">
        <f t="shared" si="225"/>
        <v>1.2866994786762898E-2</v>
      </c>
      <c r="FA141">
        <f t="shared" si="226"/>
        <v>1.2668071045265393E-2</v>
      </c>
      <c r="FB141">
        <f t="shared" si="227"/>
        <v>1.2495050756486397E-2</v>
      </c>
      <c r="FC141">
        <f t="shared" si="228"/>
        <v>1.2365300809734482E-2</v>
      </c>
      <c r="FD141">
        <f t="shared" si="229"/>
        <v>1.2262213444508568E-2</v>
      </c>
      <c r="FE141">
        <f t="shared" si="230"/>
        <v>1.2143114569377491E-2</v>
      </c>
      <c r="FF141">
        <f t="shared" si="231"/>
        <v>1.2006104908052775E-2</v>
      </c>
      <c r="FG141">
        <f t="shared" si="232"/>
        <v>1.1883352907319357E-2</v>
      </c>
      <c r="FH141">
        <f t="shared" si="233"/>
        <v>1.1783200258441182E-2</v>
      </c>
      <c r="FI141">
        <f t="shared" si="234"/>
        <v>1.168559549015827E-2</v>
      </c>
      <c r="FJ141">
        <f t="shared" si="235"/>
        <v>1.1567369176874885E-2</v>
      </c>
      <c r="FK141">
        <f t="shared" si="236"/>
        <v>1.143941670752922E-2</v>
      </c>
      <c r="FL141">
        <f t="shared" si="237"/>
        <v>1.1229158387630188E-2</v>
      </c>
      <c r="FM141">
        <f t="shared" si="238"/>
        <v>1.0900080412391341E-2</v>
      </c>
      <c r="FN141">
        <f t="shared" si="239"/>
        <v>1.048522379044531E-2</v>
      </c>
      <c r="FO141">
        <f t="shared" si="240"/>
        <v>1.0055588879338858E-2</v>
      </c>
      <c r="FP141">
        <f t="shared" si="241"/>
        <v>9.5987096788079443E-3</v>
      </c>
      <c r="FQ141">
        <f t="shared" si="242"/>
        <v>9.1247660770756543E-3</v>
      </c>
      <c r="FR141">
        <f t="shared" si="243"/>
        <v>8.646514928355253E-3</v>
      </c>
      <c r="FS141">
        <f t="shared" si="244"/>
        <v>8.1578570253313699E-3</v>
      </c>
      <c r="FT141">
        <f t="shared" si="245"/>
        <v>7.6176481683457985E-3</v>
      </c>
      <c r="FU141">
        <f t="shared" si="246"/>
        <v>7.2019684297234456E-3</v>
      </c>
      <c r="FV141">
        <f t="shared" si="247"/>
        <v>6.6982297494319384E-3</v>
      </c>
      <c r="FW141">
        <f t="shared" si="248"/>
        <v>6.0058839172221507E-3</v>
      </c>
      <c r="FX141">
        <f t="shared" si="249"/>
        <v>5.1251868845694024E-3</v>
      </c>
      <c r="FY141">
        <f t="shared" si="250"/>
        <v>4.50286704917645E-3</v>
      </c>
      <c r="FZ141">
        <f t="shared" si="251"/>
        <v>4.200887936387448E-3</v>
      </c>
      <c r="GA141">
        <f t="shared" si="252"/>
        <v>3.7293729651312348E-3</v>
      </c>
      <c r="GB141">
        <f t="shared" si="253"/>
        <v>3.0684335423594011E-3</v>
      </c>
      <c r="GC141">
        <f t="shared" si="254"/>
        <v>2.2180783936904232E-3</v>
      </c>
      <c r="GD141">
        <f t="shared" si="255"/>
        <v>1.6630068998991518E-3</v>
      </c>
      <c r="GE141">
        <f t="shared" si="256"/>
        <v>3.876966801668465E-3</v>
      </c>
    </row>
    <row r="142" spans="1:187">
      <c r="A142" s="15">
        <v>2090</v>
      </c>
      <c r="B142" s="18">
        <v>4425.0789999999997</v>
      </c>
      <c r="C142" s="18">
        <v>4436.4189999999999</v>
      </c>
      <c r="D142" s="18">
        <v>4442.2510000000002</v>
      </c>
      <c r="E142" s="18">
        <v>4443.5020000000004</v>
      </c>
      <c r="F142" s="18">
        <v>4441.1000000000004</v>
      </c>
      <c r="G142" s="18">
        <v>4435.973</v>
      </c>
      <c r="H142" s="18">
        <v>4429.05</v>
      </c>
      <c r="I142" s="18">
        <v>4421.2569999999996</v>
      </c>
      <c r="J142" s="18">
        <v>4413.5240000000003</v>
      </c>
      <c r="K142" s="18">
        <v>4406.7780000000002</v>
      </c>
      <c r="L142" s="18">
        <v>4400.884</v>
      </c>
      <c r="M142" s="18">
        <v>4395.7070000000003</v>
      </c>
      <c r="N142" s="18">
        <v>4397.4889999999996</v>
      </c>
      <c r="O142" s="18">
        <v>4409.2849999999999</v>
      </c>
      <c r="P142" s="18">
        <v>4428.8310000000001</v>
      </c>
      <c r="Q142" s="18">
        <v>4449.7110000000002</v>
      </c>
      <c r="R142" s="18">
        <v>4471.8760000000002</v>
      </c>
      <c r="S142" s="18">
        <v>4501.1170000000002</v>
      </c>
      <c r="T142" s="18">
        <v>4539.2420000000002</v>
      </c>
      <c r="U142" s="18">
        <v>4583.2</v>
      </c>
      <c r="V142" s="18">
        <v>4627.7430000000004</v>
      </c>
      <c r="W142" s="18">
        <v>4673.4549999999999</v>
      </c>
      <c r="X142" s="18">
        <v>4716.6080000000002</v>
      </c>
      <c r="Y142" s="18">
        <v>4754.6610000000001</v>
      </c>
      <c r="Z142" s="18">
        <v>4788.66</v>
      </c>
      <c r="AA142" s="18">
        <v>4822.3190000000004</v>
      </c>
      <c r="AB142" s="18">
        <v>4855.04</v>
      </c>
      <c r="AC142" s="18">
        <v>4883.1710000000003</v>
      </c>
      <c r="AD142" s="18">
        <v>4905.3029999999999</v>
      </c>
      <c r="AE142" s="18">
        <v>4922.576</v>
      </c>
      <c r="AF142" s="18">
        <v>4938.0029999999997</v>
      </c>
      <c r="AG142" s="18">
        <v>4951.5379999999996</v>
      </c>
      <c r="AH142" s="18">
        <v>4961.0730000000003</v>
      </c>
      <c r="AI142" s="18">
        <v>4966.0439999999999</v>
      </c>
      <c r="AJ142" s="18">
        <v>4967.6019999999999</v>
      </c>
      <c r="AK142" s="18">
        <v>4967.6610000000001</v>
      </c>
      <c r="AL142" s="18">
        <v>4966.076</v>
      </c>
      <c r="AM142" s="18">
        <v>4964.3090000000002</v>
      </c>
      <c r="AN142" s="18">
        <v>4963.3630000000003</v>
      </c>
      <c r="AO142" s="18">
        <v>4962.8959999999997</v>
      </c>
      <c r="AP142" s="18">
        <v>4961.3789999999999</v>
      </c>
      <c r="AQ142" s="18">
        <v>4958.8940000000002</v>
      </c>
      <c r="AR142" s="18">
        <v>4957.8190000000004</v>
      </c>
      <c r="AS142" s="18">
        <v>4959.12</v>
      </c>
      <c r="AT142" s="18">
        <v>4961.8419999999996</v>
      </c>
      <c r="AU142" s="18">
        <v>4963.8029999999999</v>
      </c>
      <c r="AV142" s="18">
        <v>4965.1220000000003</v>
      </c>
      <c r="AW142" s="18">
        <v>4966.3869999999997</v>
      </c>
      <c r="AX142" s="18">
        <v>4967.5680000000002</v>
      </c>
      <c r="AY142" s="18">
        <v>4968.2420000000002</v>
      </c>
      <c r="AZ142" s="18">
        <v>4967.902</v>
      </c>
      <c r="BA142" s="18">
        <v>4966.5140000000001</v>
      </c>
      <c r="BB142" s="18">
        <v>4963.1329999999998</v>
      </c>
      <c r="BC142" s="18">
        <v>4957.1940000000004</v>
      </c>
      <c r="BD142" s="18">
        <v>4948.8829999999998</v>
      </c>
      <c r="BE142" s="18">
        <v>4938.5460000000003</v>
      </c>
      <c r="BF142" s="18">
        <v>4925.6220000000003</v>
      </c>
      <c r="BG142" s="18">
        <v>4911.3239999999996</v>
      </c>
      <c r="BH142" s="18">
        <v>4896.125</v>
      </c>
      <c r="BI142" s="18">
        <v>4879.0280000000002</v>
      </c>
      <c r="BJ142" s="18">
        <v>4858.7629999999999</v>
      </c>
      <c r="BK142" s="18">
        <v>4835.8360000000002</v>
      </c>
      <c r="BL142" s="18">
        <v>4807.0389999999998</v>
      </c>
      <c r="BM142" s="18">
        <v>4770.723</v>
      </c>
      <c r="BN142" s="18">
        <v>4728.3360000000002</v>
      </c>
      <c r="BO142" s="18">
        <v>4684.2280000000001</v>
      </c>
      <c r="BP142" s="18">
        <v>4639.0330000000004</v>
      </c>
      <c r="BQ142" s="18">
        <v>4587.1130000000003</v>
      </c>
      <c r="BR142" s="18">
        <v>4526.5829999999996</v>
      </c>
      <c r="BS142" s="18">
        <v>4460.7920000000004</v>
      </c>
      <c r="BT142" s="18">
        <v>4393.8770000000004</v>
      </c>
      <c r="BU142" s="18">
        <v>4323.6989999999996</v>
      </c>
      <c r="BV142" s="18">
        <v>4262.21</v>
      </c>
      <c r="BW142" s="18">
        <v>4215.3620000000001</v>
      </c>
      <c r="BX142" s="18">
        <v>4177.3639999999996</v>
      </c>
      <c r="BY142" s="18">
        <v>4133.5</v>
      </c>
      <c r="BZ142" s="18">
        <v>4083.1410000000001</v>
      </c>
      <c r="CA142" s="18">
        <v>4036.9540000000002</v>
      </c>
      <c r="CB142" s="18">
        <v>3997.61</v>
      </c>
      <c r="CC142" s="18">
        <v>3958.37</v>
      </c>
      <c r="CD142" s="18">
        <v>3911.6379999999999</v>
      </c>
      <c r="CE142" s="18">
        <v>3861.1120000000001</v>
      </c>
      <c r="CF142" s="18">
        <v>3781.7460000000001</v>
      </c>
      <c r="CG142" s="18">
        <v>3660.9859999999999</v>
      </c>
      <c r="CH142" s="18">
        <v>3510.2260000000001</v>
      </c>
      <c r="CI142" s="18">
        <v>3354.1619999999998</v>
      </c>
      <c r="CJ142" s="18">
        <v>3188.752</v>
      </c>
      <c r="CK142" s="18">
        <v>3016.3690000000001</v>
      </c>
      <c r="CL142" s="18">
        <v>2840.97</v>
      </c>
      <c r="CM142" s="18">
        <v>2661.1590000000001</v>
      </c>
      <c r="CN142" s="18">
        <v>2462.0659999999998</v>
      </c>
      <c r="CO142" s="18">
        <v>2318.8009999999999</v>
      </c>
      <c r="CP142" s="18">
        <v>2140.04</v>
      </c>
      <c r="CQ142" s="18">
        <v>1882.894</v>
      </c>
      <c r="CR142" s="18">
        <v>1547.3610000000001</v>
      </c>
      <c r="CS142" s="18">
        <v>1326.962</v>
      </c>
      <c r="CT142" s="18">
        <v>1225.452</v>
      </c>
      <c r="CU142" s="18">
        <v>1068.0160000000001</v>
      </c>
      <c r="CV142" s="18">
        <v>854.65800000000002</v>
      </c>
      <c r="CW142" s="18">
        <v>585.37400000000002</v>
      </c>
      <c r="CX142" s="18">
        <v>1375.8219999999999</v>
      </c>
      <c r="CY142" s="3">
        <f t="shared" si="172"/>
        <v>424469.92199999985</v>
      </c>
      <c r="CZ142" s="21">
        <f t="shared" si="173"/>
        <v>344720.0889999998</v>
      </c>
      <c r="DA142">
        <f t="shared" si="174"/>
        <v>1.3167906788281209E-2</v>
      </c>
      <c r="DB142">
        <f t="shared" si="175"/>
        <v>1.3295424740970063E-2</v>
      </c>
      <c r="DC142">
        <f t="shared" si="176"/>
        <v>1.3424639722693976E-2</v>
      </c>
      <c r="DD142">
        <f t="shared" si="177"/>
        <v>1.3557245861583665E-2</v>
      </c>
      <c r="DE142">
        <f t="shared" si="178"/>
        <v>1.3682428586284111E-2</v>
      </c>
      <c r="DF142">
        <f t="shared" si="179"/>
        <v>1.379281669888407E-2</v>
      </c>
      <c r="DG142">
        <f t="shared" si="180"/>
        <v>1.3891444545316309E-2</v>
      </c>
      <c r="DH142">
        <f t="shared" si="181"/>
        <v>1.3989086084275185E-2</v>
      </c>
      <c r="DI142">
        <f t="shared" si="182"/>
        <v>1.4084006574969301E-2</v>
      </c>
      <c r="DJ142">
        <f t="shared" si="183"/>
        <v>1.4165611914772983E-2</v>
      </c>
      <c r="DK142">
        <f t="shared" si="184"/>
        <v>1.4229814729480424E-2</v>
      </c>
      <c r="DL142">
        <f t="shared" si="185"/>
        <v>1.4279922050031736E-2</v>
      </c>
      <c r="DM142">
        <f t="shared" si="186"/>
        <v>1.4324674301183539E-2</v>
      </c>
      <c r="DN142">
        <f t="shared" si="187"/>
        <v>1.4363938041336495E-2</v>
      </c>
      <c r="DO142">
        <f t="shared" si="188"/>
        <v>1.439159816415574E-2</v>
      </c>
      <c r="DP142">
        <f t="shared" si="189"/>
        <v>1.4406018559597212E-2</v>
      </c>
      <c r="DQ142">
        <f t="shared" si="190"/>
        <v>1.4410538168548693E-2</v>
      </c>
      <c r="DR142">
        <f t="shared" si="191"/>
        <v>1.4410709321904367E-2</v>
      </c>
      <c r="DS142">
        <f t="shared" si="192"/>
        <v>1.4406111388535882E-2</v>
      </c>
      <c r="DT142">
        <f t="shared" si="193"/>
        <v>1.4400985490578715E-2</v>
      </c>
      <c r="DU142">
        <f t="shared" si="194"/>
        <v>1.439824123507929E-2</v>
      </c>
      <c r="DV142">
        <f t="shared" si="195"/>
        <v>1.4396886512755579E-2</v>
      </c>
      <c r="DW142">
        <f t="shared" si="196"/>
        <v>1.4392485840881767E-2</v>
      </c>
      <c r="DX142">
        <f t="shared" si="197"/>
        <v>1.4385277093613199E-2</v>
      </c>
      <c r="DY142">
        <f t="shared" si="198"/>
        <v>1.4382158621454763E-2</v>
      </c>
      <c r="DZ142">
        <f t="shared" si="199"/>
        <v>1.4385932697992551E-2</v>
      </c>
      <c r="EA142">
        <f t="shared" si="200"/>
        <v>1.4393828959588144E-2</v>
      </c>
      <c r="EB142">
        <f t="shared" si="201"/>
        <v>1.4399517632985999E-2</v>
      </c>
      <c r="EC142">
        <f t="shared" si="202"/>
        <v>1.4403343925801792E-2</v>
      </c>
      <c r="ED142">
        <f t="shared" si="203"/>
        <v>1.4407013569783578E-2</v>
      </c>
      <c r="EE142">
        <f t="shared" si="204"/>
        <v>1.4410439537801358E-2</v>
      </c>
      <c r="EF142">
        <f t="shared" si="205"/>
        <v>1.4412394747322088E-2</v>
      </c>
      <c r="EG142">
        <f t="shared" si="206"/>
        <v>1.4411408439848722E-2</v>
      </c>
      <c r="EH142">
        <f t="shared" si="207"/>
        <v>1.4407381984633923E-2</v>
      </c>
      <c r="EI142">
        <f t="shared" si="208"/>
        <v>1.4397574027082602E-2</v>
      </c>
      <c r="EJ142">
        <f t="shared" si="209"/>
        <v>1.4380345556246369E-2</v>
      </c>
      <c r="EK142">
        <f t="shared" si="210"/>
        <v>1.4356236140331243E-2</v>
      </c>
      <c r="EL142">
        <f t="shared" si="211"/>
        <v>1.4326249492236593E-2</v>
      </c>
      <c r="EM142">
        <f t="shared" si="212"/>
        <v>1.4288758204631361E-2</v>
      </c>
      <c r="EN142">
        <f t="shared" si="213"/>
        <v>1.4247281074471997E-2</v>
      </c>
      <c r="EO142">
        <f t="shared" si="214"/>
        <v>1.4203190229508217E-2</v>
      </c>
      <c r="EP142">
        <f t="shared" si="215"/>
        <v>1.4153593468119587E-2</v>
      </c>
      <c r="EQ142">
        <f t="shared" si="216"/>
        <v>1.4094806641802656E-2</v>
      </c>
      <c r="ER142">
        <f t="shared" si="217"/>
        <v>1.4028297608150138E-2</v>
      </c>
      <c r="ES142">
        <f t="shared" si="218"/>
        <v>1.3944760266060393E-2</v>
      </c>
      <c r="ET142">
        <f t="shared" si="219"/>
        <v>1.3839411024287601E-2</v>
      </c>
      <c r="EU142">
        <f t="shared" si="220"/>
        <v>1.3716450392306562E-2</v>
      </c>
      <c r="EV142">
        <f t="shared" si="221"/>
        <v>1.3588497303967691E-2</v>
      </c>
      <c r="EW142">
        <f t="shared" si="222"/>
        <v>1.3457390932618387E-2</v>
      </c>
      <c r="EX142">
        <f t="shared" si="223"/>
        <v>1.3306775979626772E-2</v>
      </c>
      <c r="EY142">
        <f t="shared" si="224"/>
        <v>1.3131184240324336E-2</v>
      </c>
      <c r="EZ142">
        <f t="shared" si="225"/>
        <v>1.2940330843323735E-2</v>
      </c>
      <c r="FA142">
        <f t="shared" si="226"/>
        <v>1.2746216829852358E-2</v>
      </c>
      <c r="FB142">
        <f t="shared" si="227"/>
        <v>1.2542637165541002E-2</v>
      </c>
      <c r="FC142">
        <f t="shared" si="228"/>
        <v>1.236426345898281E-2</v>
      </c>
      <c r="FD142">
        <f t="shared" si="229"/>
        <v>1.2228361892770347E-2</v>
      </c>
      <c r="FE142">
        <f t="shared" si="230"/>
        <v>1.2118133329908725E-2</v>
      </c>
      <c r="FF142">
        <f t="shared" si="231"/>
        <v>1.1990888062227213E-2</v>
      </c>
      <c r="FG142">
        <f t="shared" si="232"/>
        <v>1.1844801420900081E-2</v>
      </c>
      <c r="FH142">
        <f t="shared" si="233"/>
        <v>1.1710817352452014E-2</v>
      </c>
      <c r="FI142">
        <f t="shared" si="234"/>
        <v>1.1596684172357598E-2</v>
      </c>
      <c r="FJ142">
        <f t="shared" si="235"/>
        <v>1.1482852686313858E-2</v>
      </c>
      <c r="FK142">
        <f t="shared" si="236"/>
        <v>1.1347287625004072E-2</v>
      </c>
      <c r="FL142">
        <f t="shared" si="237"/>
        <v>1.1200716532653258E-2</v>
      </c>
      <c r="FM142">
        <f t="shared" si="238"/>
        <v>1.0970483359326362E-2</v>
      </c>
      <c r="FN142">
        <f t="shared" si="239"/>
        <v>1.062017015202152E-2</v>
      </c>
      <c r="FO142">
        <f t="shared" si="240"/>
        <v>1.0182829814713822E-2</v>
      </c>
      <c r="FP142">
        <f t="shared" si="241"/>
        <v>9.7301030808216154E-3</v>
      </c>
      <c r="FQ142">
        <f t="shared" si="242"/>
        <v>9.2502644950291889E-3</v>
      </c>
      <c r="FR142">
        <f t="shared" si="243"/>
        <v>8.7501979033197622E-3</v>
      </c>
      <c r="FS142">
        <f t="shared" si="244"/>
        <v>8.2413821841407151E-3</v>
      </c>
      <c r="FT142">
        <f t="shared" si="245"/>
        <v>7.7197676750425806E-3</v>
      </c>
      <c r="FU142">
        <f t="shared" si="246"/>
        <v>7.142217928587275E-3</v>
      </c>
      <c r="FV142">
        <f t="shared" si="247"/>
        <v>6.7266198692586239E-3</v>
      </c>
      <c r="FW142">
        <f t="shared" si="248"/>
        <v>6.2080513097105905E-3</v>
      </c>
      <c r="FX142">
        <f t="shared" si="249"/>
        <v>5.4620953639867532E-3</v>
      </c>
      <c r="FY142">
        <f t="shared" si="250"/>
        <v>4.4887462302784474E-3</v>
      </c>
      <c r="FZ142">
        <f t="shared" si="251"/>
        <v>3.8493898160951124E-3</v>
      </c>
      <c r="GA142">
        <f t="shared" si="252"/>
        <v>3.5549190172087727E-3</v>
      </c>
      <c r="GB142">
        <f t="shared" si="253"/>
        <v>3.0982122425711042E-3</v>
      </c>
      <c r="GC142">
        <f t="shared" si="254"/>
        <v>2.4792810957994398E-3</v>
      </c>
      <c r="GD142">
        <f t="shared" si="255"/>
        <v>1.6981139732764469E-3</v>
      </c>
      <c r="GE142">
        <f t="shared" si="256"/>
        <v>3.9911280018264349E-3</v>
      </c>
    </row>
    <row r="143" spans="1:187">
      <c r="A143" s="15">
        <v>2091</v>
      </c>
      <c r="B143" s="18">
        <v>4435.9139999999998</v>
      </c>
      <c r="C143" s="18">
        <v>4439.0370000000003</v>
      </c>
      <c r="D143" s="18">
        <v>4446.8289999999997</v>
      </c>
      <c r="E143" s="18">
        <v>4449.9629999999997</v>
      </c>
      <c r="F143" s="18">
        <v>4449.357</v>
      </c>
      <c r="G143" s="18">
        <v>4445.933</v>
      </c>
      <c r="H143" s="18">
        <v>4440.4480000000003</v>
      </c>
      <c r="I143" s="18">
        <v>4433.6559999999999</v>
      </c>
      <c r="J143" s="18">
        <v>4427.3010000000004</v>
      </c>
      <c r="K143" s="18">
        <v>4422.634</v>
      </c>
      <c r="L143" s="18">
        <v>4420.0820000000003</v>
      </c>
      <c r="M143" s="18">
        <v>4418.5240000000003</v>
      </c>
      <c r="N143" s="18">
        <v>4417.8310000000001</v>
      </c>
      <c r="O143" s="18">
        <v>4424.1790000000001</v>
      </c>
      <c r="P143" s="18">
        <v>4440.4279999999999</v>
      </c>
      <c r="Q143" s="18">
        <v>4464.1769999999997</v>
      </c>
      <c r="R143" s="18">
        <v>4489.1779999999999</v>
      </c>
      <c r="S143" s="18">
        <v>4515.4830000000002</v>
      </c>
      <c r="T143" s="18">
        <v>4547.3490000000002</v>
      </c>
      <c r="U143" s="18">
        <v>4585.8789999999999</v>
      </c>
      <c r="V143" s="18">
        <v>4628.6779999999999</v>
      </c>
      <c r="W143" s="18">
        <v>4671.9319999999998</v>
      </c>
      <c r="X143" s="18">
        <v>4716.0259999999998</v>
      </c>
      <c r="Y143" s="18">
        <v>4757.2640000000001</v>
      </c>
      <c r="Z143" s="18">
        <v>4793.29</v>
      </c>
      <c r="AA143" s="18">
        <v>4825.1490000000003</v>
      </c>
      <c r="AB143" s="18">
        <v>4856.3710000000001</v>
      </c>
      <c r="AC143" s="18">
        <v>4886.4049999999997</v>
      </c>
      <c r="AD143" s="18">
        <v>4912.03</v>
      </c>
      <c r="AE143" s="18">
        <v>4932.0410000000002</v>
      </c>
      <c r="AF143" s="18">
        <v>4947.4579999999996</v>
      </c>
      <c r="AG143" s="18">
        <v>4960.96</v>
      </c>
      <c r="AH143" s="18">
        <v>4972.5600000000004</v>
      </c>
      <c r="AI143" s="18">
        <v>4980.3119999999999</v>
      </c>
      <c r="AJ143" s="18">
        <v>4983.6940000000004</v>
      </c>
      <c r="AK143" s="18">
        <v>4983.8130000000001</v>
      </c>
      <c r="AL143" s="18">
        <v>4982.4840000000004</v>
      </c>
      <c r="AM143" s="18">
        <v>4979.5680000000002</v>
      </c>
      <c r="AN143" s="18">
        <v>4976.5460000000003</v>
      </c>
      <c r="AO143" s="18">
        <v>4974.4120000000003</v>
      </c>
      <c r="AP143" s="18">
        <v>4972.8109999999997</v>
      </c>
      <c r="AQ143" s="18">
        <v>4970.2</v>
      </c>
      <c r="AR143" s="18">
        <v>4966.6570000000002</v>
      </c>
      <c r="AS143" s="18">
        <v>4964.5320000000002</v>
      </c>
      <c r="AT143" s="18">
        <v>4964.7719999999999</v>
      </c>
      <c r="AU143" s="18">
        <v>4966.4219999999996</v>
      </c>
      <c r="AV143" s="18">
        <v>4967.3239999999996</v>
      </c>
      <c r="AW143" s="18">
        <v>4967.5950000000003</v>
      </c>
      <c r="AX143" s="18">
        <v>4967.7659999999996</v>
      </c>
      <c r="AY143" s="18">
        <v>4967.78</v>
      </c>
      <c r="AZ143" s="18">
        <v>4967.2389999999996</v>
      </c>
      <c r="BA143" s="18">
        <v>4965.68</v>
      </c>
      <c r="BB143" s="18">
        <v>4963.058</v>
      </c>
      <c r="BC143" s="18">
        <v>4958.4399999999996</v>
      </c>
      <c r="BD143" s="18">
        <v>4951.2730000000001</v>
      </c>
      <c r="BE143" s="18">
        <v>4941.7330000000002</v>
      </c>
      <c r="BF143" s="18">
        <v>4930.1369999999997</v>
      </c>
      <c r="BG143" s="18">
        <v>4915.9139999999998</v>
      </c>
      <c r="BH143" s="18">
        <v>4900.3339999999998</v>
      </c>
      <c r="BI143" s="18">
        <v>4883.8919999999998</v>
      </c>
      <c r="BJ143" s="18">
        <v>4865.5550000000003</v>
      </c>
      <c r="BK143" s="18">
        <v>4843.973</v>
      </c>
      <c r="BL143" s="18">
        <v>4819.6319999999996</v>
      </c>
      <c r="BM143" s="18">
        <v>4789.4070000000002</v>
      </c>
      <c r="BN143" s="18">
        <v>4751.6710000000003</v>
      </c>
      <c r="BO143" s="18">
        <v>4707.8109999999997</v>
      </c>
      <c r="BP143" s="18">
        <v>4662.027</v>
      </c>
      <c r="BQ143" s="18">
        <v>4614.91</v>
      </c>
      <c r="BR143" s="18">
        <v>4560.9780000000001</v>
      </c>
      <c r="BS143" s="18">
        <v>4498.3869999999997</v>
      </c>
      <c r="BT143" s="18">
        <v>4430.3549999999996</v>
      </c>
      <c r="BU143" s="18">
        <v>4360.7910000000002</v>
      </c>
      <c r="BV143" s="18">
        <v>4287.5349999999999</v>
      </c>
      <c r="BW143" s="18">
        <v>4222.473</v>
      </c>
      <c r="BX143" s="18">
        <v>4171.4840000000004</v>
      </c>
      <c r="BY143" s="18">
        <v>4128.7349999999997</v>
      </c>
      <c r="BZ143" s="18">
        <v>4079.6579999999999</v>
      </c>
      <c r="CA143" s="18">
        <v>4023.7370000000001</v>
      </c>
      <c r="CB143" s="18">
        <v>3970.7089999999998</v>
      </c>
      <c r="CC143" s="18">
        <v>3922.8409999999999</v>
      </c>
      <c r="CD143" s="18">
        <v>3873.857</v>
      </c>
      <c r="CE143" s="18">
        <v>3817.2339999999999</v>
      </c>
      <c r="CF143" s="18">
        <v>3756.701</v>
      </c>
      <c r="CG143" s="18">
        <v>3666.7179999999998</v>
      </c>
      <c r="CH143" s="18">
        <v>3534.674</v>
      </c>
      <c r="CI143" s="18">
        <v>3372.3440000000001</v>
      </c>
      <c r="CJ143" s="18">
        <v>3202.2060000000001</v>
      </c>
      <c r="CK143" s="18">
        <v>3035.7249999999999</v>
      </c>
      <c r="CL143" s="18">
        <v>2860.087</v>
      </c>
      <c r="CM143" s="18">
        <v>2665.7440000000001</v>
      </c>
      <c r="CN143" s="18">
        <v>2451.5790000000002</v>
      </c>
      <c r="CO143" s="18">
        <v>2245.183</v>
      </c>
      <c r="CP143" s="18">
        <v>2107.877</v>
      </c>
      <c r="CQ143" s="18">
        <v>1932.625</v>
      </c>
      <c r="CR143" s="18">
        <v>1685.0909999999999</v>
      </c>
      <c r="CS143" s="18">
        <v>1365.2719999999999</v>
      </c>
      <c r="CT143" s="18">
        <v>1238.7260000000001</v>
      </c>
      <c r="CU143" s="18">
        <v>1080.827</v>
      </c>
      <c r="CV143" s="18">
        <v>867.20299999999997</v>
      </c>
      <c r="CW143" s="18">
        <v>597.85699999999997</v>
      </c>
      <c r="CX143" s="18">
        <v>1421.7840000000001</v>
      </c>
      <c r="CY143" s="3">
        <f t="shared" si="172"/>
        <v>425380.71699999977</v>
      </c>
      <c r="CZ143" s="21">
        <f t="shared" si="173"/>
        <v>345399.76299999992</v>
      </c>
      <c r="DA143">
        <f t="shared" si="174"/>
        <v>1.316546647427781E-2</v>
      </c>
      <c r="DB143">
        <f t="shared" si="175"/>
        <v>1.3277018374792577E-2</v>
      </c>
      <c r="DC143">
        <f t="shared" si="176"/>
        <v>1.3400929866880079E-2</v>
      </c>
      <c r="DD143">
        <f t="shared" si="177"/>
        <v>1.352615867313146E-2</v>
      </c>
      <c r="DE143">
        <f t="shared" si="178"/>
        <v>1.3653819443993078E-2</v>
      </c>
      <c r="DF143">
        <f t="shared" si="179"/>
        <v>1.3773211535179894E-2</v>
      </c>
      <c r="DG143">
        <f t="shared" si="180"/>
        <v>1.3877513864999384E-2</v>
      </c>
      <c r="DH143">
        <f t="shared" si="181"/>
        <v>1.3969751913234525E-2</v>
      </c>
      <c r="DI143">
        <f t="shared" si="182"/>
        <v>1.4060145721640235E-2</v>
      </c>
      <c r="DJ143">
        <f t="shared" si="183"/>
        <v>1.414710003724004E-2</v>
      </c>
      <c r="DK143">
        <f t="shared" si="184"/>
        <v>1.4221289433832069E-2</v>
      </c>
      <c r="DL143">
        <f t="shared" si="185"/>
        <v>1.427922520027902E-2</v>
      </c>
      <c r="DM143">
        <f t="shared" si="186"/>
        <v>1.4323860436464749E-2</v>
      </c>
      <c r="DN143">
        <f t="shared" si="187"/>
        <v>1.4362951372378334E-2</v>
      </c>
      <c r="DO143">
        <f t="shared" si="188"/>
        <v>1.4396535645567312E-2</v>
      </c>
      <c r="DP143">
        <f t="shared" si="189"/>
        <v>1.4418979204684634E-2</v>
      </c>
      <c r="DQ143">
        <f t="shared" si="190"/>
        <v>1.4428770757436801E-2</v>
      </c>
      <c r="DR143">
        <f t="shared" si="191"/>
        <v>1.4429115285756584E-2</v>
      </c>
      <c r="DS143">
        <f t="shared" si="192"/>
        <v>1.4425267570319675E-2</v>
      </c>
      <c r="DT143">
        <f t="shared" si="193"/>
        <v>1.4416825178886997E-2</v>
      </c>
      <c r="DU143">
        <f t="shared" si="194"/>
        <v>1.4408075896682075E-2</v>
      </c>
      <c r="DV143">
        <f t="shared" si="195"/>
        <v>1.440189754849369E-2</v>
      </c>
      <c r="DW143">
        <f t="shared" si="196"/>
        <v>1.4397262339754417E-2</v>
      </c>
      <c r="DX143">
        <f t="shared" si="197"/>
        <v>1.4389702983090932E-2</v>
      </c>
      <c r="DY143">
        <f t="shared" si="198"/>
        <v>1.4379445303788473E-2</v>
      </c>
      <c r="DZ143">
        <f t="shared" si="199"/>
        <v>1.4373293012363767E-2</v>
      </c>
      <c r="EA143">
        <f t="shared" si="200"/>
        <v>1.4373987859395263E-2</v>
      </c>
      <c r="EB143">
        <f t="shared" si="201"/>
        <v>1.4378764932736798E-2</v>
      </c>
      <c r="EC143">
        <f t="shared" si="202"/>
        <v>1.4381376399496836E-2</v>
      </c>
      <c r="ED143">
        <f t="shared" si="203"/>
        <v>1.4382160997603236E-2</v>
      </c>
      <c r="EE143">
        <f t="shared" si="204"/>
        <v>1.4382656076113175E-2</v>
      </c>
      <c r="EF143">
        <f t="shared" si="205"/>
        <v>1.4382696608856679E-2</v>
      </c>
      <c r="EG143">
        <f t="shared" si="206"/>
        <v>1.4381130307839848E-2</v>
      </c>
      <c r="EH143">
        <f t="shared" si="207"/>
        <v>1.437661669733109E-2</v>
      </c>
      <c r="EI143">
        <f t="shared" si="208"/>
        <v>1.4369025493511996E-2</v>
      </c>
      <c r="EJ143">
        <f t="shared" si="209"/>
        <v>1.4355655478547624E-2</v>
      </c>
      <c r="EK143">
        <f t="shared" si="210"/>
        <v>1.4334905609069573E-2</v>
      </c>
      <c r="EL143">
        <f t="shared" si="211"/>
        <v>1.4307285439567604E-2</v>
      </c>
      <c r="EM143">
        <f t="shared" si="212"/>
        <v>1.4273712747162484E-2</v>
      </c>
      <c r="EN143">
        <f t="shared" si="213"/>
        <v>1.4232534374958448E-2</v>
      </c>
      <c r="EO143">
        <f t="shared" si="214"/>
        <v>1.4187427221830494E-2</v>
      </c>
      <c r="EP143">
        <f t="shared" si="215"/>
        <v>1.4139824409781083E-2</v>
      </c>
      <c r="EQ143">
        <f t="shared" si="216"/>
        <v>1.4086735201378819E-2</v>
      </c>
      <c r="ER143">
        <f t="shared" si="217"/>
        <v>1.4024251082071533E-2</v>
      </c>
      <c r="ES143">
        <f t="shared" si="218"/>
        <v>1.3953779117098006E-2</v>
      </c>
      <c r="ET143">
        <f t="shared" si="219"/>
        <v>1.386627181906897E-2</v>
      </c>
      <c r="EU143">
        <f t="shared" si="220"/>
        <v>1.3757018704150071E-2</v>
      </c>
      <c r="EV143">
        <f t="shared" si="221"/>
        <v>1.363003540914416E-2</v>
      </c>
      <c r="EW143">
        <f t="shared" si="222"/>
        <v>1.3497481757102425E-2</v>
      </c>
      <c r="EX143">
        <f t="shared" si="223"/>
        <v>1.3361068808839921E-2</v>
      </c>
      <c r="EY143">
        <f t="shared" si="224"/>
        <v>1.3204925100078894E-2</v>
      </c>
      <c r="EZ143">
        <f t="shared" si="225"/>
        <v>1.3023711889460679E-2</v>
      </c>
      <c r="FA143">
        <f t="shared" si="226"/>
        <v>1.2826745917599256E-2</v>
      </c>
      <c r="FB143">
        <f t="shared" si="227"/>
        <v>1.2625344505520119E-2</v>
      </c>
      <c r="FC143">
        <f t="shared" si="228"/>
        <v>1.2413254029939797E-2</v>
      </c>
      <c r="FD143">
        <f t="shared" si="229"/>
        <v>1.2224886790093139E-2</v>
      </c>
      <c r="FE143">
        <f t="shared" si="230"/>
        <v>1.2077263643055834E-2</v>
      </c>
      <c r="FF143">
        <f t="shared" si="231"/>
        <v>1.1953496910766557E-2</v>
      </c>
      <c r="FG143">
        <f t="shared" si="232"/>
        <v>1.1811409378413502E-2</v>
      </c>
      <c r="FH143">
        <f t="shared" si="233"/>
        <v>1.1649507124878951E-2</v>
      </c>
      <c r="FI143">
        <f t="shared" si="234"/>
        <v>1.1495980673269891E-2</v>
      </c>
      <c r="FJ143">
        <f t="shared" si="235"/>
        <v>1.1357393432837998E-2</v>
      </c>
      <c r="FK143">
        <f t="shared" si="236"/>
        <v>1.1215575153709648E-2</v>
      </c>
      <c r="FL143">
        <f t="shared" si="237"/>
        <v>1.105164047260797E-2</v>
      </c>
      <c r="FM143">
        <f t="shared" si="238"/>
        <v>1.0876385575284836E-2</v>
      </c>
      <c r="FN143">
        <f t="shared" si="239"/>
        <v>1.0615867156805202E-2</v>
      </c>
      <c r="FO143">
        <f t="shared" si="240"/>
        <v>1.0233573900859917E-2</v>
      </c>
      <c r="FP143">
        <f t="shared" si="241"/>
        <v>9.7635967399317559E-3</v>
      </c>
      <c r="FQ143">
        <f t="shared" si="242"/>
        <v>9.2710138889122544E-3</v>
      </c>
      <c r="FR143">
        <f t="shared" si="243"/>
        <v>8.7890187695351743E-3</v>
      </c>
      <c r="FS143">
        <f t="shared" si="244"/>
        <v>8.2805123407105538E-3</v>
      </c>
      <c r="FT143">
        <f t="shared" si="245"/>
        <v>7.7178512713687092E-3</v>
      </c>
      <c r="FU143">
        <f t="shared" si="246"/>
        <v>7.0978016276172159E-3</v>
      </c>
      <c r="FV143">
        <f t="shared" si="247"/>
        <v>6.5002447613144443E-3</v>
      </c>
      <c r="FW143">
        <f t="shared" si="248"/>
        <v>6.1027169842036069E-3</v>
      </c>
      <c r="FX143">
        <f t="shared" si="249"/>
        <v>5.5953281010213095E-3</v>
      </c>
      <c r="FY143">
        <f t="shared" si="250"/>
        <v>4.87866866312818E-3</v>
      </c>
      <c r="FZ143">
        <f t="shared" si="251"/>
        <v>3.9527299849363255E-3</v>
      </c>
      <c r="GA143">
        <f t="shared" si="252"/>
        <v>3.5863545164042292E-3</v>
      </c>
      <c r="GB143">
        <f t="shared" si="253"/>
        <v>3.1292059687950632E-3</v>
      </c>
      <c r="GC143">
        <f t="shared" si="254"/>
        <v>2.510722626060401E-3</v>
      </c>
      <c r="GD143">
        <f t="shared" si="255"/>
        <v>1.7309131737881364E-3</v>
      </c>
      <c r="GE143">
        <f t="shared" si="256"/>
        <v>4.116343299285936E-3</v>
      </c>
    </row>
    <row r="144" spans="1:187">
      <c r="A144" s="15">
        <v>2092</v>
      </c>
      <c r="B144" s="18">
        <v>4445.8720000000003</v>
      </c>
      <c r="C144" s="18">
        <v>4458.1769999999997</v>
      </c>
      <c r="D144" s="18">
        <v>4452.08</v>
      </c>
      <c r="E144" s="18">
        <v>4456.3190000000004</v>
      </c>
      <c r="F144" s="18">
        <v>4456.7510000000002</v>
      </c>
      <c r="G144" s="18">
        <v>4454.2879999999996</v>
      </c>
      <c r="H144" s="18">
        <v>4449.8419999999996</v>
      </c>
      <c r="I144" s="18">
        <v>4443.9979999999996</v>
      </c>
      <c r="J144" s="18">
        <v>4437.3379999999997</v>
      </c>
      <c r="K144" s="18">
        <v>4432.4250000000002</v>
      </c>
      <c r="L144" s="18">
        <v>4430.8280000000004</v>
      </c>
      <c r="M144" s="18">
        <v>4432.4750000000004</v>
      </c>
      <c r="N144" s="18">
        <v>4435.26</v>
      </c>
      <c r="O144" s="18">
        <v>4439.0550000000003</v>
      </c>
      <c r="P144" s="18">
        <v>4449.973</v>
      </c>
      <c r="Q144" s="18">
        <v>4470.6769999999997</v>
      </c>
      <c r="R144" s="18">
        <v>4498.6310000000003</v>
      </c>
      <c r="S144" s="18">
        <v>4527.7510000000002</v>
      </c>
      <c r="T144" s="18">
        <v>4558.1959999999999</v>
      </c>
      <c r="U144" s="18">
        <v>4592.6819999999998</v>
      </c>
      <c r="V144" s="18">
        <v>4631.6099999999997</v>
      </c>
      <c r="W144" s="18">
        <v>4673.241</v>
      </c>
      <c r="X144" s="18">
        <v>4715.1949999999997</v>
      </c>
      <c r="Y144" s="18">
        <v>4757.66</v>
      </c>
      <c r="Z144" s="18">
        <v>4796.97</v>
      </c>
      <c r="AA144" s="18">
        <v>4830.9589999999998</v>
      </c>
      <c r="AB144" s="18">
        <v>4860.67</v>
      </c>
      <c r="AC144" s="18">
        <v>4889.4459999999999</v>
      </c>
      <c r="AD144" s="18">
        <v>4916.7830000000004</v>
      </c>
      <c r="AE144" s="18">
        <v>4939.8950000000004</v>
      </c>
      <c r="AF144" s="18">
        <v>4957.7780000000002</v>
      </c>
      <c r="AG144" s="18">
        <v>4971.3310000000001</v>
      </c>
      <c r="AH144" s="18">
        <v>4982.9049999999997</v>
      </c>
      <c r="AI144" s="18">
        <v>4992.5649999999996</v>
      </c>
      <c r="AJ144" s="18">
        <v>4998.5290000000005</v>
      </c>
      <c r="AK144" s="18">
        <v>5000.3190000000004</v>
      </c>
      <c r="AL144" s="18">
        <v>4998.9960000000001</v>
      </c>
      <c r="AM144" s="18">
        <v>4996.2780000000002</v>
      </c>
      <c r="AN144" s="18">
        <v>4992.0320000000002</v>
      </c>
      <c r="AO144" s="18">
        <v>4987.7529999999997</v>
      </c>
      <c r="AP144" s="18">
        <v>4984.4290000000001</v>
      </c>
      <c r="AQ144" s="18">
        <v>4981.6930000000002</v>
      </c>
      <c r="AR144" s="18">
        <v>4977.9889999999996</v>
      </c>
      <c r="AS144" s="18">
        <v>4973.3879999999999</v>
      </c>
      <c r="AT144" s="18">
        <v>4970.2120000000004</v>
      </c>
      <c r="AU144" s="18">
        <v>4969.3890000000001</v>
      </c>
      <c r="AV144" s="18">
        <v>4969.9650000000001</v>
      </c>
      <c r="AW144" s="18">
        <v>4969.8069999999998</v>
      </c>
      <c r="AX144" s="18">
        <v>4969.0280000000002</v>
      </c>
      <c r="AY144" s="18">
        <v>4968.1030000000001</v>
      </c>
      <c r="AZ144" s="18">
        <v>4966.951</v>
      </c>
      <c r="BA144" s="18">
        <v>4965.1930000000002</v>
      </c>
      <c r="BB144" s="18">
        <v>4962.4139999999998</v>
      </c>
      <c r="BC144" s="18">
        <v>4958.5559999999996</v>
      </c>
      <c r="BD144" s="18">
        <v>4952.7030000000004</v>
      </c>
      <c r="BE144" s="18">
        <v>4944.3069999999998</v>
      </c>
      <c r="BF144" s="18">
        <v>4933.5389999999998</v>
      </c>
      <c r="BG144" s="18">
        <v>4920.6840000000002</v>
      </c>
      <c r="BH144" s="18">
        <v>4905.1629999999996</v>
      </c>
      <c r="BI144" s="18">
        <v>4888.3019999999997</v>
      </c>
      <c r="BJ144" s="18">
        <v>4870.6189999999997</v>
      </c>
      <c r="BK144" s="18">
        <v>4851.0460000000003</v>
      </c>
      <c r="BL144" s="18">
        <v>4828.1499999999996</v>
      </c>
      <c r="BM144" s="18">
        <v>4802.3969999999999</v>
      </c>
      <c r="BN144" s="18">
        <v>4770.7479999999996</v>
      </c>
      <c r="BO144" s="18">
        <v>4731.6000000000004</v>
      </c>
      <c r="BP144" s="18">
        <v>4686.2730000000001</v>
      </c>
      <c r="BQ144" s="18">
        <v>4638.8209999999999</v>
      </c>
      <c r="BR144" s="18">
        <v>4589.7889999999998</v>
      </c>
      <c r="BS144" s="18">
        <v>4533.8540000000003</v>
      </c>
      <c r="BT144" s="18">
        <v>4469.2129999999997</v>
      </c>
      <c r="BU144" s="18">
        <v>4398.95</v>
      </c>
      <c r="BV144" s="18">
        <v>4326.7489999999998</v>
      </c>
      <c r="BW144" s="18">
        <v>4250.4250000000002</v>
      </c>
      <c r="BX144" s="18">
        <v>4181.8029999999999</v>
      </c>
      <c r="BY144" s="18">
        <v>4126.6790000000001</v>
      </c>
      <c r="BZ144" s="18">
        <v>4079.181</v>
      </c>
      <c r="CA144" s="18">
        <v>4024.895</v>
      </c>
      <c r="CB144" s="18">
        <v>3963.4169999999999</v>
      </c>
      <c r="CC144" s="18">
        <v>3903.549</v>
      </c>
      <c r="CD144" s="18">
        <v>3847.1570000000002</v>
      </c>
      <c r="CE144" s="18">
        <v>3788.4290000000001</v>
      </c>
      <c r="CF144" s="18">
        <v>3721.915</v>
      </c>
      <c r="CG144" s="18">
        <v>3651.375</v>
      </c>
      <c r="CH144" s="18">
        <v>3550.7829999999999</v>
      </c>
      <c r="CI144" s="18">
        <v>3407.47</v>
      </c>
      <c r="CJ144" s="18">
        <v>3233.5880000000002</v>
      </c>
      <c r="CK144" s="18">
        <v>3049.3960000000002</v>
      </c>
      <c r="CL144" s="18">
        <v>2881.8760000000002</v>
      </c>
      <c r="CM144" s="18">
        <v>2703.0160000000001</v>
      </c>
      <c r="CN144" s="18">
        <v>2489.748</v>
      </c>
      <c r="CO144" s="18">
        <v>2241.2310000000002</v>
      </c>
      <c r="CP144" s="18">
        <v>2027.567</v>
      </c>
      <c r="CQ144" s="18">
        <v>1896.2560000000001</v>
      </c>
      <c r="CR144" s="18">
        <v>1724.5550000000001</v>
      </c>
      <c r="CS144" s="18">
        <v>1486.6949999999999</v>
      </c>
      <c r="CT144" s="18">
        <v>1182.6759999999999</v>
      </c>
      <c r="CU144" s="18">
        <v>1088.347</v>
      </c>
      <c r="CV144" s="18">
        <v>875.51300000000003</v>
      </c>
      <c r="CW144" s="18">
        <v>608.35500000000002</v>
      </c>
      <c r="CX144" s="18">
        <v>1467.7380000000001</v>
      </c>
      <c r="CY144" s="3">
        <f t="shared" si="172"/>
        <v>426297.19199999992</v>
      </c>
      <c r="CZ144" s="21">
        <f t="shared" si="173"/>
        <v>346125.45199999993</v>
      </c>
      <c r="DA144">
        <f t="shared" si="174"/>
        <v>1.3169202015227706E-2</v>
      </c>
      <c r="DB144">
        <f t="shared" si="175"/>
        <v>1.3268836410215798E-2</v>
      </c>
      <c r="DC144">
        <f t="shared" si="176"/>
        <v>1.3381304302348735E-2</v>
      </c>
      <c r="DD144">
        <f t="shared" si="177"/>
        <v>1.3501581501726723E-2</v>
      </c>
      <c r="DE144">
        <f t="shared" si="178"/>
        <v>1.3622791888762923E-2</v>
      </c>
      <c r="DF144">
        <f t="shared" si="179"/>
        <v>1.3745478619122181E-2</v>
      </c>
      <c r="DG144">
        <f t="shared" si="180"/>
        <v>1.3859050157340066E-2</v>
      </c>
      <c r="DH144">
        <f t="shared" si="181"/>
        <v>1.3957248656767375E-2</v>
      </c>
      <c r="DI144">
        <f t="shared" si="182"/>
        <v>1.4043087475693642E-2</v>
      </c>
      <c r="DJ144">
        <f t="shared" si="183"/>
        <v>1.4126224961925079E-2</v>
      </c>
      <c r="DK144">
        <f t="shared" si="184"/>
        <v>1.4205204996019771E-2</v>
      </c>
      <c r="DL144">
        <f t="shared" si="185"/>
        <v>1.4271978473284886E-2</v>
      </c>
      <c r="DM144">
        <f t="shared" si="186"/>
        <v>1.43236447113401E-2</v>
      </c>
      <c r="DN144">
        <f t="shared" si="187"/>
        <v>1.4362801034348671E-2</v>
      </c>
      <c r="DO144">
        <f t="shared" si="188"/>
        <v>1.439623977724701E-2</v>
      </c>
      <c r="DP144">
        <f t="shared" si="189"/>
        <v>1.4424148733217113E-2</v>
      </c>
      <c r="DQ144">
        <f t="shared" si="190"/>
        <v>1.4441379479946483E-2</v>
      </c>
      <c r="DR144">
        <f t="shared" si="191"/>
        <v>1.4446551015265995E-2</v>
      </c>
      <c r="DS144">
        <f t="shared" si="192"/>
        <v>1.4442728701730958E-2</v>
      </c>
      <c r="DT144">
        <f t="shared" si="193"/>
        <v>1.4434876057597756E-2</v>
      </c>
      <c r="DU144">
        <f t="shared" si="194"/>
        <v>1.4422608829124769E-2</v>
      </c>
      <c r="DV144">
        <f t="shared" si="195"/>
        <v>1.4410246259497845E-2</v>
      </c>
      <c r="DW144">
        <f t="shared" si="196"/>
        <v>1.4400642805083288E-2</v>
      </c>
      <c r="DX144">
        <f t="shared" si="197"/>
        <v>1.4392738156684303E-2</v>
      </c>
      <c r="DY144">
        <f t="shared" si="198"/>
        <v>1.4382036834436552E-2</v>
      </c>
      <c r="DZ144">
        <f t="shared" si="199"/>
        <v>1.4368743966277294E-2</v>
      </c>
      <c r="EA144">
        <f t="shared" si="200"/>
        <v>1.4359568102492507E-2</v>
      </c>
      <c r="EB144">
        <f t="shared" si="201"/>
        <v>1.4357190351895881E-2</v>
      </c>
      <c r="EC144">
        <f t="shared" si="202"/>
        <v>1.4358854488400932E-2</v>
      </c>
      <c r="ED144">
        <f t="shared" si="203"/>
        <v>1.4358398006512393E-2</v>
      </c>
      <c r="EE144">
        <f t="shared" si="204"/>
        <v>1.4356147377454349E-2</v>
      </c>
      <c r="EF144">
        <f t="shared" si="205"/>
        <v>1.4353474936018289E-2</v>
      </c>
      <c r="EG144">
        <f t="shared" si="206"/>
        <v>1.4350146663008189E-2</v>
      </c>
      <c r="EH144">
        <f t="shared" si="207"/>
        <v>1.4345067579716736E-2</v>
      </c>
      <c r="EI144">
        <f t="shared" si="208"/>
        <v>1.4337038698905045E-2</v>
      </c>
      <c r="EJ144">
        <f t="shared" si="209"/>
        <v>1.4325892451272264E-2</v>
      </c>
      <c r="EK144">
        <f t="shared" si="210"/>
        <v>1.4308982397515227E-2</v>
      </c>
      <c r="EL144">
        <f t="shared" si="211"/>
        <v>1.4284725296653426E-2</v>
      </c>
      <c r="EM144">
        <f t="shared" si="212"/>
        <v>1.4253615189211803E-2</v>
      </c>
      <c r="EN144">
        <f t="shared" si="213"/>
        <v>1.4216475476065254E-2</v>
      </c>
      <c r="EO144">
        <f t="shared" si="214"/>
        <v>1.4171633353331093E-2</v>
      </c>
      <c r="EP144">
        <f t="shared" si="215"/>
        <v>1.4122919801921993E-2</v>
      </c>
      <c r="EQ144">
        <f t="shared" si="216"/>
        <v>1.4071831389042146E-2</v>
      </c>
      <c r="ER144">
        <f t="shared" si="217"/>
        <v>1.4015282528255105E-2</v>
      </c>
      <c r="ES144">
        <f t="shared" si="218"/>
        <v>1.3949133102179382E-2</v>
      </c>
      <c r="ET144">
        <f t="shared" si="219"/>
        <v>1.3874729443473578E-2</v>
      </c>
      <c r="EU144">
        <f t="shared" si="220"/>
        <v>1.3783291498598031E-2</v>
      </c>
      <c r="EV144">
        <f t="shared" si="221"/>
        <v>1.3670187998772194E-2</v>
      </c>
      <c r="EW144">
        <f t="shared" si="222"/>
        <v>1.3539232590153471E-2</v>
      </c>
      <c r="EX144">
        <f t="shared" si="223"/>
        <v>1.3402137789046501E-2</v>
      </c>
      <c r="EY144">
        <f t="shared" si="224"/>
        <v>1.3260478169054152E-2</v>
      </c>
      <c r="EZ144">
        <f t="shared" si="225"/>
        <v>1.30988749131341E-2</v>
      </c>
      <c r="FA144">
        <f t="shared" si="226"/>
        <v>1.2912118927330431E-2</v>
      </c>
      <c r="FB144">
        <f t="shared" si="227"/>
        <v>1.2709120275847269E-2</v>
      </c>
      <c r="FC144">
        <f t="shared" si="228"/>
        <v>1.2500522498414825E-2</v>
      </c>
      <c r="FD144">
        <f t="shared" si="229"/>
        <v>1.2280012854992244E-2</v>
      </c>
      <c r="FE144">
        <f t="shared" si="230"/>
        <v>1.2081755259072947E-2</v>
      </c>
      <c r="FF144">
        <f t="shared" si="231"/>
        <v>1.1922495084238998E-2</v>
      </c>
      <c r="FG144">
        <f t="shared" si="232"/>
        <v>1.1785267383341694E-2</v>
      </c>
      <c r="FH144">
        <f t="shared" si="233"/>
        <v>1.162842829599252E-2</v>
      </c>
      <c r="FI144">
        <f t="shared" si="234"/>
        <v>1.1450810615337242E-2</v>
      </c>
      <c r="FJ144">
        <f t="shared" si="235"/>
        <v>1.1277844427343647E-2</v>
      </c>
      <c r="FK144">
        <f t="shared" si="236"/>
        <v>1.1114920840897886E-2</v>
      </c>
      <c r="FL144">
        <f t="shared" si="237"/>
        <v>1.0945248256403868E-2</v>
      </c>
      <c r="FM144">
        <f t="shared" si="238"/>
        <v>1.0753080937832912E-2</v>
      </c>
      <c r="FN144">
        <f t="shared" si="239"/>
        <v>1.0549281998481871E-2</v>
      </c>
      <c r="FO144">
        <f t="shared" si="240"/>
        <v>1.0258659048280565E-2</v>
      </c>
      <c r="FP144">
        <f t="shared" si="241"/>
        <v>9.8446097514955366E-3</v>
      </c>
      <c r="FQ144">
        <f t="shared" si="242"/>
        <v>9.3422427657819298E-3</v>
      </c>
      <c r="FR144">
        <f t="shared" si="243"/>
        <v>8.8100888922782849E-3</v>
      </c>
      <c r="FS144">
        <f t="shared" si="244"/>
        <v>8.3261025253930209E-3</v>
      </c>
      <c r="FT144">
        <f t="shared" si="245"/>
        <v>7.8093534710645916E-3</v>
      </c>
      <c r="FU144">
        <f t="shared" si="246"/>
        <v>7.1931953735664619E-3</v>
      </c>
      <c r="FV144">
        <f t="shared" si="247"/>
        <v>6.4751984780362258E-3</v>
      </c>
      <c r="FW144">
        <f t="shared" si="248"/>
        <v>5.8578962866908738E-3</v>
      </c>
      <c r="FX144">
        <f t="shared" si="249"/>
        <v>5.4785222786794671E-3</v>
      </c>
      <c r="FY144">
        <f t="shared" si="250"/>
        <v>4.9824564765032081E-3</v>
      </c>
      <c r="FZ144">
        <f t="shared" si="251"/>
        <v>4.2952489954422657E-3</v>
      </c>
      <c r="GA144">
        <f t="shared" si="252"/>
        <v>3.4168998354966399E-3</v>
      </c>
      <c r="GB144">
        <f t="shared" si="253"/>
        <v>3.1443714806618736E-3</v>
      </c>
      <c r="GC144">
        <f t="shared" si="254"/>
        <v>2.5294672637942851E-3</v>
      </c>
      <c r="GD144">
        <f t="shared" si="255"/>
        <v>1.7576141727942045E-3</v>
      </c>
      <c r="GE144">
        <f t="shared" si="256"/>
        <v>4.2404798361953466E-3</v>
      </c>
    </row>
    <row r="145" spans="1:187">
      <c r="A145" s="15">
        <v>2093</v>
      </c>
      <c r="B145" s="18">
        <v>4454.0110000000004</v>
      </c>
      <c r="C145" s="18">
        <v>4466.5630000000001</v>
      </c>
      <c r="D145" s="18">
        <v>4473.3559999999998</v>
      </c>
      <c r="E145" s="18">
        <v>4463.5020000000004</v>
      </c>
      <c r="F145" s="18">
        <v>4464.1850000000004</v>
      </c>
      <c r="G145" s="18">
        <v>4461.9129999999996</v>
      </c>
      <c r="H145" s="18">
        <v>4457.5910000000003</v>
      </c>
      <c r="I145" s="18">
        <v>4452.1239999999998</v>
      </c>
      <c r="J145" s="18">
        <v>4445.9229999999998</v>
      </c>
      <c r="K145" s="18">
        <v>4439.3980000000001</v>
      </c>
      <c r="L145" s="18">
        <v>4435.9279999999999</v>
      </c>
      <c r="M145" s="18">
        <v>4437.4059999999999</v>
      </c>
      <c r="N145" s="18">
        <v>4443.2539999999999</v>
      </c>
      <c r="O145" s="18">
        <v>4450.3819999999996</v>
      </c>
      <c r="P145" s="18">
        <v>4458.6670000000004</v>
      </c>
      <c r="Q145" s="18">
        <v>4474.1540000000005</v>
      </c>
      <c r="R145" s="18">
        <v>4499.3090000000002</v>
      </c>
      <c r="S145" s="18">
        <v>4531.4570000000003</v>
      </c>
      <c r="T145" s="18">
        <v>4564.6909999999998</v>
      </c>
      <c r="U145" s="18">
        <v>4599.2659999999996</v>
      </c>
      <c r="V145" s="18">
        <v>4636.3630000000003</v>
      </c>
      <c r="W145" s="18">
        <v>4675.674</v>
      </c>
      <c r="X145" s="18">
        <v>4716.12</v>
      </c>
      <c r="Y145" s="18">
        <v>4756.759</v>
      </c>
      <c r="Z145" s="18">
        <v>4797.5770000000002</v>
      </c>
      <c r="AA145" s="18">
        <v>4834.9440000000004</v>
      </c>
      <c r="AB145" s="18">
        <v>4866.884</v>
      </c>
      <c r="AC145" s="18">
        <v>4894.4340000000002</v>
      </c>
      <c r="AD145" s="18">
        <v>4920.7510000000002</v>
      </c>
      <c r="AE145" s="18">
        <v>4945.38</v>
      </c>
      <c r="AF145" s="18">
        <v>4965.9679999999998</v>
      </c>
      <c r="AG145" s="18">
        <v>4981.7150000000001</v>
      </c>
      <c r="AH145" s="18">
        <v>4993.3990000000003</v>
      </c>
      <c r="AI145" s="18">
        <v>5003.0379999999996</v>
      </c>
      <c r="AJ145" s="18">
        <v>5010.7539999999999</v>
      </c>
      <c r="AK145" s="18">
        <v>5014.9269999999997</v>
      </c>
      <c r="AL145" s="18">
        <v>5015.1229999999996</v>
      </c>
      <c r="AM145" s="18">
        <v>5012.3599999999997</v>
      </c>
      <c r="AN145" s="18">
        <v>5008.2529999999997</v>
      </c>
      <c r="AO145" s="18">
        <v>5002.6760000000004</v>
      </c>
      <c r="AP145" s="18">
        <v>4997.1409999999996</v>
      </c>
      <c r="AQ145" s="18">
        <v>4992.6279999999997</v>
      </c>
      <c r="AR145" s="18">
        <v>4988.7579999999998</v>
      </c>
      <c r="AS145" s="18">
        <v>4983.9610000000002</v>
      </c>
      <c r="AT145" s="18">
        <v>4978.3010000000004</v>
      </c>
      <c r="AU145" s="18">
        <v>4974.0749999999998</v>
      </c>
      <c r="AV145" s="18">
        <v>4972.1880000000001</v>
      </c>
      <c r="AW145" s="18">
        <v>4971.6909999999998</v>
      </c>
      <c r="AX145" s="18">
        <v>4970.4709999999995</v>
      </c>
      <c r="AY145" s="18">
        <v>4968.6419999999998</v>
      </c>
      <c r="AZ145" s="18">
        <v>4966.6220000000003</v>
      </c>
      <c r="BA145" s="18">
        <v>4964.3019999999997</v>
      </c>
      <c r="BB145" s="18">
        <v>4961.3270000000002</v>
      </c>
      <c r="BC145" s="18">
        <v>4957.3280000000004</v>
      </c>
      <c r="BD145" s="18">
        <v>4952.2359999999999</v>
      </c>
      <c r="BE145" s="18">
        <v>4945.1469999999999</v>
      </c>
      <c r="BF145" s="18">
        <v>4935.5259999999998</v>
      </c>
      <c r="BG145" s="18">
        <v>4923.5330000000004</v>
      </c>
      <c r="BH145" s="18">
        <v>4909.4229999999998</v>
      </c>
      <c r="BI145" s="18">
        <v>4892.6090000000004</v>
      </c>
      <c r="BJ145" s="18">
        <v>4874.473</v>
      </c>
      <c r="BK145" s="18">
        <v>4855.5540000000001</v>
      </c>
      <c r="BL145" s="18">
        <v>4834.75</v>
      </c>
      <c r="BM145" s="18">
        <v>4810.5469999999996</v>
      </c>
      <c r="BN145" s="18">
        <v>4783.3919999999998</v>
      </c>
      <c r="BO145" s="18">
        <v>4750.3310000000001</v>
      </c>
      <c r="BP145" s="18">
        <v>4709.7820000000002</v>
      </c>
      <c r="BQ145" s="18">
        <v>4663.0050000000001</v>
      </c>
      <c r="BR145" s="18">
        <v>4613.902</v>
      </c>
      <c r="BS145" s="18">
        <v>4562.9709999999995</v>
      </c>
      <c r="BT145" s="18">
        <v>4505.0529999999999</v>
      </c>
      <c r="BU145" s="18">
        <v>4438.3829999999998</v>
      </c>
      <c r="BV145" s="18">
        <v>4365.915</v>
      </c>
      <c r="BW145" s="18">
        <v>4291.1000000000004</v>
      </c>
      <c r="BX145" s="18">
        <v>4211.7349999999997</v>
      </c>
      <c r="BY145" s="18">
        <v>4139.5730000000003</v>
      </c>
      <c r="BZ145" s="18">
        <v>4080.3330000000001</v>
      </c>
      <c r="CA145" s="18">
        <v>4028.1</v>
      </c>
      <c r="CB145" s="18">
        <v>3968.623</v>
      </c>
      <c r="CC145" s="18">
        <v>3901.607</v>
      </c>
      <c r="CD145" s="18">
        <v>3834.9169999999999</v>
      </c>
      <c r="CE145" s="18">
        <v>3770.0140000000001</v>
      </c>
      <c r="CF145" s="18">
        <v>3701.5569999999998</v>
      </c>
      <c r="CG145" s="18">
        <v>3625.172</v>
      </c>
      <c r="CH145" s="18">
        <v>3544.6439999999998</v>
      </c>
      <c r="CI145" s="18">
        <v>3433.471</v>
      </c>
      <c r="CJ145" s="18">
        <v>3278.9349999999999</v>
      </c>
      <c r="CK145" s="18">
        <v>3093.5590000000002</v>
      </c>
      <c r="CL145" s="18">
        <v>2895.37</v>
      </c>
      <c r="CM145" s="18">
        <v>2726.8719999999998</v>
      </c>
      <c r="CN145" s="18">
        <v>2544.8539999999998</v>
      </c>
      <c r="CO145" s="18">
        <v>2312.7260000000001</v>
      </c>
      <c r="CP145" s="18">
        <v>2029.9280000000001</v>
      </c>
      <c r="CQ145" s="18">
        <v>1809.069</v>
      </c>
      <c r="CR145" s="18">
        <v>1683.807</v>
      </c>
      <c r="CS145" s="18">
        <v>1515.72</v>
      </c>
      <c r="CT145" s="18">
        <v>1287.6279999999999</v>
      </c>
      <c r="CU145" s="18">
        <v>999.53099999999995</v>
      </c>
      <c r="CV145" s="18">
        <v>880.774</v>
      </c>
      <c r="CW145" s="18">
        <v>617.23199999999997</v>
      </c>
      <c r="CX145" s="18">
        <v>1512.557</v>
      </c>
      <c r="CY145" s="3">
        <f t="shared" ref="CY145:CY152" si="257">SUM(B145:CX145)</f>
        <v>427219.55399999995</v>
      </c>
      <c r="CZ145" s="21">
        <f t="shared" si="173"/>
        <v>346910.43099999987</v>
      </c>
      <c r="DA145">
        <f t="shared" si="174"/>
        <v>1.3158125533561721E-2</v>
      </c>
      <c r="DB145">
        <f t="shared" si="175"/>
        <v>1.3257791029062488E-2</v>
      </c>
      <c r="DC145">
        <f t="shared" si="176"/>
        <v>1.3364726412622634E-2</v>
      </c>
      <c r="DD145">
        <f t="shared" si="177"/>
        <v>1.3478043847000963E-2</v>
      </c>
      <c r="DE145">
        <f t="shared" si="178"/>
        <v>1.3594633019264854E-2</v>
      </c>
      <c r="DF145">
        <f t="shared" si="179"/>
        <v>1.3711778531098714E-2</v>
      </c>
      <c r="DG145">
        <f t="shared" si="180"/>
        <v>1.3829440026264307E-2</v>
      </c>
      <c r="DH145">
        <f t="shared" si="181"/>
        <v>1.3937153708704719E-2</v>
      </c>
      <c r="DI145">
        <f t="shared" si="182"/>
        <v>1.4029223583651775E-2</v>
      </c>
      <c r="DJ145">
        <f t="shared" si="183"/>
        <v>1.4108638895323393E-2</v>
      </c>
      <c r="DK145">
        <f t="shared" si="184"/>
        <v>1.4184499975441793E-2</v>
      </c>
      <c r="DL145">
        <f t="shared" si="185"/>
        <v>1.4255495246264308E-2</v>
      </c>
      <c r="DM145">
        <f t="shared" si="186"/>
        <v>1.4314841977178834E-2</v>
      </c>
      <c r="DN145">
        <f t="shared" si="187"/>
        <v>1.4360234097429033E-2</v>
      </c>
      <c r="DO145">
        <f t="shared" si="188"/>
        <v>1.4393914260825447E-2</v>
      </c>
      <c r="DP145">
        <f t="shared" si="189"/>
        <v>1.4421699530850951E-2</v>
      </c>
      <c r="DQ145">
        <f t="shared" si="190"/>
        <v>1.4443941583295896E-2</v>
      </c>
      <c r="DR145">
        <f t="shared" si="191"/>
        <v>1.4455970624878679E-2</v>
      </c>
      <c r="DS145">
        <f t="shared" si="192"/>
        <v>1.4456535612213982E-2</v>
      </c>
      <c r="DT145">
        <f t="shared" si="193"/>
        <v>1.4448571020339258E-2</v>
      </c>
      <c r="DU145">
        <f t="shared" si="194"/>
        <v>1.4436732229593874E-2</v>
      </c>
      <c r="DV145">
        <f t="shared" si="195"/>
        <v>1.4420656033833709E-2</v>
      </c>
      <c r="DW145">
        <f t="shared" si="196"/>
        <v>1.4404700906788246E-2</v>
      </c>
      <c r="DX145">
        <f t="shared" si="197"/>
        <v>1.4391691785134018E-2</v>
      </c>
      <c r="DY145">
        <f t="shared" si="198"/>
        <v>1.4380536167850202E-2</v>
      </c>
      <c r="DZ145">
        <f t="shared" si="199"/>
        <v>1.4366708391077471E-2</v>
      </c>
      <c r="EA145">
        <f t="shared" si="200"/>
        <v>1.4350392940476334E-2</v>
      </c>
      <c r="EB145">
        <f t="shared" si="201"/>
        <v>1.4338211121705942E-2</v>
      </c>
      <c r="EC145">
        <f t="shared" si="202"/>
        <v>1.4332771677309415E-2</v>
      </c>
      <c r="ED145">
        <f t="shared" si="203"/>
        <v>1.4331339030852035E-2</v>
      </c>
      <c r="EE145">
        <f t="shared" si="204"/>
        <v>1.4327822272948609E-2</v>
      </c>
      <c r="EF145">
        <f t="shared" si="205"/>
        <v>1.4322550018681917E-2</v>
      </c>
      <c r="EG145">
        <f t="shared" si="206"/>
        <v>1.4316727190022149E-2</v>
      </c>
      <c r="EH145">
        <f t="shared" si="207"/>
        <v>1.4310039584828746E-2</v>
      </c>
      <c r="EI145">
        <f t="shared" si="208"/>
        <v>1.4301463884203593E-2</v>
      </c>
      <c r="EJ145">
        <f t="shared" si="209"/>
        <v>1.4289936413010315E-2</v>
      </c>
      <c r="EK145">
        <f t="shared" si="210"/>
        <v>1.4275258272646181E-2</v>
      </c>
      <c r="EL145">
        <f t="shared" si="211"/>
        <v>1.4254823603156521E-2</v>
      </c>
      <c r="EM145">
        <f t="shared" si="212"/>
        <v>1.4227090219723033E-2</v>
      </c>
      <c r="EN145">
        <f t="shared" si="213"/>
        <v>1.4192519336496982E-2</v>
      </c>
      <c r="EO145">
        <f t="shared" si="214"/>
        <v>1.4151846013531953E-2</v>
      </c>
      <c r="EP145">
        <f t="shared" si="215"/>
        <v>1.4103378171410483E-2</v>
      </c>
      <c r="EQ145">
        <f t="shared" si="216"/>
        <v>1.405109954736415E-2</v>
      </c>
      <c r="ER145">
        <f t="shared" si="217"/>
        <v>1.3996563856565045E-2</v>
      </c>
      <c r="ES145">
        <f t="shared" si="218"/>
        <v>1.3936594486546303E-2</v>
      </c>
      <c r="ET145">
        <f t="shared" si="219"/>
        <v>1.3866827198401542E-2</v>
      </c>
      <c r="EU145">
        <f t="shared" si="220"/>
        <v>1.3788550509165871E-2</v>
      </c>
      <c r="EV145">
        <f t="shared" si="221"/>
        <v>1.3693249252571486E-2</v>
      </c>
      <c r="EW145">
        <f t="shared" si="222"/>
        <v>1.3576363173697715E-2</v>
      </c>
      <c r="EX145">
        <f t="shared" si="223"/>
        <v>1.3441524333985801E-2</v>
      </c>
      <c r="EY145">
        <f t="shared" si="224"/>
        <v>1.3299980593549815E-2</v>
      </c>
      <c r="EZ145">
        <f t="shared" si="225"/>
        <v>1.3153167481435579E-2</v>
      </c>
      <c r="FA145">
        <f t="shared" si="226"/>
        <v>1.2986213723853121E-2</v>
      </c>
      <c r="FB145">
        <f t="shared" si="227"/>
        <v>1.2794031552196255E-2</v>
      </c>
      <c r="FC145">
        <f t="shared" si="228"/>
        <v>1.258513613273278E-2</v>
      </c>
      <c r="FD145">
        <f t="shared" si="229"/>
        <v>1.2369475278187879E-2</v>
      </c>
      <c r="FE145">
        <f t="shared" si="230"/>
        <v>1.2140698646216266E-2</v>
      </c>
      <c r="FF145">
        <f t="shared" si="231"/>
        <v>1.1932685298817094E-2</v>
      </c>
      <c r="FG145">
        <f t="shared" si="232"/>
        <v>1.1761920759309777E-2</v>
      </c>
      <c r="FH145">
        <f t="shared" si="233"/>
        <v>1.1611354517039591E-2</v>
      </c>
      <c r="FI145">
        <f t="shared" si="234"/>
        <v>1.1439906804070707E-2</v>
      </c>
      <c r="FJ145">
        <f t="shared" si="235"/>
        <v>1.1246727256811719E-2</v>
      </c>
      <c r="FK145">
        <f t="shared" si="236"/>
        <v>1.1054487433385943E-2</v>
      </c>
      <c r="FL145">
        <f t="shared" si="237"/>
        <v>1.0867398795512153E-2</v>
      </c>
      <c r="FM145">
        <f t="shared" si="238"/>
        <v>1.0670065438303299E-2</v>
      </c>
      <c r="FN145">
        <f t="shared" si="239"/>
        <v>1.0449878919899071E-2</v>
      </c>
      <c r="FO145">
        <f t="shared" si="240"/>
        <v>1.0217749837565423E-2</v>
      </c>
      <c r="FP145">
        <f t="shared" si="241"/>
        <v>9.8972838323215517E-3</v>
      </c>
      <c r="FQ145">
        <f t="shared" si="242"/>
        <v>9.4518201443184666E-3</v>
      </c>
      <c r="FR145">
        <f t="shared" si="243"/>
        <v>8.9174574286582965E-3</v>
      </c>
      <c r="FS145">
        <f t="shared" si="244"/>
        <v>8.3461601072468208E-3</v>
      </c>
      <c r="FT145">
        <f t="shared" si="245"/>
        <v>7.8604497193686309E-3</v>
      </c>
      <c r="FU145">
        <f t="shared" si="246"/>
        <v>7.3357667357082171E-3</v>
      </c>
      <c r="FV145">
        <f t="shared" si="247"/>
        <v>6.6666372450472702E-3</v>
      </c>
      <c r="FW145">
        <f t="shared" si="248"/>
        <v>5.8514469978563459E-3</v>
      </c>
      <c r="FX145">
        <f t="shared" si="249"/>
        <v>5.2148013963869561E-3</v>
      </c>
      <c r="FY145">
        <f t="shared" si="250"/>
        <v>4.85372260253541E-3</v>
      </c>
      <c r="FZ145">
        <f t="shared" si="251"/>
        <v>4.3691969585082915E-3</v>
      </c>
      <c r="GA145">
        <f t="shared" si="252"/>
        <v>3.7117015948131015E-3</v>
      </c>
      <c r="GB145">
        <f t="shared" si="253"/>
        <v>2.8812365114498396E-3</v>
      </c>
      <c r="GC145">
        <f t="shared" si="254"/>
        <v>2.5389089554358206E-3</v>
      </c>
      <c r="GD145">
        <f t="shared" si="255"/>
        <v>1.7792258313501107E-3</v>
      </c>
      <c r="GE145">
        <f t="shared" si="256"/>
        <v>4.360079331255394E-3</v>
      </c>
    </row>
    <row r="146" spans="1:187">
      <c r="A146" s="15">
        <v>2094</v>
      </c>
      <c r="B146" s="18">
        <v>4459.4889999999996</v>
      </c>
      <c r="C146" s="18">
        <v>4472.2830000000004</v>
      </c>
      <c r="D146" s="18">
        <v>4479.3490000000002</v>
      </c>
      <c r="E146" s="18">
        <v>4481.5950000000003</v>
      </c>
      <c r="F146" s="18">
        <v>4472.723</v>
      </c>
      <c r="G146" s="18">
        <v>4469.8500000000004</v>
      </c>
      <c r="H146" s="18">
        <v>4464.8760000000002</v>
      </c>
      <c r="I146" s="18">
        <v>4458.6980000000003</v>
      </c>
      <c r="J146" s="18">
        <v>4452.2129999999997</v>
      </c>
      <c r="K146" s="18">
        <v>4445.6580000000004</v>
      </c>
      <c r="L146" s="18">
        <v>4439.2719999999999</v>
      </c>
      <c r="M146" s="18">
        <v>4437.2470000000003</v>
      </c>
      <c r="N146" s="18">
        <v>4441.7969999999996</v>
      </c>
      <c r="O146" s="18">
        <v>4451.8419999999996</v>
      </c>
      <c r="P146" s="18">
        <v>4463.3090000000002</v>
      </c>
      <c r="Q146" s="18">
        <v>4476.0789999999997</v>
      </c>
      <c r="R146" s="18">
        <v>4496.1260000000002</v>
      </c>
      <c r="S146" s="18">
        <v>4525.7179999999998</v>
      </c>
      <c r="T146" s="18">
        <v>4562.0450000000001</v>
      </c>
      <c r="U146" s="18">
        <v>4599.3739999999998</v>
      </c>
      <c r="V146" s="18">
        <v>4638.0600000000004</v>
      </c>
      <c r="W146" s="18">
        <v>4677.7489999999998</v>
      </c>
      <c r="X146" s="18">
        <v>4717.4250000000002</v>
      </c>
      <c r="Y146" s="18">
        <v>4756.6660000000002</v>
      </c>
      <c r="Z146" s="18">
        <v>4795.9690000000001</v>
      </c>
      <c r="AA146" s="18">
        <v>4835.1210000000001</v>
      </c>
      <c r="AB146" s="18">
        <v>4870.527</v>
      </c>
      <c r="AC146" s="18">
        <v>4900.4030000000002</v>
      </c>
      <c r="AD146" s="18">
        <v>4925.777</v>
      </c>
      <c r="AE146" s="18">
        <v>4949.6229999999996</v>
      </c>
      <c r="AF146" s="18">
        <v>4971.5330000000004</v>
      </c>
      <c r="AG146" s="18">
        <v>4989.5879999999997</v>
      </c>
      <c r="AH146" s="18">
        <v>5003.192</v>
      </c>
      <c r="AI146" s="18">
        <v>5013.0020000000004</v>
      </c>
      <c r="AJ146" s="18">
        <v>5020.7030000000004</v>
      </c>
      <c r="AK146" s="18">
        <v>5026.4709999999995</v>
      </c>
      <c r="AL146" s="18">
        <v>5028.8509999999997</v>
      </c>
      <c r="AM146" s="18">
        <v>5027.4530000000004</v>
      </c>
      <c r="AN146" s="18">
        <v>5023.25</v>
      </c>
      <c r="AO146" s="18">
        <v>5017.7560000000003</v>
      </c>
      <c r="AP146" s="18">
        <v>5010.8519999999999</v>
      </c>
      <c r="AQ146" s="18">
        <v>5004.0640000000003</v>
      </c>
      <c r="AR146" s="18">
        <v>4998.3639999999996</v>
      </c>
      <c r="AS146" s="18">
        <v>4993.3620000000001</v>
      </c>
      <c r="AT146" s="18">
        <v>4987.473</v>
      </c>
      <c r="AU146" s="18">
        <v>4980.7610000000004</v>
      </c>
      <c r="AV146" s="18">
        <v>4975.4870000000001</v>
      </c>
      <c r="AW146" s="18">
        <v>4972.5370000000003</v>
      </c>
      <c r="AX146" s="18">
        <v>4970.9660000000003</v>
      </c>
      <c r="AY146" s="18">
        <v>4968.6850000000004</v>
      </c>
      <c r="AZ146" s="18">
        <v>4965.808</v>
      </c>
      <c r="BA146" s="18">
        <v>4962.692</v>
      </c>
      <c r="BB146" s="18">
        <v>4959.2079999999996</v>
      </c>
      <c r="BC146" s="18">
        <v>4955.018</v>
      </c>
      <c r="BD146" s="18">
        <v>4949.799</v>
      </c>
      <c r="BE146" s="18">
        <v>4943.4750000000004</v>
      </c>
      <c r="BF146" s="18">
        <v>4935.1549999999997</v>
      </c>
      <c r="BG146" s="18">
        <v>4924.3130000000001</v>
      </c>
      <c r="BH146" s="18">
        <v>4911.1019999999999</v>
      </c>
      <c r="BI146" s="18">
        <v>4895.7439999999997</v>
      </c>
      <c r="BJ146" s="18">
        <v>4877.6450000000004</v>
      </c>
      <c r="BK146" s="18">
        <v>4858.2439999999997</v>
      </c>
      <c r="BL146" s="18">
        <v>4838.098</v>
      </c>
      <c r="BM146" s="18">
        <v>4816.0749999999998</v>
      </c>
      <c r="BN146" s="18">
        <v>4790.576</v>
      </c>
      <c r="BO146" s="18">
        <v>4762.0320000000002</v>
      </c>
      <c r="BP146" s="18">
        <v>4727.5749999999998</v>
      </c>
      <c r="BQ146" s="18">
        <v>4685.6469999999999</v>
      </c>
      <c r="BR146" s="18">
        <v>4637.442</v>
      </c>
      <c r="BS146" s="18">
        <v>4586.7129999999997</v>
      </c>
      <c r="BT146" s="18">
        <v>4533.9080000000004</v>
      </c>
      <c r="BU146" s="18">
        <v>4474.0349999999999</v>
      </c>
      <c r="BV146" s="18">
        <v>4405.3710000000001</v>
      </c>
      <c r="BW146" s="18">
        <v>4330.7330000000002</v>
      </c>
      <c r="BX146" s="18">
        <v>4253.3419999999996</v>
      </c>
      <c r="BY146" s="18">
        <v>4170.9750000000004</v>
      </c>
      <c r="BZ146" s="18">
        <v>4095.31</v>
      </c>
      <c r="CA146" s="18">
        <v>4031.982</v>
      </c>
      <c r="CB146" s="18">
        <v>3975.0419999999999</v>
      </c>
      <c r="CC146" s="18">
        <v>3910.404</v>
      </c>
      <c r="CD146" s="18">
        <v>3837.8829999999998</v>
      </c>
      <c r="CE146" s="18">
        <v>3764.4070000000002</v>
      </c>
      <c r="CF146" s="18">
        <v>3691.029</v>
      </c>
      <c r="CG146" s="18">
        <v>3612.8780000000002</v>
      </c>
      <c r="CH146" s="18">
        <v>3526.6590000000001</v>
      </c>
      <c r="CI146" s="18">
        <v>3436.1860000000001</v>
      </c>
      <c r="CJ146" s="18">
        <v>3314.49</v>
      </c>
      <c r="CK146" s="18">
        <v>3148.8090000000002</v>
      </c>
      <c r="CL146" s="18">
        <v>2952.0320000000002</v>
      </c>
      <c r="CM146" s="18">
        <v>2739.9479999999999</v>
      </c>
      <c r="CN146" s="18">
        <v>2570.5569999999998</v>
      </c>
      <c r="CO146" s="18">
        <v>2385.4699999999998</v>
      </c>
      <c r="CP146" s="18">
        <v>2134.6010000000001</v>
      </c>
      <c r="CQ146" s="18">
        <v>1817.67</v>
      </c>
      <c r="CR146" s="18">
        <v>1589.7280000000001</v>
      </c>
      <c r="CS146" s="18">
        <v>1470.5740000000001</v>
      </c>
      <c r="CT146" s="18">
        <v>1306.184</v>
      </c>
      <c r="CU146" s="18">
        <v>1087.971</v>
      </c>
      <c r="CV146" s="18">
        <v>815.93399999999997</v>
      </c>
      <c r="CW146" s="18">
        <v>624.99</v>
      </c>
      <c r="CX146" s="18">
        <v>1555.0350000000001</v>
      </c>
      <c r="CY146" s="3">
        <f t="shared" si="257"/>
        <v>428147.71099999995</v>
      </c>
      <c r="CZ146" s="21">
        <f t="shared" si="173"/>
        <v>347759.58699999994</v>
      </c>
      <c r="DA146">
        <f t="shared" si="174"/>
        <v>1.3118387445059856E-2</v>
      </c>
      <c r="DB146">
        <f t="shared" si="175"/>
        <v>1.3225728842379839E-2</v>
      </c>
      <c r="DC146">
        <f t="shared" si="176"/>
        <v>1.33369723607361E-2</v>
      </c>
      <c r="DD146">
        <f t="shared" si="177"/>
        <v>1.3451100055510477E-2</v>
      </c>
      <c r="DE146">
        <f t="shared" si="178"/>
        <v>1.3565190368137862E-2</v>
      </c>
      <c r="DF146">
        <f t="shared" si="179"/>
        <v>1.3678029816615813E-2</v>
      </c>
      <c r="DG146">
        <f t="shared" si="180"/>
        <v>1.379104754917943E-2</v>
      </c>
      <c r="DH146">
        <f t="shared" si="181"/>
        <v>1.3903631073727957E-2</v>
      </c>
      <c r="DI146">
        <f t="shared" si="182"/>
        <v>1.4005442788842514E-2</v>
      </c>
      <c r="DJ146">
        <f t="shared" si="183"/>
        <v>1.4091352713735541E-2</v>
      </c>
      <c r="DK146">
        <f t="shared" si="184"/>
        <v>1.4164316913569376E-2</v>
      </c>
      <c r="DL146">
        <f t="shared" si="185"/>
        <v>1.4232887273356466E-2</v>
      </c>
      <c r="DM146">
        <f t="shared" si="186"/>
        <v>1.4295890568791138E-2</v>
      </c>
      <c r="DN146">
        <f t="shared" si="187"/>
        <v>1.4347808619867036E-2</v>
      </c>
      <c r="DO146">
        <f t="shared" si="188"/>
        <v>1.4386927598921956E-2</v>
      </c>
      <c r="DP146">
        <f t="shared" si="189"/>
        <v>1.4415136742154002E-2</v>
      </c>
      <c r="DQ146">
        <f t="shared" si="190"/>
        <v>1.4437281350923623E-2</v>
      </c>
      <c r="DR146">
        <f t="shared" si="191"/>
        <v>1.4453867521990129E-2</v>
      </c>
      <c r="DS146">
        <f t="shared" si="192"/>
        <v>1.44607113304399E-2</v>
      </c>
      <c r="DT146">
        <f t="shared" si="193"/>
        <v>1.4456691311863104E-2</v>
      </c>
      <c r="DU146">
        <f t="shared" si="194"/>
        <v>1.4444605376184786E-2</v>
      </c>
      <c r="DV146">
        <f t="shared" si="195"/>
        <v>1.4428807105754934E-2</v>
      </c>
      <c r="DW146">
        <f t="shared" si="196"/>
        <v>1.4408954310151054E-2</v>
      </c>
      <c r="DX146">
        <f t="shared" si="197"/>
        <v>1.438943507832036E-2</v>
      </c>
      <c r="DY146">
        <f t="shared" si="198"/>
        <v>1.437304444463813E-2</v>
      </c>
      <c r="DZ146">
        <f t="shared" si="199"/>
        <v>1.4358660944694533E-2</v>
      </c>
      <c r="EA146">
        <f t="shared" si="200"/>
        <v>1.4341726832106E-2</v>
      </c>
      <c r="EB146">
        <f t="shared" si="201"/>
        <v>1.4322426142057735E-2</v>
      </c>
      <c r="EC146">
        <f t="shared" si="202"/>
        <v>1.430726049257702E-2</v>
      </c>
      <c r="ED146">
        <f t="shared" si="203"/>
        <v>1.4298777620759024E-2</v>
      </c>
      <c r="EE146">
        <f t="shared" si="204"/>
        <v>1.4294260132072221E-2</v>
      </c>
      <c r="EF146">
        <f t="shared" si="205"/>
        <v>1.4287701003049562E-2</v>
      </c>
      <c r="EG146">
        <f t="shared" si="206"/>
        <v>1.4279428046364688E-2</v>
      </c>
      <c r="EH146">
        <f t="shared" si="207"/>
        <v>1.427046783328507E-2</v>
      </c>
      <c r="EI146">
        <f t="shared" si="208"/>
        <v>1.4260449417890527E-2</v>
      </c>
      <c r="EJ146">
        <f t="shared" si="209"/>
        <v>1.4248400864359207E-2</v>
      </c>
      <c r="EK146">
        <f t="shared" si="210"/>
        <v>1.4233393370115777E-2</v>
      </c>
      <c r="EL146">
        <f t="shared" si="211"/>
        <v>1.4215208393377811E-2</v>
      </c>
      <c r="EM146">
        <f t="shared" si="212"/>
        <v>1.4191283819301294E-2</v>
      </c>
      <c r="EN146">
        <f t="shared" si="213"/>
        <v>1.4160107108707836E-2</v>
      </c>
      <c r="EO146">
        <f t="shared" si="214"/>
        <v>1.4122118220712059E-2</v>
      </c>
      <c r="EP146">
        <f t="shared" si="215"/>
        <v>1.4077955527362645E-2</v>
      </c>
      <c r="EQ146">
        <f t="shared" si="216"/>
        <v>1.4025910952096919E-2</v>
      </c>
      <c r="ER146">
        <f t="shared" si="217"/>
        <v>1.3970122411032196E-2</v>
      </c>
      <c r="ES146">
        <f t="shared" si="218"/>
        <v>1.391219158538971E-2</v>
      </c>
      <c r="ET146">
        <f t="shared" si="219"/>
        <v>1.3848863352831163E-2</v>
      </c>
      <c r="EU146">
        <f t="shared" si="220"/>
        <v>1.3775539709276228E-2</v>
      </c>
      <c r="EV146">
        <f t="shared" si="221"/>
        <v>1.3693460016675258E-2</v>
      </c>
      <c r="EW146">
        <f t="shared" si="222"/>
        <v>1.3594377198291303E-2</v>
      </c>
      <c r="EX146">
        <f t="shared" si="223"/>
        <v>1.3473811147584554E-2</v>
      </c>
      <c r="EY146">
        <f t="shared" si="224"/>
        <v>1.3335195270978973E-2</v>
      </c>
      <c r="EZ146">
        <f t="shared" si="225"/>
        <v>1.3189321506756909E-2</v>
      </c>
      <c r="FA146">
        <f t="shared" si="226"/>
        <v>1.3037478101214795E-2</v>
      </c>
      <c r="FB146">
        <f t="shared" si="227"/>
        <v>1.2865310309906713E-2</v>
      </c>
      <c r="FC146">
        <f t="shared" si="228"/>
        <v>1.2667863560581008E-2</v>
      </c>
      <c r="FD146">
        <f t="shared" si="229"/>
        <v>1.245323827693642E-2</v>
      </c>
      <c r="FE146">
        <f t="shared" si="230"/>
        <v>1.2230696604778289E-2</v>
      </c>
      <c r="FF146">
        <f t="shared" si="231"/>
        <v>1.1993846196970555E-2</v>
      </c>
      <c r="FG146">
        <f t="shared" si="232"/>
        <v>1.1776267723713396E-2</v>
      </c>
      <c r="FH146">
        <f t="shared" si="233"/>
        <v>1.159416490795407E-2</v>
      </c>
      <c r="FI146">
        <f t="shared" si="234"/>
        <v>1.1430431104117917E-2</v>
      </c>
      <c r="FJ146">
        <f t="shared" si="235"/>
        <v>1.1244561318161447E-2</v>
      </c>
      <c r="FK146">
        <f t="shared" si="236"/>
        <v>1.1036023573377433E-2</v>
      </c>
      <c r="FL146">
        <f t="shared" si="237"/>
        <v>1.0824739678564205E-2</v>
      </c>
      <c r="FM146">
        <f t="shared" si="238"/>
        <v>1.0613737587628319E-2</v>
      </c>
      <c r="FN146">
        <f t="shared" si="239"/>
        <v>1.0389010497645894E-2</v>
      </c>
      <c r="FO146">
        <f t="shared" si="240"/>
        <v>1.0141083472128694E-2</v>
      </c>
      <c r="FP146">
        <f t="shared" si="241"/>
        <v>9.8809238578949684E-3</v>
      </c>
      <c r="FQ146">
        <f t="shared" si="242"/>
        <v>9.5309809532296234E-3</v>
      </c>
      <c r="FR146">
        <f t="shared" si="243"/>
        <v>9.0545569919830877E-3</v>
      </c>
      <c r="FS146">
        <f t="shared" si="244"/>
        <v>8.4887149351255721E-3</v>
      </c>
      <c r="FT146">
        <f t="shared" si="245"/>
        <v>7.8788568379568515E-3</v>
      </c>
      <c r="FU146">
        <f t="shared" si="246"/>
        <v>7.3917645870680204E-3</v>
      </c>
      <c r="FV146">
        <f t="shared" si="247"/>
        <v>6.8595377070079172E-3</v>
      </c>
      <c r="FW146">
        <f t="shared" si="248"/>
        <v>6.1381514120558249E-3</v>
      </c>
      <c r="FX146">
        <f t="shared" si="249"/>
        <v>5.2268005482764748E-3</v>
      </c>
      <c r="FY146">
        <f t="shared" si="250"/>
        <v>4.5713419828739337E-3</v>
      </c>
      <c r="FZ146">
        <f t="shared" si="251"/>
        <v>4.2287087257209107E-3</v>
      </c>
      <c r="GA146">
        <f t="shared" si="252"/>
        <v>3.7559970992259092E-3</v>
      </c>
      <c r="GB146">
        <f t="shared" si="253"/>
        <v>3.1285147575241404E-3</v>
      </c>
      <c r="GC146">
        <f t="shared" si="254"/>
        <v>2.346258825065835E-3</v>
      </c>
      <c r="GD146">
        <f t="shared" si="255"/>
        <v>1.7971898500098004E-3</v>
      </c>
      <c r="GE146">
        <f t="shared" si="256"/>
        <v>4.4715805347445396E-3</v>
      </c>
    </row>
    <row r="147" spans="1:187">
      <c r="A147" s="15">
        <v>2095</v>
      </c>
      <c r="B147" s="18">
        <v>4461.6790000000001</v>
      </c>
      <c r="C147" s="18">
        <v>4474.8029999999999</v>
      </c>
      <c r="D147" s="18">
        <v>4482.2430000000004</v>
      </c>
      <c r="E147" s="18">
        <v>4484.8850000000002</v>
      </c>
      <c r="F147" s="18">
        <v>4483.6170000000002</v>
      </c>
      <c r="G147" s="18">
        <v>4479.3270000000002</v>
      </c>
      <c r="H147" s="18">
        <v>4472.9040000000005</v>
      </c>
      <c r="I147" s="18">
        <v>4465.2340000000004</v>
      </c>
      <c r="J147" s="18">
        <v>4457.2060000000001</v>
      </c>
      <c r="K147" s="18">
        <v>4449.7079999999996</v>
      </c>
      <c r="L147" s="18">
        <v>4442.8050000000003</v>
      </c>
      <c r="M147" s="18">
        <v>4436.5600000000004</v>
      </c>
      <c r="N147" s="18">
        <v>4435.9790000000003</v>
      </c>
      <c r="O147" s="18">
        <v>4443.5950000000003</v>
      </c>
      <c r="P147" s="18">
        <v>4457.8249999999998</v>
      </c>
      <c r="Q147" s="18">
        <v>4473.6189999999997</v>
      </c>
      <c r="R147" s="18">
        <v>4490.8609999999999</v>
      </c>
      <c r="S147" s="18">
        <v>4515.45</v>
      </c>
      <c r="T147" s="18">
        <v>4549.4549999999999</v>
      </c>
      <c r="U147" s="18">
        <v>4589.9340000000002</v>
      </c>
      <c r="V147" s="18">
        <v>4631.3320000000003</v>
      </c>
      <c r="W147" s="18">
        <v>4674.1009999999997</v>
      </c>
      <c r="X147" s="18">
        <v>4716.3540000000003</v>
      </c>
      <c r="Y147" s="18">
        <v>4756.3710000000001</v>
      </c>
      <c r="Z147" s="18">
        <v>4794.3860000000004</v>
      </c>
      <c r="AA147" s="18">
        <v>4832.3339999999998</v>
      </c>
      <c r="AB147" s="18">
        <v>4869.799</v>
      </c>
      <c r="AC147" s="18">
        <v>4903.2250000000004</v>
      </c>
      <c r="AD147" s="18">
        <v>4931.0209999999997</v>
      </c>
      <c r="AE147" s="18">
        <v>4954.2089999999998</v>
      </c>
      <c r="AF147" s="18">
        <v>4975.5739999999996</v>
      </c>
      <c r="AG147" s="18">
        <v>4994.7529999999997</v>
      </c>
      <c r="AH147" s="18">
        <v>5010.2690000000002</v>
      </c>
      <c r="AI147" s="18">
        <v>5021.7240000000002</v>
      </c>
      <c r="AJ147" s="18">
        <v>5029.6549999999997</v>
      </c>
      <c r="AK147" s="18">
        <v>5035.4160000000002</v>
      </c>
      <c r="AL147" s="18">
        <v>5039.2359999999999</v>
      </c>
      <c r="AM147" s="18">
        <v>5039.8239999999996</v>
      </c>
      <c r="AN147" s="18">
        <v>5036.8370000000004</v>
      </c>
      <c r="AO147" s="18">
        <v>5031.1980000000003</v>
      </c>
      <c r="AP147" s="18">
        <v>5024.3220000000001</v>
      </c>
      <c r="AQ147" s="18">
        <v>5016.0969999999998</v>
      </c>
      <c r="AR147" s="18">
        <v>5008.0600000000004</v>
      </c>
      <c r="AS147" s="18">
        <v>5001.18</v>
      </c>
      <c r="AT147" s="18">
        <v>4995.049</v>
      </c>
      <c r="AU147" s="18">
        <v>4988.0749999999998</v>
      </c>
      <c r="AV147" s="18">
        <v>4980.3140000000003</v>
      </c>
      <c r="AW147" s="18">
        <v>4973.9949999999999</v>
      </c>
      <c r="AX147" s="18">
        <v>4969.9859999999999</v>
      </c>
      <c r="AY147" s="18">
        <v>4967.3440000000001</v>
      </c>
      <c r="AZ147" s="18">
        <v>4964.0050000000001</v>
      </c>
      <c r="BA147" s="18">
        <v>4960.0820000000003</v>
      </c>
      <c r="BB147" s="18">
        <v>4955.875</v>
      </c>
      <c r="BC147" s="18">
        <v>4951.2280000000001</v>
      </c>
      <c r="BD147" s="18">
        <v>4945.826</v>
      </c>
      <c r="BE147" s="18">
        <v>4939.3950000000004</v>
      </c>
      <c r="BF147" s="18">
        <v>4931.8440000000001</v>
      </c>
      <c r="BG147" s="18">
        <v>4922.299</v>
      </c>
      <c r="BH147" s="18">
        <v>4910.2439999999997</v>
      </c>
      <c r="BI147" s="18">
        <v>4895.8239999999996</v>
      </c>
      <c r="BJ147" s="18">
        <v>4879.2280000000001</v>
      </c>
      <c r="BK147" s="18">
        <v>4859.8559999999998</v>
      </c>
      <c r="BL147" s="18">
        <v>4839.201</v>
      </c>
      <c r="BM147" s="18">
        <v>4817.8429999999998</v>
      </c>
      <c r="BN147" s="18">
        <v>4794.6139999999996</v>
      </c>
      <c r="BO147" s="18">
        <v>4767.8360000000002</v>
      </c>
      <c r="BP147" s="18">
        <v>4737.9219999999996</v>
      </c>
      <c r="BQ147" s="18">
        <v>4702.09</v>
      </c>
      <c r="BR147" s="18">
        <v>4658.8090000000002</v>
      </c>
      <c r="BS147" s="18">
        <v>4609.2060000000001</v>
      </c>
      <c r="BT147" s="18">
        <v>4556.8810000000003</v>
      </c>
      <c r="BU147" s="18">
        <v>4502.2370000000001</v>
      </c>
      <c r="BV147" s="18">
        <v>4440.4459999999999</v>
      </c>
      <c r="BW147" s="18">
        <v>4369.8289999999997</v>
      </c>
      <c r="BX147" s="18">
        <v>4293.067</v>
      </c>
      <c r="BY147" s="18">
        <v>4213.1490000000003</v>
      </c>
      <c r="BZ147" s="18">
        <v>4127.8329999999996</v>
      </c>
      <c r="CA147" s="18">
        <v>4048.7139999999999</v>
      </c>
      <c r="CB147" s="18">
        <v>3981.3409999999999</v>
      </c>
      <c r="CC147" s="18">
        <v>3919.732</v>
      </c>
      <c r="CD147" s="18">
        <v>3849.9760000000001</v>
      </c>
      <c r="CE147" s="18">
        <v>3772.0010000000002</v>
      </c>
      <c r="CF147" s="18">
        <v>3691.788</v>
      </c>
      <c r="CG147" s="18">
        <v>3609.989</v>
      </c>
      <c r="CH147" s="18">
        <v>3522.2020000000002</v>
      </c>
      <c r="CI147" s="18">
        <v>3426.2130000000002</v>
      </c>
      <c r="CJ147" s="18">
        <v>3325.8609999999999</v>
      </c>
      <c r="CK147" s="18">
        <v>3193.7260000000001</v>
      </c>
      <c r="CL147" s="18">
        <v>3017.01</v>
      </c>
      <c r="CM147" s="18">
        <v>2808.9630000000002</v>
      </c>
      <c r="CN147" s="18">
        <v>2583.1260000000002</v>
      </c>
      <c r="CO147" s="18">
        <v>2412.9409999999998</v>
      </c>
      <c r="CP147" s="18">
        <v>2224.8980000000001</v>
      </c>
      <c r="CQ147" s="18">
        <v>1955.46</v>
      </c>
      <c r="CR147" s="18">
        <v>1604.626</v>
      </c>
      <c r="CS147" s="18">
        <v>1369.742</v>
      </c>
      <c r="CT147" s="18">
        <v>1256.759</v>
      </c>
      <c r="CU147" s="18">
        <v>1096.1579999999999</v>
      </c>
      <c r="CV147" s="18">
        <v>887.93799999999999</v>
      </c>
      <c r="CW147" s="18">
        <v>632.1</v>
      </c>
      <c r="CX147" s="18">
        <v>1594.002</v>
      </c>
      <c r="CY147" s="3">
        <f t="shared" si="257"/>
        <v>429081.66400000011</v>
      </c>
      <c r="CZ147" s="21">
        <f t="shared" si="173"/>
        <v>348673.364</v>
      </c>
      <c r="DA147">
        <f t="shared" si="174"/>
        <v>1.3047899466160541E-2</v>
      </c>
      <c r="DB147">
        <f t="shared" si="175"/>
        <v>1.3163993794490136E-2</v>
      </c>
      <c r="DC147">
        <f t="shared" si="176"/>
        <v>1.3282723827450153E-2</v>
      </c>
      <c r="DD147">
        <f t="shared" si="177"/>
        <v>1.3405385907252725E-2</v>
      </c>
      <c r="DE147">
        <f t="shared" si="178"/>
        <v>1.3526568091963573E-2</v>
      </c>
      <c r="DF147">
        <f t="shared" si="179"/>
        <v>1.3641337397943595E-2</v>
      </c>
      <c r="DG147">
        <f t="shared" si="180"/>
        <v>1.3750364940408813E-2</v>
      </c>
      <c r="DH147">
        <f t="shared" si="181"/>
        <v>1.3859200325953202E-2</v>
      </c>
      <c r="DI147">
        <f t="shared" si="182"/>
        <v>1.3966650460859407E-2</v>
      </c>
      <c r="DJ147">
        <f t="shared" si="183"/>
        <v>1.4062516688254973E-2</v>
      </c>
      <c r="DK147">
        <f t="shared" si="184"/>
        <v>1.4142235998273731E-2</v>
      </c>
      <c r="DL147">
        <f t="shared" si="185"/>
        <v>1.4208739500961708E-2</v>
      </c>
      <c r="DM147">
        <f t="shared" si="186"/>
        <v>1.4270014614594992E-2</v>
      </c>
      <c r="DN147">
        <f t="shared" si="187"/>
        <v>1.4325020250184639E-2</v>
      </c>
      <c r="DO147">
        <f t="shared" si="188"/>
        <v>1.4369520351431261E-2</v>
      </c>
      <c r="DP147">
        <f t="shared" si="189"/>
        <v>1.4402373448864881E-2</v>
      </c>
      <c r="DQ147">
        <f t="shared" si="190"/>
        <v>1.4425119665865844E-2</v>
      </c>
      <c r="DR147">
        <f t="shared" si="191"/>
        <v>1.4441642293043068E-2</v>
      </c>
      <c r="DS147">
        <f t="shared" si="192"/>
        <v>1.4452598105543847E-2</v>
      </c>
      <c r="DT147">
        <f t="shared" si="193"/>
        <v>1.4454284497625118E-2</v>
      </c>
      <c r="DU147">
        <f t="shared" si="194"/>
        <v>1.4445717740572808E-2</v>
      </c>
      <c r="DV147">
        <f t="shared" si="195"/>
        <v>1.4429545011072312E-2</v>
      </c>
      <c r="DW147">
        <f t="shared" si="196"/>
        <v>1.4409824548570909E-2</v>
      </c>
      <c r="DX147">
        <f t="shared" si="197"/>
        <v>1.4386235135529307E-2</v>
      </c>
      <c r="DY147">
        <f t="shared" si="198"/>
        <v>1.4363184909071519E-2</v>
      </c>
      <c r="DZ147">
        <f t="shared" si="199"/>
        <v>1.434345297451514E-2</v>
      </c>
      <c r="EA147">
        <f t="shared" si="200"/>
        <v>1.4325869182252763E-2</v>
      </c>
      <c r="EB147">
        <f t="shared" si="201"/>
        <v>1.430586765440448E-2</v>
      </c>
      <c r="EC147">
        <f t="shared" si="202"/>
        <v>1.4283608999739942E-2</v>
      </c>
      <c r="ED147">
        <f t="shared" si="203"/>
        <v>1.4265486020893755E-2</v>
      </c>
      <c r="EE147">
        <f t="shared" si="204"/>
        <v>1.4253988153795425E-2</v>
      </c>
      <c r="EF147">
        <f t="shared" si="205"/>
        <v>1.4246410861484676E-2</v>
      </c>
      <c r="EG147">
        <f t="shared" si="206"/>
        <v>1.4236834563594597E-2</v>
      </c>
      <c r="EH147">
        <f t="shared" si="207"/>
        <v>1.4225583345678222E-2</v>
      </c>
      <c r="EI147">
        <f t="shared" si="208"/>
        <v>1.4213517611858646E-2</v>
      </c>
      <c r="EJ147">
        <f t="shared" si="209"/>
        <v>1.4200189951991859E-2</v>
      </c>
      <c r="EK147">
        <f t="shared" si="210"/>
        <v>1.418469694174861E-2</v>
      </c>
      <c r="EL147">
        <f t="shared" si="211"/>
        <v>1.4166252745363137E-2</v>
      </c>
      <c r="EM147">
        <f t="shared" si="212"/>
        <v>1.4144596373584763E-2</v>
      </c>
      <c r="EN147">
        <f t="shared" si="213"/>
        <v>1.4117221182401532E-2</v>
      </c>
      <c r="EO147">
        <f t="shared" si="214"/>
        <v>1.4082647276721717E-2</v>
      </c>
      <c r="EP147">
        <f t="shared" si="215"/>
        <v>1.4041290518538146E-2</v>
      </c>
      <c r="EQ147">
        <f t="shared" si="216"/>
        <v>1.3993692962448373E-2</v>
      </c>
      <c r="ER147">
        <f t="shared" si="217"/>
        <v>1.39381338002062E-2</v>
      </c>
      <c r="ES147">
        <f t="shared" si="218"/>
        <v>1.3878894976330913E-2</v>
      </c>
      <c r="ET147">
        <f t="shared" si="219"/>
        <v>1.3817639938793832E-2</v>
      </c>
      <c r="EU147">
        <f t="shared" si="220"/>
        <v>1.3751018847542365E-2</v>
      </c>
      <c r="EV147">
        <f t="shared" si="221"/>
        <v>1.3674219175514653E-2</v>
      </c>
      <c r="EW147">
        <f t="shared" si="222"/>
        <v>1.3588425412386819E-2</v>
      </c>
      <c r="EX147">
        <f t="shared" si="223"/>
        <v>1.3485658743924014E-2</v>
      </c>
      <c r="EY147">
        <f t="shared" si="224"/>
        <v>1.3361528241084684E-2</v>
      </c>
      <c r="EZ147">
        <f t="shared" si="225"/>
        <v>1.3219266155357942E-2</v>
      </c>
      <c r="FA147">
        <f t="shared" si="226"/>
        <v>1.3069197336220957E-2</v>
      </c>
      <c r="FB147">
        <f t="shared" si="227"/>
        <v>1.2912477593212426E-2</v>
      </c>
      <c r="FC147">
        <f t="shared" si="228"/>
        <v>1.273526015597796E-2</v>
      </c>
      <c r="FD147">
        <f t="shared" si="229"/>
        <v>1.2532729629441955E-2</v>
      </c>
      <c r="FE147">
        <f t="shared" si="230"/>
        <v>1.2312575158451163E-2</v>
      </c>
      <c r="FF147">
        <f t="shared" si="231"/>
        <v>1.2083369236085382E-2</v>
      </c>
      <c r="FG147">
        <f t="shared" si="232"/>
        <v>1.1838681775531323E-2</v>
      </c>
      <c r="FH147">
        <f t="shared" si="233"/>
        <v>1.1611767396146727E-2</v>
      </c>
      <c r="FI147">
        <f t="shared" si="234"/>
        <v>1.1418540706195154E-2</v>
      </c>
      <c r="FJ147">
        <f t="shared" si="235"/>
        <v>1.1241845247462034E-2</v>
      </c>
      <c r="FK147">
        <f t="shared" si="236"/>
        <v>1.1041784080759322E-2</v>
      </c>
      <c r="FL147">
        <f t="shared" si="237"/>
        <v>1.081815070909747E-2</v>
      </c>
      <c r="FM147">
        <f t="shared" si="238"/>
        <v>1.0588098722677308E-2</v>
      </c>
      <c r="FN147">
        <f t="shared" si="239"/>
        <v>1.0353498066459703E-2</v>
      </c>
      <c r="FO147">
        <f t="shared" si="240"/>
        <v>1.0101723743945063E-2</v>
      </c>
      <c r="FP147">
        <f t="shared" si="241"/>
        <v>9.8264259727049302E-3</v>
      </c>
      <c r="FQ147">
        <f t="shared" si="242"/>
        <v>9.5386150575012089E-3</v>
      </c>
      <c r="FR147">
        <f t="shared" si="243"/>
        <v>9.1596500614827582E-3</v>
      </c>
      <c r="FS147">
        <f t="shared" si="244"/>
        <v>8.6528261447582216E-3</v>
      </c>
      <c r="FT147">
        <f t="shared" si="245"/>
        <v>8.0561444894310889E-3</v>
      </c>
      <c r="FU147">
        <f t="shared" si="246"/>
        <v>7.4084408696042528E-3</v>
      </c>
      <c r="FV147">
        <f t="shared" si="247"/>
        <v>6.9203479506395552E-3</v>
      </c>
      <c r="FW147">
        <f t="shared" si="248"/>
        <v>6.381038042240589E-3</v>
      </c>
      <c r="FX147">
        <f t="shared" si="249"/>
        <v>5.6082861551764538E-3</v>
      </c>
      <c r="FY147">
        <f t="shared" si="250"/>
        <v>4.6020894214334074E-3</v>
      </c>
      <c r="FZ147">
        <f t="shared" si="251"/>
        <v>3.9284388812676841E-3</v>
      </c>
      <c r="GA147">
        <f t="shared" si="252"/>
        <v>3.6044020844678E-3</v>
      </c>
      <c r="GB147">
        <f t="shared" si="253"/>
        <v>3.1437962092223364E-3</v>
      </c>
      <c r="GC147">
        <f t="shared" si="254"/>
        <v>2.5466183875175507E-3</v>
      </c>
      <c r="GD147">
        <f t="shared" si="255"/>
        <v>1.8128714873671854E-3</v>
      </c>
      <c r="GE147">
        <f t="shared" si="256"/>
        <v>4.5716196434207688E-3</v>
      </c>
    </row>
    <row r="148" spans="1:187">
      <c r="A148" s="15">
        <v>2096</v>
      </c>
      <c r="B148" s="18">
        <v>4470.4579999999996</v>
      </c>
      <c r="C148" s="18">
        <v>4475.6139999999996</v>
      </c>
      <c r="D148" s="18">
        <v>4485.2960000000003</v>
      </c>
      <c r="E148" s="18">
        <v>4490.1019999999999</v>
      </c>
      <c r="F148" s="18">
        <v>4490.92</v>
      </c>
      <c r="G148" s="18">
        <v>4488.6369999999997</v>
      </c>
      <c r="H148" s="18">
        <v>4483.9690000000001</v>
      </c>
      <c r="I148" s="18">
        <v>4477.6310000000003</v>
      </c>
      <c r="J148" s="18">
        <v>4471.3670000000002</v>
      </c>
      <c r="K148" s="18">
        <v>4466.4040000000005</v>
      </c>
      <c r="L148" s="18">
        <v>4463.1170000000002</v>
      </c>
      <c r="M148" s="18">
        <v>4460.5550000000003</v>
      </c>
      <c r="N148" s="18">
        <v>4458.7939999999999</v>
      </c>
      <c r="O148" s="18">
        <v>4462.78</v>
      </c>
      <c r="P148" s="18">
        <v>4474.8500000000004</v>
      </c>
      <c r="Q148" s="18">
        <v>4493.2879999999996</v>
      </c>
      <c r="R148" s="18">
        <v>4513.2070000000003</v>
      </c>
      <c r="S148" s="18">
        <v>4534.5929999999998</v>
      </c>
      <c r="T148" s="18">
        <v>4561.8149999999996</v>
      </c>
      <c r="U148" s="18">
        <v>4596.241</v>
      </c>
      <c r="V148" s="18">
        <v>4635.58</v>
      </c>
      <c r="W148" s="18">
        <v>4675.7060000000001</v>
      </c>
      <c r="X148" s="18">
        <v>4716.8760000000002</v>
      </c>
      <c r="Y148" s="18">
        <v>4757.2309999999998</v>
      </c>
      <c r="Z148" s="18">
        <v>4795.2430000000004</v>
      </c>
      <c r="AA148" s="18">
        <v>4831.1390000000001</v>
      </c>
      <c r="AB148" s="18">
        <v>4866.67</v>
      </c>
      <c r="AC148" s="18">
        <v>4901.4679999999998</v>
      </c>
      <c r="AD148" s="18">
        <v>4932.4059999999999</v>
      </c>
      <c r="AE148" s="18">
        <v>4958.0860000000002</v>
      </c>
      <c r="AF148" s="18">
        <v>4979.4179999999997</v>
      </c>
      <c r="AG148" s="18">
        <v>4998.8590000000004</v>
      </c>
      <c r="AH148" s="18">
        <v>5016.1040000000003</v>
      </c>
      <c r="AI148" s="18">
        <v>5029.8360000000002</v>
      </c>
      <c r="AJ148" s="18">
        <v>5039.7020000000002</v>
      </c>
      <c r="AK148" s="18">
        <v>5046.1959999999999</v>
      </c>
      <c r="AL148" s="18">
        <v>5050.57</v>
      </c>
      <c r="AM148" s="18">
        <v>5053.0630000000001</v>
      </c>
      <c r="AN148" s="18">
        <v>5052.3980000000001</v>
      </c>
      <c r="AO148" s="18">
        <v>5048.2259999999997</v>
      </c>
      <c r="AP148" s="18">
        <v>5041.4579999999996</v>
      </c>
      <c r="AQ148" s="18">
        <v>5033.4970000000003</v>
      </c>
      <c r="AR148" s="18">
        <v>5024.2240000000002</v>
      </c>
      <c r="AS148" s="18">
        <v>5015.1530000000002</v>
      </c>
      <c r="AT148" s="18">
        <v>5007.232</v>
      </c>
      <c r="AU148" s="18">
        <v>5000.058</v>
      </c>
      <c r="AV148" s="18">
        <v>4992.0540000000001</v>
      </c>
      <c r="AW148" s="18">
        <v>4983.277</v>
      </c>
      <c r="AX148" s="18">
        <v>4975.9030000000002</v>
      </c>
      <c r="AY148" s="18">
        <v>4970.7759999999998</v>
      </c>
      <c r="AZ148" s="18">
        <v>4966.9719999999998</v>
      </c>
      <c r="BA148" s="18">
        <v>4962.4679999999998</v>
      </c>
      <c r="BB148" s="18">
        <v>4957.3670000000002</v>
      </c>
      <c r="BC148" s="18">
        <v>4951.9790000000003</v>
      </c>
      <c r="BD148" s="18">
        <v>4946.1580000000004</v>
      </c>
      <c r="BE148" s="18">
        <v>4939.5810000000001</v>
      </c>
      <c r="BF148" s="18">
        <v>4931.942</v>
      </c>
      <c r="BG148" s="18">
        <v>4923.1409999999996</v>
      </c>
      <c r="BH148" s="18">
        <v>4912.3649999999998</v>
      </c>
      <c r="BI148" s="18">
        <v>4899.1210000000001</v>
      </c>
      <c r="BJ148" s="18">
        <v>4883.5150000000003</v>
      </c>
      <c r="BK148" s="18">
        <v>4865.652</v>
      </c>
      <c r="BL148" s="18">
        <v>4844.9160000000002</v>
      </c>
      <c r="BM148" s="18">
        <v>4822.8670000000002</v>
      </c>
      <c r="BN148" s="18">
        <v>4800.0969999999998</v>
      </c>
      <c r="BO148" s="18">
        <v>4775.3850000000002</v>
      </c>
      <c r="BP148" s="18">
        <v>4746.9430000000002</v>
      </c>
      <c r="BQ148" s="18">
        <v>4715.1499999999996</v>
      </c>
      <c r="BR148" s="18">
        <v>4677.2979999999998</v>
      </c>
      <c r="BS148" s="18">
        <v>4631.8590000000004</v>
      </c>
      <c r="BT148" s="18">
        <v>4579.8860000000004</v>
      </c>
      <c r="BU148" s="18">
        <v>4524.826</v>
      </c>
      <c r="BV148" s="18">
        <v>4467.0349999999999</v>
      </c>
      <c r="BW148" s="18">
        <v>4401.7719999999999</v>
      </c>
      <c r="BX148" s="18">
        <v>4327.3599999999997</v>
      </c>
      <c r="BY148" s="18">
        <v>4246.3649999999998</v>
      </c>
      <c r="BZ148" s="18">
        <v>4161.6750000000002</v>
      </c>
      <c r="CA148" s="18">
        <v>4071.076</v>
      </c>
      <c r="CB148" s="18">
        <v>3985.7440000000001</v>
      </c>
      <c r="CC148" s="18">
        <v>3911.011</v>
      </c>
      <c r="CD148" s="18">
        <v>3841.0540000000001</v>
      </c>
      <c r="CE148" s="18">
        <v>3762.6930000000002</v>
      </c>
      <c r="CF148" s="18">
        <v>3676.1320000000001</v>
      </c>
      <c r="CG148" s="18">
        <v>3585.5659999999998</v>
      </c>
      <c r="CH148" s="18">
        <v>3490.9639999999999</v>
      </c>
      <c r="CI148" s="18">
        <v>3388.9690000000001</v>
      </c>
      <c r="CJ148" s="18">
        <v>3276.9560000000001</v>
      </c>
      <c r="CK148" s="18">
        <v>3175.9409999999998</v>
      </c>
      <c r="CL148" s="18">
        <v>3034.7730000000001</v>
      </c>
      <c r="CM148" s="18">
        <v>2837.0239999999999</v>
      </c>
      <c r="CN148" s="18">
        <v>2593.3049999999998</v>
      </c>
      <c r="CO148" s="18">
        <v>2358.8879999999999</v>
      </c>
      <c r="CP148" s="18">
        <v>2198.386</v>
      </c>
      <c r="CQ148" s="18">
        <v>2013.8340000000001</v>
      </c>
      <c r="CR148" s="18">
        <v>1754.366</v>
      </c>
      <c r="CS148" s="18">
        <v>1419.9829999999999</v>
      </c>
      <c r="CT148" s="18">
        <v>1263.9280000000001</v>
      </c>
      <c r="CU148" s="18">
        <v>1102.239</v>
      </c>
      <c r="CV148" s="18">
        <v>894.40800000000002</v>
      </c>
      <c r="CW148" s="18">
        <v>640.43600000000004</v>
      </c>
      <c r="CX148" s="18">
        <v>1632.162</v>
      </c>
      <c r="CY148" s="3">
        <f t="shared" si="257"/>
        <v>430021.5799999999</v>
      </c>
      <c r="CZ148" s="21">
        <f t="shared" si="173"/>
        <v>349359.99799999985</v>
      </c>
      <c r="DA148">
        <f t="shared" si="174"/>
        <v>1.3057634033991497E-2</v>
      </c>
      <c r="DB148">
        <f t="shared" si="175"/>
        <v>1.3156174222327543E-2</v>
      </c>
      <c r="DC148">
        <f t="shared" si="176"/>
        <v>1.3268777268541209E-2</v>
      </c>
      <c r="DD148">
        <f t="shared" si="177"/>
        <v>1.3383633005402074E-2</v>
      </c>
      <c r="DE148">
        <f t="shared" si="178"/>
        <v>1.350147706378222E-2</v>
      </c>
      <c r="DF148">
        <f t="shared" si="179"/>
        <v>1.361698828496101E-2</v>
      </c>
      <c r="DG148">
        <f t="shared" si="180"/>
        <v>1.3725792956983021E-2</v>
      </c>
      <c r="DH148">
        <f t="shared" si="181"/>
        <v>1.3828540839412307E-2</v>
      </c>
      <c r="DI148">
        <f t="shared" si="182"/>
        <v>1.393024395426062E-2</v>
      </c>
      <c r="DJ148">
        <f t="shared" si="183"/>
        <v>1.4029848946816179E-2</v>
      </c>
      <c r="DK148">
        <f t="shared" si="184"/>
        <v>1.4118405164405805E-2</v>
      </c>
      <c r="DL148">
        <f t="shared" si="185"/>
        <v>1.4191911004075523E-2</v>
      </c>
      <c r="DM148">
        <f t="shared" si="186"/>
        <v>1.4252971228835426E-2</v>
      </c>
      <c r="DN148">
        <f t="shared" si="187"/>
        <v>1.43086186988128E-2</v>
      </c>
      <c r="DO148">
        <f t="shared" si="188"/>
        <v>1.4357980389042716E-2</v>
      </c>
      <c r="DP148">
        <f t="shared" si="189"/>
        <v>1.4397286549102861E-2</v>
      </c>
      <c r="DQ148">
        <f t="shared" si="190"/>
        <v>1.442552675993547E-2</v>
      </c>
      <c r="DR148">
        <f t="shared" si="191"/>
        <v>1.4444115035746028E-2</v>
      </c>
      <c r="DS148">
        <f t="shared" si="192"/>
        <v>1.4456635072456125E-2</v>
      </c>
      <c r="DT148">
        <f t="shared" si="193"/>
        <v>1.4463770978153035E-2</v>
      </c>
      <c r="DU148">
        <f t="shared" si="194"/>
        <v>1.4461867497491806E-2</v>
      </c>
      <c r="DV148">
        <f t="shared" si="195"/>
        <v>1.4449925660922409E-2</v>
      </c>
      <c r="DW148">
        <f t="shared" si="196"/>
        <v>1.4430553093831887E-2</v>
      </c>
      <c r="DX148">
        <f t="shared" si="197"/>
        <v>1.440776571105889E-2</v>
      </c>
      <c r="DY148">
        <f t="shared" si="198"/>
        <v>1.4381222889748248E-2</v>
      </c>
      <c r="DZ148">
        <f t="shared" si="199"/>
        <v>1.4355258268578312E-2</v>
      </c>
      <c r="EA148">
        <f t="shared" si="200"/>
        <v>1.433258538088268E-2</v>
      </c>
      <c r="EB148">
        <f t="shared" si="201"/>
        <v>1.4312050688756879E-2</v>
      </c>
      <c r="EC148">
        <f t="shared" si="202"/>
        <v>1.4289140223775712E-2</v>
      </c>
      <c r="ED148">
        <f t="shared" si="203"/>
        <v>1.4264017141424423E-2</v>
      </c>
      <c r="EE148">
        <f t="shared" si="204"/>
        <v>1.4242909973911788E-2</v>
      </c>
      <c r="EF148">
        <f t="shared" si="205"/>
        <v>1.4228234567370253E-2</v>
      </c>
      <c r="EG148">
        <f t="shared" si="206"/>
        <v>1.4217346085512636E-2</v>
      </c>
      <c r="EH148">
        <f t="shared" si="207"/>
        <v>1.4204453939801093E-2</v>
      </c>
      <c r="EI148">
        <f t="shared" si="208"/>
        <v>1.4189852955059847E-2</v>
      </c>
      <c r="EJ148">
        <f t="shared" si="209"/>
        <v>1.4174430468138492E-2</v>
      </c>
      <c r="EK148">
        <f t="shared" si="210"/>
        <v>1.4157768572004636E-2</v>
      </c>
      <c r="EL148">
        <f t="shared" si="211"/>
        <v>1.413894271890854E-2</v>
      </c>
      <c r="EM148">
        <f t="shared" si="212"/>
        <v>1.4117077021508348E-2</v>
      </c>
      <c r="EN148">
        <f t="shared" si="213"/>
        <v>1.4091885242110637E-2</v>
      </c>
      <c r="EO148">
        <f t="shared" si="214"/>
        <v>1.4061040268267926E-2</v>
      </c>
      <c r="EP148">
        <f t="shared" si="215"/>
        <v>1.4023130948151661E-2</v>
      </c>
      <c r="EQ148">
        <f t="shared" si="216"/>
        <v>1.3978460693716865E-2</v>
      </c>
      <c r="ER148">
        <f t="shared" si="217"/>
        <v>1.3927330054541626E-2</v>
      </c>
      <c r="ES148">
        <f t="shared" si="218"/>
        <v>1.3867975806434492E-2</v>
      </c>
      <c r="ET148">
        <f t="shared" si="219"/>
        <v>1.3804863257412779E-2</v>
      </c>
      <c r="EU148">
        <f t="shared" si="220"/>
        <v>1.3739686934621523E-2</v>
      </c>
      <c r="EV148">
        <f t="shared" si="221"/>
        <v>1.3668951875824096E-2</v>
      </c>
      <c r="EW148">
        <f t="shared" si="222"/>
        <v>1.3587540151062179E-2</v>
      </c>
      <c r="EX148">
        <f t="shared" si="223"/>
        <v>1.3496536601193826E-2</v>
      </c>
      <c r="EY148">
        <f t="shared" si="224"/>
        <v>1.3388189909481285E-2</v>
      </c>
      <c r="EZ148">
        <f t="shared" si="225"/>
        <v>1.3258126363969129E-2</v>
      </c>
      <c r="FA148">
        <f t="shared" si="226"/>
        <v>1.3109360047569048E-2</v>
      </c>
      <c r="FB148">
        <f t="shared" si="227"/>
        <v>1.2951757573573154E-2</v>
      </c>
      <c r="FC148">
        <f t="shared" si="228"/>
        <v>1.2786337948170018E-2</v>
      </c>
      <c r="FD148">
        <f t="shared" si="229"/>
        <v>1.2599530642314699E-2</v>
      </c>
      <c r="FE148">
        <f t="shared" si="230"/>
        <v>1.2386535449888575E-2</v>
      </c>
      <c r="FF148">
        <f t="shared" si="231"/>
        <v>1.2154697230104752E-2</v>
      </c>
      <c r="FG148">
        <f t="shared" si="232"/>
        <v>1.1912282527549138E-2</v>
      </c>
      <c r="FH148">
        <f t="shared" si="233"/>
        <v>1.165295403968946E-2</v>
      </c>
      <c r="FI148">
        <f t="shared" si="234"/>
        <v>1.1408701691142104E-2</v>
      </c>
      <c r="FJ148">
        <f t="shared" si="235"/>
        <v>1.1194787675720108E-2</v>
      </c>
      <c r="FK148">
        <f t="shared" si="236"/>
        <v>1.0994544372535752E-2</v>
      </c>
      <c r="FL148">
        <f t="shared" si="237"/>
        <v>1.0770245653596557E-2</v>
      </c>
      <c r="FM148">
        <f t="shared" si="238"/>
        <v>1.0522475443797093E-2</v>
      </c>
      <c r="FN148">
        <f t="shared" si="239"/>
        <v>1.0263241414376243E-2</v>
      </c>
      <c r="FO148">
        <f t="shared" si="240"/>
        <v>9.9924548316490478E-3</v>
      </c>
      <c r="FP148">
        <f t="shared" si="241"/>
        <v>9.700506696247467E-3</v>
      </c>
      <c r="FQ148">
        <f t="shared" si="242"/>
        <v>9.3798832687192815E-3</v>
      </c>
      <c r="FR148">
        <f t="shared" si="243"/>
        <v>9.0907402627131949E-3</v>
      </c>
      <c r="FS148">
        <f t="shared" si="244"/>
        <v>8.6866642356690227E-3</v>
      </c>
      <c r="FT148">
        <f t="shared" si="245"/>
        <v>8.1206320593120718E-3</v>
      </c>
      <c r="FU148">
        <f t="shared" si="246"/>
        <v>7.4230164152909147E-3</v>
      </c>
      <c r="FV148">
        <f t="shared" si="247"/>
        <v>6.7520266015114903E-3</v>
      </c>
      <c r="FW148">
        <f t="shared" si="248"/>
        <v>6.292609378821902E-3</v>
      </c>
      <c r="FX148">
        <f t="shared" si="249"/>
        <v>5.7643519908653108E-3</v>
      </c>
      <c r="FY148">
        <f t="shared" si="250"/>
        <v>5.0216567725077698E-3</v>
      </c>
      <c r="FZ148">
        <f t="shared" si="251"/>
        <v>4.0645265861262133E-3</v>
      </c>
      <c r="GA148">
        <f t="shared" si="252"/>
        <v>3.6178383536629188E-3</v>
      </c>
      <c r="GB148">
        <f t="shared" si="253"/>
        <v>3.1550234895524601E-3</v>
      </c>
      <c r="GC148">
        <f t="shared" si="254"/>
        <v>2.5601328289451171E-3</v>
      </c>
      <c r="GD148">
        <f t="shared" si="255"/>
        <v>1.8331692342178235E-3</v>
      </c>
      <c r="GE148">
        <f t="shared" si="256"/>
        <v>4.6718628616433666E-3</v>
      </c>
    </row>
    <row r="149" spans="1:187">
      <c r="A149" s="15">
        <v>2097</v>
      </c>
      <c r="B149" s="18">
        <v>4477.0780000000004</v>
      </c>
      <c r="C149" s="18">
        <v>4491.4229999999998</v>
      </c>
      <c r="D149" s="18">
        <v>4488.3100000000004</v>
      </c>
      <c r="E149" s="18">
        <v>4494.5420000000004</v>
      </c>
      <c r="F149" s="18">
        <v>4496.71</v>
      </c>
      <c r="G149" s="18">
        <v>4495.7020000000002</v>
      </c>
      <c r="H149" s="18">
        <v>4492.4030000000002</v>
      </c>
      <c r="I149" s="18">
        <v>4487.357</v>
      </c>
      <c r="J149" s="18">
        <v>4481.1080000000002</v>
      </c>
      <c r="K149" s="18">
        <v>4476.2510000000002</v>
      </c>
      <c r="L149" s="18">
        <v>4474.3590000000004</v>
      </c>
      <c r="M149" s="18">
        <v>4475.2889999999998</v>
      </c>
      <c r="N149" s="18">
        <v>4477.0749999999998</v>
      </c>
      <c r="O149" s="18">
        <v>4479.8029999999999</v>
      </c>
      <c r="P149" s="18">
        <v>4488.3590000000004</v>
      </c>
      <c r="Q149" s="18">
        <v>4504.8869999999997</v>
      </c>
      <c r="R149" s="18">
        <v>4527.5309999999999</v>
      </c>
      <c r="S149" s="18">
        <v>4551.5739999999996</v>
      </c>
      <c r="T149" s="18">
        <v>4577.1019999999999</v>
      </c>
      <c r="U149" s="18">
        <v>4606.9539999999997</v>
      </c>
      <c r="V149" s="18">
        <v>4641.79</v>
      </c>
      <c r="W149" s="18">
        <v>4679.9759999999997</v>
      </c>
      <c r="X149" s="18">
        <v>4718.8190000000004</v>
      </c>
      <c r="Y149" s="18">
        <v>4758.375</v>
      </c>
      <c r="Z149" s="18">
        <v>4796.82</v>
      </c>
      <c r="AA149" s="18">
        <v>4832.8130000000001</v>
      </c>
      <c r="AB149" s="18">
        <v>4866.5789999999997</v>
      </c>
      <c r="AC149" s="18">
        <v>4899.68</v>
      </c>
      <c r="AD149" s="18">
        <v>4931.799</v>
      </c>
      <c r="AE149" s="18">
        <v>4960.2349999999997</v>
      </c>
      <c r="AF149" s="18">
        <v>4983.7910000000002</v>
      </c>
      <c r="AG149" s="18">
        <v>5003.2579999999998</v>
      </c>
      <c r="AH149" s="18">
        <v>5020.768</v>
      </c>
      <c r="AI149" s="18">
        <v>5036.0720000000001</v>
      </c>
      <c r="AJ149" s="18">
        <v>5048.0129999999999</v>
      </c>
      <c r="AK149" s="18">
        <v>5056.2860000000001</v>
      </c>
      <c r="AL149" s="18">
        <v>5061.3389999999999</v>
      </c>
      <c r="AM149" s="18">
        <v>5064.3239999999996</v>
      </c>
      <c r="AN149" s="18">
        <v>5065.4880000000003</v>
      </c>
      <c r="AO149" s="18">
        <v>5063.5680000000002</v>
      </c>
      <c r="AP149" s="18">
        <v>5058.2110000000002</v>
      </c>
      <c r="AQ149" s="18">
        <v>5050.3159999999998</v>
      </c>
      <c r="AR149" s="18">
        <v>5041.2700000000004</v>
      </c>
      <c r="AS149" s="18">
        <v>5030.951</v>
      </c>
      <c r="AT149" s="18">
        <v>5020.8450000000003</v>
      </c>
      <c r="AU149" s="18">
        <v>5011.8869999999997</v>
      </c>
      <c r="AV149" s="18">
        <v>5003.6689999999999</v>
      </c>
      <c r="AW149" s="18">
        <v>4994.6369999999997</v>
      </c>
      <c r="AX149" s="18">
        <v>4984.8459999999995</v>
      </c>
      <c r="AY149" s="18">
        <v>4976.4170000000004</v>
      </c>
      <c r="AZ149" s="18">
        <v>4970.1719999999996</v>
      </c>
      <c r="BA149" s="18">
        <v>4965.2049999999999</v>
      </c>
      <c r="BB149" s="18">
        <v>4959.5360000000001</v>
      </c>
      <c r="BC149" s="18">
        <v>4953.2569999999996</v>
      </c>
      <c r="BD149" s="18">
        <v>4946.6890000000003</v>
      </c>
      <c r="BE149" s="18">
        <v>4939.6940000000004</v>
      </c>
      <c r="BF149" s="18">
        <v>4931.9430000000002</v>
      </c>
      <c r="BG149" s="18">
        <v>4923.0959999999995</v>
      </c>
      <c r="BH149" s="18">
        <v>4913.0460000000003</v>
      </c>
      <c r="BI149" s="18">
        <v>4901.0410000000002</v>
      </c>
      <c r="BJ149" s="18">
        <v>4886.6090000000004</v>
      </c>
      <c r="BK149" s="18">
        <v>4869.8220000000001</v>
      </c>
      <c r="BL149" s="18">
        <v>4850.6940000000004</v>
      </c>
      <c r="BM149" s="18">
        <v>4828.598</v>
      </c>
      <c r="BN149" s="18">
        <v>4805.1589999999997</v>
      </c>
      <c r="BO149" s="18">
        <v>4780.982</v>
      </c>
      <c r="BP149" s="18">
        <v>4754.7929999999997</v>
      </c>
      <c r="BQ149" s="18">
        <v>4724.6909999999998</v>
      </c>
      <c r="BR149" s="18">
        <v>4691.0290000000005</v>
      </c>
      <c r="BS149" s="18">
        <v>4651.1639999999998</v>
      </c>
      <c r="BT149" s="18">
        <v>4603.5770000000002</v>
      </c>
      <c r="BU149" s="18">
        <v>4549.2449999999999</v>
      </c>
      <c r="BV149" s="18">
        <v>4491.4639999999999</v>
      </c>
      <c r="BW149" s="18">
        <v>4430.5379999999996</v>
      </c>
      <c r="BX149" s="18">
        <v>4361.8159999999998</v>
      </c>
      <c r="BY149" s="18">
        <v>4283.6239999999998</v>
      </c>
      <c r="BZ149" s="18">
        <v>4198.4170000000004</v>
      </c>
      <c r="CA149" s="18">
        <v>4108.9709999999995</v>
      </c>
      <c r="CB149" s="18">
        <v>4013.11</v>
      </c>
      <c r="CC149" s="18">
        <v>3921.5830000000001</v>
      </c>
      <c r="CD149" s="18">
        <v>3839.502</v>
      </c>
      <c r="CE149" s="18">
        <v>3761.2049999999999</v>
      </c>
      <c r="CF149" s="18">
        <v>3674.2510000000002</v>
      </c>
      <c r="CG149" s="18">
        <v>3579.1210000000001</v>
      </c>
      <c r="CH149" s="18">
        <v>3478.2150000000001</v>
      </c>
      <c r="CI149" s="18">
        <v>3370.8220000000001</v>
      </c>
      <c r="CJ149" s="18">
        <v>3254.6289999999999</v>
      </c>
      <c r="CK149" s="18">
        <v>3126.6060000000002</v>
      </c>
      <c r="CL149" s="18">
        <v>3024.9560000000001</v>
      </c>
      <c r="CM149" s="18">
        <v>2874.7809999999999</v>
      </c>
      <c r="CN149" s="18">
        <v>2656.0320000000002</v>
      </c>
      <c r="CO149" s="18">
        <v>2376.6669999999999</v>
      </c>
      <c r="CP149" s="18">
        <v>2133.7269999999999</v>
      </c>
      <c r="CQ149" s="18">
        <v>1982.9649999999999</v>
      </c>
      <c r="CR149" s="18">
        <v>1801.961</v>
      </c>
      <c r="CS149" s="18">
        <v>1552.547</v>
      </c>
      <c r="CT149" s="18">
        <v>1234.7249999999999</v>
      </c>
      <c r="CU149" s="18">
        <v>1111.4369999999999</v>
      </c>
      <c r="CV149" s="18">
        <v>902.98299999999995</v>
      </c>
      <c r="CW149" s="18">
        <v>649.04999999999995</v>
      </c>
      <c r="CX149" s="18">
        <v>1665.5060000000001</v>
      </c>
      <c r="CY149" s="3">
        <f t="shared" si="257"/>
        <v>430967.91199999995</v>
      </c>
      <c r="CZ149" s="21">
        <f t="shared" si="173"/>
        <v>350108.15099999995</v>
      </c>
      <c r="DA149">
        <f t="shared" si="174"/>
        <v>1.3073394569439773E-2</v>
      </c>
      <c r="DB149">
        <f t="shared" si="175"/>
        <v>1.315865965085743E-2</v>
      </c>
      <c r="DC149">
        <f t="shared" si="176"/>
        <v>1.3258160333433655E-2</v>
      </c>
      <c r="DD149">
        <f t="shared" si="177"/>
        <v>1.3367229487896157E-2</v>
      </c>
      <c r="DE149">
        <f t="shared" si="178"/>
        <v>1.3478175205352477E-2</v>
      </c>
      <c r="DF149">
        <f t="shared" si="179"/>
        <v>1.3591157436377425E-2</v>
      </c>
      <c r="DG149">
        <f t="shared" si="180"/>
        <v>1.3700966362248448E-2</v>
      </c>
      <c r="DH149">
        <f t="shared" si="181"/>
        <v>1.3803771737950771E-2</v>
      </c>
      <c r="DI149">
        <f t="shared" si="182"/>
        <v>1.3900216222043914E-2</v>
      </c>
      <c r="DJ149">
        <f t="shared" si="183"/>
        <v>1.3994761293061129E-2</v>
      </c>
      <c r="DK149">
        <f t="shared" si="184"/>
        <v>1.4086501516498541E-2</v>
      </c>
      <c r="DL149">
        <f t="shared" si="185"/>
        <v>1.4167722133381581E-2</v>
      </c>
      <c r="DM149">
        <f t="shared" si="186"/>
        <v>1.4235004200173566E-2</v>
      </c>
      <c r="DN149">
        <f t="shared" si="187"/>
        <v>1.429060701874376E-2</v>
      </c>
      <c r="DO149">
        <f t="shared" si="188"/>
        <v>1.4340620135976213E-2</v>
      </c>
      <c r="DP149">
        <f t="shared" si="189"/>
        <v>1.4384332343065045E-2</v>
      </c>
      <c r="DQ149">
        <f t="shared" si="190"/>
        <v>1.441843894688416E-2</v>
      </c>
      <c r="DR149">
        <f t="shared" si="191"/>
        <v>1.4442068788052868E-2</v>
      </c>
      <c r="DS149">
        <f t="shared" si="192"/>
        <v>1.4456501471169692E-2</v>
      </c>
      <c r="DT149">
        <f t="shared" si="193"/>
        <v>1.4465027408059404E-2</v>
      </c>
      <c r="DU149">
        <f t="shared" si="194"/>
        <v>1.4468352095007353E-2</v>
      </c>
      <c r="DV149">
        <f t="shared" si="195"/>
        <v>1.4462868075299397E-2</v>
      </c>
      <c r="DW149">
        <f t="shared" si="196"/>
        <v>1.4447567089062148E-2</v>
      </c>
      <c r="DX149">
        <f t="shared" si="197"/>
        <v>1.4425016914273442E-2</v>
      </c>
      <c r="DY149">
        <f t="shared" si="198"/>
        <v>1.4399179183920231E-2</v>
      </c>
      <c r="DZ149">
        <f t="shared" si="199"/>
        <v>1.4369705434250231E-2</v>
      </c>
      <c r="EA149">
        <f t="shared" si="200"/>
        <v>1.4340840068016586E-2</v>
      </c>
      <c r="EB149">
        <f t="shared" si="201"/>
        <v>1.4315253688566652E-2</v>
      </c>
      <c r="EC149">
        <f t="shared" si="202"/>
        <v>1.4291780941712495E-2</v>
      </c>
      <c r="ED149">
        <f t="shared" si="203"/>
        <v>1.4265983199002985E-2</v>
      </c>
      <c r="EE149">
        <f t="shared" si="204"/>
        <v>1.4238017554752675E-2</v>
      </c>
      <c r="EF149">
        <f t="shared" si="205"/>
        <v>1.4213942136982698E-2</v>
      </c>
      <c r="EG149">
        <f t="shared" si="206"/>
        <v>1.4196104791630516E-2</v>
      </c>
      <c r="EH149">
        <f t="shared" si="207"/>
        <v>1.4181917746896446E-2</v>
      </c>
      <c r="EI149">
        <f t="shared" si="208"/>
        <v>1.4165725607456653E-2</v>
      </c>
      <c r="EJ149">
        <f t="shared" si="209"/>
        <v>1.4147791149255478E-2</v>
      </c>
      <c r="EK149">
        <f t="shared" si="210"/>
        <v>1.4129031231837848E-2</v>
      </c>
      <c r="EL149">
        <f t="shared" si="211"/>
        <v>1.4109051691287247E-2</v>
      </c>
      <c r="EM149">
        <f t="shared" si="212"/>
        <v>1.408691281797664E-2</v>
      </c>
      <c r="EN149">
        <f t="shared" si="213"/>
        <v>1.4061643483416071E-2</v>
      </c>
      <c r="EO149">
        <f t="shared" si="214"/>
        <v>1.4032938067757243E-2</v>
      </c>
      <c r="EP149">
        <f t="shared" si="215"/>
        <v>1.3998648663281195E-2</v>
      </c>
      <c r="EQ149">
        <f t="shared" si="216"/>
        <v>1.395742711514306E-2</v>
      </c>
      <c r="ER149">
        <f t="shared" si="217"/>
        <v>1.3909479074081885E-2</v>
      </c>
      <c r="ES149">
        <f t="shared" si="218"/>
        <v>1.3854844527741375E-2</v>
      </c>
      <c r="ET149">
        <f t="shared" si="219"/>
        <v>1.3791732600935648E-2</v>
      </c>
      <c r="EU149">
        <f t="shared" si="220"/>
        <v>1.3724784716594617E-2</v>
      </c>
      <c r="EV149">
        <f t="shared" si="221"/>
        <v>1.3655728912178342E-2</v>
      </c>
      <c r="EW149">
        <f t="shared" si="222"/>
        <v>1.3580926312109769E-2</v>
      </c>
      <c r="EX149">
        <f t="shared" si="223"/>
        <v>1.3494947165625973E-2</v>
      </c>
      <c r="EY149">
        <f t="shared" si="224"/>
        <v>1.3398799732600344E-2</v>
      </c>
      <c r="EZ149">
        <f t="shared" si="225"/>
        <v>1.3284934917153643E-2</v>
      </c>
      <c r="FA149">
        <f t="shared" si="226"/>
        <v>1.314901405994401E-2</v>
      </c>
      <c r="FB149">
        <f t="shared" si="227"/>
        <v>1.2993827727249916E-2</v>
      </c>
      <c r="FC149">
        <f t="shared" si="228"/>
        <v>1.2828790152903355E-2</v>
      </c>
      <c r="FD149">
        <f t="shared" si="229"/>
        <v>1.2654769640024748E-2</v>
      </c>
      <c r="FE149">
        <f t="shared" si="230"/>
        <v>1.2458481722123632E-2</v>
      </c>
      <c r="FF149">
        <f t="shared" si="231"/>
        <v>1.2235145019517127E-2</v>
      </c>
      <c r="FG149">
        <f t="shared" si="232"/>
        <v>1.1991771651154734E-2</v>
      </c>
      <c r="FH149">
        <f t="shared" si="233"/>
        <v>1.1736290595530866E-2</v>
      </c>
      <c r="FI149">
        <f t="shared" si="234"/>
        <v>1.1462486630309845E-2</v>
      </c>
      <c r="FJ149">
        <f t="shared" si="235"/>
        <v>1.1201061697075429E-2</v>
      </c>
      <c r="FK149">
        <f t="shared" si="236"/>
        <v>1.0966616998300049E-2</v>
      </c>
      <c r="FL149">
        <f t="shared" si="237"/>
        <v>1.0742980388365766E-2</v>
      </c>
      <c r="FM149">
        <f t="shared" si="238"/>
        <v>1.0494617133321185E-2</v>
      </c>
      <c r="FN149">
        <f t="shared" si="239"/>
        <v>1.0222901094353557E-2</v>
      </c>
      <c r="FO149">
        <f t="shared" si="240"/>
        <v>9.9346872960978296E-3</v>
      </c>
      <c r="FP149">
        <f t="shared" si="241"/>
        <v>9.6279449375058987E-3</v>
      </c>
      <c r="FQ149">
        <f t="shared" si="242"/>
        <v>9.2960674885858349E-3</v>
      </c>
      <c r="FR149">
        <f t="shared" si="243"/>
        <v>8.9304004807360237E-3</v>
      </c>
      <c r="FS149">
        <f t="shared" si="244"/>
        <v>8.6400616248434627E-3</v>
      </c>
      <c r="FT149">
        <f t="shared" si="245"/>
        <v>8.2111227396131099E-3</v>
      </c>
      <c r="FU149">
        <f t="shared" si="246"/>
        <v>7.5863186630007948E-3</v>
      </c>
      <c r="FV149">
        <f t="shared" si="247"/>
        <v>6.7883795141918885E-3</v>
      </c>
      <c r="FW149">
        <f t="shared" si="248"/>
        <v>6.0944796455195934E-3</v>
      </c>
      <c r="FX149">
        <f t="shared" si="249"/>
        <v>5.6638641355139432E-3</v>
      </c>
      <c r="FY149">
        <f t="shared" si="250"/>
        <v>5.1468696025874592E-3</v>
      </c>
      <c r="FZ149">
        <f t="shared" si="251"/>
        <v>4.4344783049624003E-3</v>
      </c>
      <c r="GA149">
        <f t="shared" si="252"/>
        <v>3.5266959551592961E-3</v>
      </c>
      <c r="GB149">
        <f t="shared" si="253"/>
        <v>3.1745533396621778E-3</v>
      </c>
      <c r="GC149">
        <f t="shared" si="254"/>
        <v>2.5791544624735115E-3</v>
      </c>
      <c r="GD149">
        <f t="shared" si="255"/>
        <v>1.8538557247129047E-3</v>
      </c>
      <c r="GE149">
        <f t="shared" si="256"/>
        <v>4.7571186081868753E-3</v>
      </c>
    </row>
    <row r="150" spans="1:187">
      <c r="A150" s="15">
        <v>2098</v>
      </c>
      <c r="B150" s="18">
        <v>4481.1989999999996</v>
      </c>
      <c r="C150" s="18">
        <v>4496.4129999999996</v>
      </c>
      <c r="D150" s="18">
        <v>4505.87</v>
      </c>
      <c r="E150" s="18">
        <v>4499.4129999999996</v>
      </c>
      <c r="F150" s="18">
        <v>4502.1899999999996</v>
      </c>
      <c r="G150" s="18">
        <v>4501.72</v>
      </c>
      <c r="H150" s="18">
        <v>4498.8850000000002</v>
      </c>
      <c r="I150" s="18">
        <v>4494.5709999999999</v>
      </c>
      <c r="J150" s="18">
        <v>4489.1480000000001</v>
      </c>
      <c r="K150" s="18">
        <v>4482.9889999999996</v>
      </c>
      <c r="L150" s="18">
        <v>4479.5450000000001</v>
      </c>
      <c r="M150" s="18">
        <v>4480.7240000000002</v>
      </c>
      <c r="N150" s="18">
        <v>4485.8729999999996</v>
      </c>
      <c r="O150" s="18">
        <v>4492.009</v>
      </c>
      <c r="P150" s="18">
        <v>4499.2269999999999</v>
      </c>
      <c r="Q150" s="18">
        <v>4512.3530000000001</v>
      </c>
      <c r="R150" s="18">
        <v>4533.3339999999998</v>
      </c>
      <c r="S150" s="18">
        <v>4560.1779999999999</v>
      </c>
      <c r="T150" s="18">
        <v>4588.3389999999999</v>
      </c>
      <c r="U150" s="18">
        <v>4618.0039999999999</v>
      </c>
      <c r="V150" s="18">
        <v>4650.4750000000004</v>
      </c>
      <c r="W150" s="18">
        <v>4685.7089999999998</v>
      </c>
      <c r="X150" s="18">
        <v>4722.7299999999996</v>
      </c>
      <c r="Y150" s="18">
        <v>4760.2740000000003</v>
      </c>
      <c r="Z150" s="18">
        <v>4798.201</v>
      </c>
      <c r="AA150" s="18">
        <v>4834.7209999999995</v>
      </c>
      <c r="AB150" s="18">
        <v>4868.6819999999998</v>
      </c>
      <c r="AC150" s="18">
        <v>4900.3029999999999</v>
      </c>
      <c r="AD150" s="18">
        <v>4930.9620000000004</v>
      </c>
      <c r="AE150" s="18">
        <v>4960.3890000000001</v>
      </c>
      <c r="AF150" s="18">
        <v>4986.3119999999999</v>
      </c>
      <c r="AG150" s="18">
        <v>5007.7340000000004</v>
      </c>
      <c r="AH150" s="18">
        <v>5025.3280000000004</v>
      </c>
      <c r="AI150" s="18">
        <v>5040.9009999999998</v>
      </c>
      <c r="AJ150" s="18">
        <v>5054.2550000000001</v>
      </c>
      <c r="AK150" s="18">
        <v>5064.4009999999998</v>
      </c>
      <c r="AL150" s="18">
        <v>5071.0770000000002</v>
      </c>
      <c r="AM150" s="18">
        <v>5074.6859999999997</v>
      </c>
      <c r="AN150" s="18">
        <v>5076.28</v>
      </c>
      <c r="AO150" s="18">
        <v>5076.1130000000003</v>
      </c>
      <c r="AP150" s="18">
        <v>5072.9399999999996</v>
      </c>
      <c r="AQ150" s="18">
        <v>5066.3999999999996</v>
      </c>
      <c r="AR150" s="18">
        <v>5057.3789999999999</v>
      </c>
      <c r="AS150" s="18">
        <v>5047.25</v>
      </c>
      <c r="AT150" s="18">
        <v>5035.8879999999999</v>
      </c>
      <c r="AU150" s="18">
        <v>5024.7520000000004</v>
      </c>
      <c r="AV150" s="18">
        <v>5014.7579999999998</v>
      </c>
      <c r="AW150" s="18">
        <v>5005.4989999999998</v>
      </c>
      <c r="AX150" s="18">
        <v>4995.4430000000002</v>
      </c>
      <c r="AY150" s="18">
        <v>4984.6390000000001</v>
      </c>
      <c r="AZ150" s="18">
        <v>4975.1580000000004</v>
      </c>
      <c r="BA150" s="18">
        <v>4967.7969999999996</v>
      </c>
      <c r="BB150" s="18">
        <v>4961.6679999999997</v>
      </c>
      <c r="BC150" s="18">
        <v>4954.835</v>
      </c>
      <c r="BD150" s="18">
        <v>4947.3789999999999</v>
      </c>
      <c r="BE150" s="18">
        <v>4939.6329999999998</v>
      </c>
      <c r="BF150" s="18">
        <v>4931.4669999999996</v>
      </c>
      <c r="BG150" s="18">
        <v>4922.5429999999997</v>
      </c>
      <c r="BH150" s="18">
        <v>4912.491</v>
      </c>
      <c r="BI150" s="18">
        <v>4901.1949999999997</v>
      </c>
      <c r="BJ150" s="18">
        <v>4887.9629999999997</v>
      </c>
      <c r="BK150" s="18">
        <v>4872.3500000000004</v>
      </c>
      <c r="BL150" s="18">
        <v>4854.3850000000002</v>
      </c>
      <c r="BM150" s="18">
        <v>4834</v>
      </c>
      <c r="BN150" s="18">
        <v>4810.55</v>
      </c>
      <c r="BO150" s="18">
        <v>4785.7290000000003</v>
      </c>
      <c r="BP150" s="18">
        <v>4760.1530000000002</v>
      </c>
      <c r="BQ150" s="18">
        <v>4732.4949999999999</v>
      </c>
      <c r="BR150" s="18">
        <v>4700.7439999999997</v>
      </c>
      <c r="BS150" s="18">
        <v>4665.2209999999995</v>
      </c>
      <c r="BT150" s="18">
        <v>4623.3580000000002</v>
      </c>
      <c r="BU150" s="18">
        <v>4573.6400000000003</v>
      </c>
      <c r="BV150" s="18">
        <v>4516.9660000000003</v>
      </c>
      <c r="BW150" s="18">
        <v>4456.482</v>
      </c>
      <c r="BX150" s="18">
        <v>4392.442</v>
      </c>
      <c r="BY150" s="18">
        <v>4320.2839999999997</v>
      </c>
      <c r="BZ150" s="18">
        <v>4238.3389999999999</v>
      </c>
      <c r="CA150" s="18">
        <v>4148.9459999999999</v>
      </c>
      <c r="CB150" s="18">
        <v>4054.7750000000001</v>
      </c>
      <c r="CC150" s="18">
        <v>3953.683</v>
      </c>
      <c r="CD150" s="18">
        <v>3855.9879999999998</v>
      </c>
      <c r="CE150" s="18">
        <v>3766.5839999999998</v>
      </c>
      <c r="CF150" s="18">
        <v>3679.973</v>
      </c>
      <c r="CG150" s="18">
        <v>3584.451</v>
      </c>
      <c r="CH150" s="18">
        <v>3480.78</v>
      </c>
      <c r="CI150" s="18">
        <v>3369.5659999999998</v>
      </c>
      <c r="CJ150" s="18">
        <v>3249.413</v>
      </c>
      <c r="CK150" s="18">
        <v>3119.058</v>
      </c>
      <c r="CL150" s="18">
        <v>2975.0610000000001</v>
      </c>
      <c r="CM150" s="18">
        <v>2872.8119999999999</v>
      </c>
      <c r="CN150" s="18">
        <v>2713.681</v>
      </c>
      <c r="CO150" s="18">
        <v>2473.9969999999998</v>
      </c>
      <c r="CP150" s="18">
        <v>2159.067</v>
      </c>
      <c r="CQ150" s="18">
        <v>1907.6859999999999</v>
      </c>
      <c r="CR150" s="18">
        <v>1766.723</v>
      </c>
      <c r="CS150" s="18">
        <v>1589.3320000000001</v>
      </c>
      <c r="CT150" s="18">
        <v>1350.068</v>
      </c>
      <c r="CU150" s="18">
        <v>1048.93</v>
      </c>
      <c r="CV150" s="18">
        <v>914.07500000000005</v>
      </c>
      <c r="CW150" s="18">
        <v>658.00300000000004</v>
      </c>
      <c r="CX150" s="18">
        <v>1692.998</v>
      </c>
      <c r="CY150" s="3">
        <f t="shared" si="257"/>
        <v>431921.38199999998</v>
      </c>
      <c r="CZ150" s="21">
        <f t="shared" si="173"/>
        <v>350925.74099999998</v>
      </c>
      <c r="DA150">
        <f t="shared" si="174"/>
        <v>1.3074957074750468E-2</v>
      </c>
      <c r="DB150">
        <f t="shared" si="175"/>
        <v>1.3159490628531579E-2</v>
      </c>
      <c r="DC150">
        <f t="shared" si="176"/>
        <v>1.3252020175972217E-2</v>
      </c>
      <c r="DD150">
        <f t="shared" si="177"/>
        <v>1.3352423184026276E-2</v>
      </c>
      <c r="DE150">
        <f t="shared" si="178"/>
        <v>1.3457918437507837E-2</v>
      </c>
      <c r="DF150">
        <f t="shared" si="179"/>
        <v>1.3564904034782676E-2</v>
      </c>
      <c r="DG150">
        <f t="shared" si="180"/>
        <v>1.367298103104953E-2</v>
      </c>
      <c r="DH150">
        <f t="shared" si="181"/>
        <v>1.3777048632063728E-2</v>
      </c>
      <c r="DI150">
        <f t="shared" si="182"/>
        <v>1.3873824092032052E-2</v>
      </c>
      <c r="DJ150">
        <f t="shared" si="183"/>
        <v>1.39639314746079E-2</v>
      </c>
      <c r="DK150">
        <f t="shared" si="184"/>
        <v>1.4051297536477955E-2</v>
      </c>
      <c r="DL150">
        <f t="shared" si="185"/>
        <v>1.4135152884096924E-2</v>
      </c>
      <c r="DM150">
        <f t="shared" si="186"/>
        <v>1.4209023213261521E-2</v>
      </c>
      <c r="DN150">
        <f t="shared" si="187"/>
        <v>1.4270067467065634E-2</v>
      </c>
      <c r="DO150">
        <f t="shared" si="188"/>
        <v>1.4320203430161028E-2</v>
      </c>
      <c r="DP150">
        <f t="shared" si="189"/>
        <v>1.4364580340089672E-2</v>
      </c>
      <c r="DQ150">
        <f t="shared" si="190"/>
        <v>1.4402633974918359E-2</v>
      </c>
      <c r="DR150">
        <f t="shared" si="191"/>
        <v>1.443154607458676E-2</v>
      </c>
      <c r="DS150">
        <f t="shared" si="192"/>
        <v>1.4450570042395382E-2</v>
      </c>
      <c r="DT150">
        <f t="shared" si="193"/>
        <v>1.4460854269450698E-2</v>
      </c>
      <c r="DU150">
        <f t="shared" si="194"/>
        <v>1.4465396540973608E-2</v>
      </c>
      <c r="DV150">
        <f t="shared" si="195"/>
        <v>1.4464920656817822E-2</v>
      </c>
      <c r="DW150">
        <f t="shared" si="196"/>
        <v>1.4455878857857851E-2</v>
      </c>
      <c r="DX150">
        <f t="shared" si="197"/>
        <v>1.4437242436427597E-2</v>
      </c>
      <c r="DY150">
        <f t="shared" si="198"/>
        <v>1.4411536143197887E-2</v>
      </c>
      <c r="DZ150">
        <f t="shared" si="199"/>
        <v>1.4382672486826779E-2</v>
      </c>
      <c r="EA150">
        <f t="shared" si="200"/>
        <v>1.4350295266598867E-2</v>
      </c>
      <c r="EB150">
        <f t="shared" si="201"/>
        <v>1.4318562057264419E-2</v>
      </c>
      <c r="EC150">
        <f t="shared" si="202"/>
        <v>1.4290083097665954E-2</v>
      </c>
      <c r="ED150">
        <f t="shared" si="203"/>
        <v>1.42636985982741E-2</v>
      </c>
      <c r="EE150">
        <f t="shared" si="204"/>
        <v>1.4235042963120795E-2</v>
      </c>
      <c r="EF150">
        <f t="shared" si="205"/>
        <v>1.4204255822886473E-2</v>
      </c>
      <c r="EG150">
        <f t="shared" si="206"/>
        <v>1.4177238711024052E-2</v>
      </c>
      <c r="EH150">
        <f t="shared" si="207"/>
        <v>1.4156262763294984E-2</v>
      </c>
      <c r="EI150">
        <f t="shared" si="208"/>
        <v>1.4138797529816999E-2</v>
      </c>
      <c r="EJ150">
        <f t="shared" si="209"/>
        <v>1.4119326173909826E-2</v>
      </c>
      <c r="EK150">
        <f t="shared" si="210"/>
        <v>1.4098079513637047E-2</v>
      </c>
      <c r="EL150">
        <f t="shared" si="211"/>
        <v>1.4076006467704516E-2</v>
      </c>
      <c r="EM150">
        <f t="shared" si="212"/>
        <v>1.4052736587368209E-2</v>
      </c>
      <c r="EN150">
        <f t="shared" si="213"/>
        <v>1.4027306705893656E-2</v>
      </c>
      <c r="EO150">
        <f t="shared" si="214"/>
        <v>1.3998662469163242E-2</v>
      </c>
      <c r="EP150">
        <f t="shared" si="215"/>
        <v>1.3966473322913066E-2</v>
      </c>
      <c r="EQ150">
        <f t="shared" si="216"/>
        <v>1.392876733998262E-2</v>
      </c>
      <c r="ER150">
        <f t="shared" si="217"/>
        <v>1.3884276445825046E-2</v>
      </c>
      <c r="ES150">
        <f t="shared" si="218"/>
        <v>1.3833083279006314E-2</v>
      </c>
      <c r="ET150">
        <f t="shared" si="219"/>
        <v>1.3774994066337243E-2</v>
      </c>
      <c r="EU150">
        <f t="shared" si="220"/>
        <v>1.370817081212632E-2</v>
      </c>
      <c r="EV150">
        <f t="shared" si="221"/>
        <v>1.3637440748468777E-2</v>
      </c>
      <c r="EW150">
        <f t="shared" si="222"/>
        <v>1.3564559232490159E-2</v>
      </c>
      <c r="EX150">
        <f t="shared" si="223"/>
        <v>1.3485744837395671E-2</v>
      </c>
      <c r="EY150">
        <f t="shared" si="224"/>
        <v>1.3395267006075795E-2</v>
      </c>
      <c r="EZ150">
        <f t="shared" si="225"/>
        <v>1.3294040461967707E-2</v>
      </c>
      <c r="FA150">
        <f t="shared" si="226"/>
        <v>1.3174747417574023E-2</v>
      </c>
      <c r="FB150">
        <f t="shared" si="227"/>
        <v>1.3033070720223972E-2</v>
      </c>
      <c r="FC150">
        <f t="shared" si="228"/>
        <v>1.287157216546278E-2</v>
      </c>
      <c r="FD150">
        <f t="shared" si="229"/>
        <v>1.269921661289589E-2</v>
      </c>
      <c r="FE150">
        <f t="shared" si="230"/>
        <v>1.2516727862377015E-2</v>
      </c>
      <c r="FF150">
        <f t="shared" si="231"/>
        <v>1.2311106012596551E-2</v>
      </c>
      <c r="FG150">
        <f t="shared" si="232"/>
        <v>1.2077595071602342E-2</v>
      </c>
      <c r="FH150">
        <f t="shared" si="233"/>
        <v>1.1822860267181141E-2</v>
      </c>
      <c r="FI150">
        <f t="shared" si="234"/>
        <v>1.1554510046614107E-2</v>
      </c>
      <c r="FJ150">
        <f t="shared" si="235"/>
        <v>1.1266437704836249E-2</v>
      </c>
      <c r="FK150">
        <f t="shared" si="236"/>
        <v>1.0988045473700374E-2</v>
      </c>
      <c r="FL150">
        <f t="shared" si="237"/>
        <v>1.0733279323616217E-2</v>
      </c>
      <c r="FM150">
        <f t="shared" si="238"/>
        <v>1.0486472122317183E-2</v>
      </c>
      <c r="FN150">
        <f t="shared" si="239"/>
        <v>1.0214272084417997E-2</v>
      </c>
      <c r="FO150">
        <f t="shared" si="240"/>
        <v>9.9188506094797999E-3</v>
      </c>
      <c r="FP150">
        <f t="shared" si="241"/>
        <v>9.6019345585708973E-3</v>
      </c>
      <c r="FQ150">
        <f t="shared" si="242"/>
        <v>9.2595458821015924E-3</v>
      </c>
      <c r="FR150">
        <f t="shared" si="243"/>
        <v>8.888085528043382E-3</v>
      </c>
      <c r="FS150">
        <f t="shared" si="244"/>
        <v>8.477750852708181E-3</v>
      </c>
      <c r="FT150">
        <f t="shared" si="245"/>
        <v>8.1863815171084875E-3</v>
      </c>
      <c r="FU150">
        <f t="shared" si="246"/>
        <v>7.7329209087571614E-3</v>
      </c>
      <c r="FV150">
        <f t="shared" si="247"/>
        <v>7.049916010578432E-3</v>
      </c>
      <c r="FW150">
        <f t="shared" si="248"/>
        <v>6.1524896801457493E-3</v>
      </c>
      <c r="FX150">
        <f t="shared" si="249"/>
        <v>5.4361529438218103E-3</v>
      </c>
      <c r="FY150">
        <f t="shared" si="250"/>
        <v>5.0344639722510413E-3</v>
      </c>
      <c r="FZ150">
        <f t="shared" si="251"/>
        <v>4.5289695633926163E-3</v>
      </c>
      <c r="GA150">
        <f t="shared" si="252"/>
        <v>3.8471614996176645E-3</v>
      </c>
      <c r="GB150">
        <f t="shared" si="253"/>
        <v>2.9890369313204644E-3</v>
      </c>
      <c r="GC150">
        <f t="shared" si="254"/>
        <v>2.604753351507492E-3</v>
      </c>
      <c r="GD150">
        <f t="shared" si="255"/>
        <v>1.8750491147356445E-3</v>
      </c>
      <c r="GE150">
        <f t="shared" si="256"/>
        <v>4.824376790302197E-3</v>
      </c>
    </row>
    <row r="151" spans="1:187">
      <c r="A151" s="15">
        <v>2099</v>
      </c>
      <c r="B151" s="18">
        <v>4482.5739999999996</v>
      </c>
      <c r="C151" s="18">
        <v>4498.7619999999997</v>
      </c>
      <c r="D151" s="18">
        <v>4509.0810000000001</v>
      </c>
      <c r="E151" s="18">
        <v>4514.3950000000004</v>
      </c>
      <c r="F151" s="18">
        <v>4508.58</v>
      </c>
      <c r="G151" s="18">
        <v>4507.9030000000002</v>
      </c>
      <c r="H151" s="18">
        <v>4504.7929999999997</v>
      </c>
      <c r="I151" s="18">
        <v>4500.1329999999998</v>
      </c>
      <c r="J151" s="18">
        <v>4494.8059999999996</v>
      </c>
      <c r="K151" s="18">
        <v>4489.0110000000004</v>
      </c>
      <c r="L151" s="18">
        <v>4482.9449999999997</v>
      </c>
      <c r="M151" s="18">
        <v>4480.9110000000001</v>
      </c>
      <c r="N151" s="18">
        <v>4485.1620000000003</v>
      </c>
      <c r="O151" s="18">
        <v>4494.527</v>
      </c>
      <c r="P151" s="18">
        <v>4505.0079999999998</v>
      </c>
      <c r="Q151" s="18">
        <v>4516.7120000000004</v>
      </c>
      <c r="R151" s="18">
        <v>4534.3999999999996</v>
      </c>
      <c r="S151" s="18">
        <v>4559.826</v>
      </c>
      <c r="T151" s="18">
        <v>4590.8559999999998</v>
      </c>
      <c r="U151" s="18">
        <v>4623.1229999999996</v>
      </c>
      <c r="V151" s="18">
        <v>4656.9089999999997</v>
      </c>
      <c r="W151" s="18">
        <v>4691.9859999999999</v>
      </c>
      <c r="X151" s="18">
        <v>4727.6030000000001</v>
      </c>
      <c r="Y151" s="18">
        <v>4763.4399999999996</v>
      </c>
      <c r="Z151" s="18">
        <v>4799.6710000000003</v>
      </c>
      <c r="AA151" s="18">
        <v>4835.9539999999997</v>
      </c>
      <c r="AB151" s="18">
        <v>4870.5330000000004</v>
      </c>
      <c r="AC151" s="18">
        <v>4902.4480000000003</v>
      </c>
      <c r="AD151" s="18">
        <v>4931.9110000000001</v>
      </c>
      <c r="AE151" s="18">
        <v>4960.1149999999998</v>
      </c>
      <c r="AF151" s="18">
        <v>4986.8379999999997</v>
      </c>
      <c r="AG151" s="18">
        <v>5010.2389999999996</v>
      </c>
      <c r="AH151" s="18">
        <v>5029.5169999999998</v>
      </c>
      <c r="AI151" s="18">
        <v>5045.2309999999998</v>
      </c>
      <c r="AJ151" s="18">
        <v>5058.8599999999997</v>
      </c>
      <c r="AK151" s="18">
        <v>5070.2610000000004</v>
      </c>
      <c r="AL151" s="18">
        <v>5078.6080000000002</v>
      </c>
      <c r="AM151" s="18">
        <v>5083.6840000000002</v>
      </c>
      <c r="AN151" s="18">
        <v>5085.8490000000002</v>
      </c>
      <c r="AO151" s="18">
        <v>5086.05</v>
      </c>
      <c r="AP151" s="18">
        <v>5084.5529999999999</v>
      </c>
      <c r="AQ151" s="18">
        <v>5080.1279999999997</v>
      </c>
      <c r="AR151" s="18">
        <v>5072.4070000000002</v>
      </c>
      <c r="AS151" s="18">
        <v>5062.2650000000003</v>
      </c>
      <c r="AT151" s="18">
        <v>5051.0590000000002</v>
      </c>
      <c r="AU151" s="18">
        <v>5038.66</v>
      </c>
      <c r="AV151" s="18">
        <v>5026.4970000000003</v>
      </c>
      <c r="AW151" s="18">
        <v>5015.4719999999998</v>
      </c>
      <c r="AX151" s="18">
        <v>5005.1769999999997</v>
      </c>
      <c r="AY151" s="18">
        <v>4994.0990000000002</v>
      </c>
      <c r="AZ151" s="18">
        <v>4982.2889999999998</v>
      </c>
      <c r="BA151" s="18">
        <v>4971.76</v>
      </c>
      <c r="BB151" s="18">
        <v>4963.2860000000001</v>
      </c>
      <c r="BC151" s="18">
        <v>4955.9979999999996</v>
      </c>
      <c r="BD151" s="18">
        <v>4948.0050000000001</v>
      </c>
      <c r="BE151" s="18">
        <v>4939.3760000000002</v>
      </c>
      <c r="BF151" s="18">
        <v>4930.4549999999999</v>
      </c>
      <c r="BG151" s="18">
        <v>4921.1210000000001</v>
      </c>
      <c r="BH151" s="18">
        <v>4911.0280000000002</v>
      </c>
      <c r="BI151" s="18">
        <v>4899.777</v>
      </c>
      <c r="BJ151" s="18">
        <v>4887.2389999999996</v>
      </c>
      <c r="BK151" s="18">
        <v>4872.7879999999996</v>
      </c>
      <c r="BL151" s="18">
        <v>4855.9979999999996</v>
      </c>
      <c r="BM151" s="18">
        <v>4836.8649999999998</v>
      </c>
      <c r="BN151" s="18">
        <v>4815.232</v>
      </c>
      <c r="BO151" s="18">
        <v>4790.4390000000003</v>
      </c>
      <c r="BP151" s="18">
        <v>4764.2439999999997</v>
      </c>
      <c r="BQ151" s="18">
        <v>4737.2809999999999</v>
      </c>
      <c r="BR151" s="18">
        <v>4708.1679999999997</v>
      </c>
      <c r="BS151" s="18">
        <v>4674.7809999999999</v>
      </c>
      <c r="BT151" s="18">
        <v>4637.415</v>
      </c>
      <c r="BU151" s="18">
        <v>4593.5690000000004</v>
      </c>
      <c r="BV151" s="18">
        <v>4541.7430000000004</v>
      </c>
      <c r="BW151" s="18">
        <v>4482.7529999999997</v>
      </c>
      <c r="BX151" s="18">
        <v>4419.5929999999998</v>
      </c>
      <c r="BY151" s="18">
        <v>4352.4650000000001</v>
      </c>
      <c r="BZ151" s="18">
        <v>4276.9030000000002</v>
      </c>
      <c r="CA151" s="18">
        <v>4191.2420000000002</v>
      </c>
      <c r="CB151" s="18">
        <v>4097.7020000000002</v>
      </c>
      <c r="CC151" s="18">
        <v>3998.848</v>
      </c>
      <c r="CD151" s="18">
        <v>3892.5680000000002</v>
      </c>
      <c r="CE151" s="18">
        <v>3788.752</v>
      </c>
      <c r="CF151" s="18">
        <v>3692.0659999999998</v>
      </c>
      <c r="CG151" s="18">
        <v>3597.1779999999999</v>
      </c>
      <c r="CH151" s="18">
        <v>3493.1329999999998</v>
      </c>
      <c r="CI151" s="18">
        <v>3380.9679999999998</v>
      </c>
      <c r="CJ151" s="18">
        <v>3259.4940000000001</v>
      </c>
      <c r="CK151" s="18">
        <v>3126.6370000000002</v>
      </c>
      <c r="CL151" s="18">
        <v>2982.18</v>
      </c>
      <c r="CM151" s="18">
        <v>2822.2750000000001</v>
      </c>
      <c r="CN151" s="18">
        <v>2719.471</v>
      </c>
      <c r="CO151" s="18">
        <v>2551.453</v>
      </c>
      <c r="CP151" s="18">
        <v>2290.9430000000002</v>
      </c>
      <c r="CQ151" s="18">
        <v>1940.596</v>
      </c>
      <c r="CR151" s="18">
        <v>1680.884</v>
      </c>
      <c r="CS151" s="18">
        <v>1549.777</v>
      </c>
      <c r="CT151" s="18">
        <v>1376.075</v>
      </c>
      <c r="CU151" s="18">
        <v>1147.06</v>
      </c>
      <c r="CV151" s="18">
        <v>862.73099999999999</v>
      </c>
      <c r="CW151" s="18">
        <v>667.18799999999999</v>
      </c>
      <c r="CX151" s="18">
        <v>1713.6389999999999</v>
      </c>
      <c r="CY151" s="3">
        <f t="shared" si="257"/>
        <v>432882.96300000028</v>
      </c>
      <c r="CZ151" s="21">
        <f t="shared" si="173"/>
        <v>351813.43400000018</v>
      </c>
      <c r="DA151">
        <f t="shared" si="174"/>
        <v>1.3049120801907744E-2</v>
      </c>
      <c r="DB151">
        <f t="shared" si="175"/>
        <v>1.3140837026706596E-2</v>
      </c>
      <c r="DC151">
        <f t="shared" si="176"/>
        <v>1.3236870880831678E-2</v>
      </c>
      <c r="DD151">
        <f t="shared" si="177"/>
        <v>1.3336574293521712E-2</v>
      </c>
      <c r="DE151">
        <f t="shared" si="178"/>
        <v>1.3437812610646352E-2</v>
      </c>
      <c r="DF151">
        <f t="shared" si="179"/>
        <v>1.3539676259207307E-2</v>
      </c>
      <c r="DG151">
        <f t="shared" si="180"/>
        <v>1.3642659819522406E-2</v>
      </c>
      <c r="DH151">
        <f t="shared" si="181"/>
        <v>1.3745791185449722E-2</v>
      </c>
      <c r="DI151">
        <f t="shared" si="182"/>
        <v>1.3844079075161176E-2</v>
      </c>
      <c r="DJ151">
        <f t="shared" si="183"/>
        <v>1.3934794769661916E-2</v>
      </c>
      <c r="DK151">
        <f t="shared" si="184"/>
        <v>1.4018540861063303E-2</v>
      </c>
      <c r="DL151">
        <f t="shared" si="185"/>
        <v>1.4098708351199566E-2</v>
      </c>
      <c r="DM151">
        <f t="shared" si="186"/>
        <v>1.4174666223803145E-2</v>
      </c>
      <c r="DN151">
        <f t="shared" si="187"/>
        <v>1.4241181591718288E-2</v>
      </c>
      <c r="DO151">
        <f t="shared" si="188"/>
        <v>1.4295977680033666E-2</v>
      </c>
      <c r="DP151">
        <f t="shared" si="189"/>
        <v>1.4340643399080654E-2</v>
      </c>
      <c r="DQ151">
        <f t="shared" si="190"/>
        <v>1.4379382681560696E-2</v>
      </c>
      <c r="DR151">
        <f t="shared" si="191"/>
        <v>1.4411789062040188E-2</v>
      </c>
      <c r="DS151">
        <f t="shared" si="192"/>
        <v>1.4435514705217305E-2</v>
      </c>
      <c r="DT151">
        <f t="shared" si="193"/>
        <v>1.4449942806902585E-2</v>
      </c>
      <c r="DU151">
        <f t="shared" si="194"/>
        <v>1.4456096636719101E-2</v>
      </c>
      <c r="DV151">
        <f t="shared" si="195"/>
        <v>1.4456667962258649E-2</v>
      </c>
      <c r="DW151">
        <f t="shared" si="196"/>
        <v>1.4452412866076051E-2</v>
      </c>
      <c r="DX151">
        <f t="shared" si="197"/>
        <v>1.4439835176959152E-2</v>
      </c>
      <c r="DY151">
        <f t="shared" si="198"/>
        <v>1.4417888885959931E-2</v>
      </c>
      <c r="DZ151">
        <f t="shared" si="199"/>
        <v>1.4389061106745565E-2</v>
      </c>
      <c r="EA151">
        <f t="shared" si="200"/>
        <v>1.4357208997311903E-2</v>
      </c>
      <c r="EB151">
        <f t="shared" si="201"/>
        <v>1.4321965886044013E-2</v>
      </c>
      <c r="EC151">
        <f t="shared" si="202"/>
        <v>1.4287393584862361E-2</v>
      </c>
      <c r="ED151">
        <f t="shared" si="203"/>
        <v>1.4256055952655854E-2</v>
      </c>
      <c r="EE151">
        <f t="shared" si="204"/>
        <v>1.4226793283851681E-2</v>
      </c>
      <c r="EF151">
        <f t="shared" si="205"/>
        <v>1.4195305003617336E-2</v>
      </c>
      <c r="EG151">
        <f t="shared" si="206"/>
        <v>1.4161736075149414E-2</v>
      </c>
      <c r="EH151">
        <f t="shared" si="207"/>
        <v>1.4131808281090249E-2</v>
      </c>
      <c r="EI151">
        <f t="shared" si="208"/>
        <v>1.4107721651129437E-2</v>
      </c>
      <c r="EJ151">
        <f t="shared" si="209"/>
        <v>1.4087006126093517E-2</v>
      </c>
      <c r="EK151">
        <f t="shared" si="210"/>
        <v>1.4064286698045754E-2</v>
      </c>
      <c r="EL151">
        <f t="shared" si="211"/>
        <v>1.4039759493663899E-2</v>
      </c>
      <c r="EM151">
        <f t="shared" si="212"/>
        <v>1.4014402303921109E-2</v>
      </c>
      <c r="EN151">
        <f t="shared" si="213"/>
        <v>1.3987871196527411E-2</v>
      </c>
      <c r="EO151">
        <f t="shared" si="214"/>
        <v>1.3959182695678408E-2</v>
      </c>
      <c r="EP151">
        <f t="shared" si="215"/>
        <v>1.3927202677541863E-2</v>
      </c>
      <c r="EQ151">
        <f t="shared" si="216"/>
        <v>1.3891564470502844E-2</v>
      </c>
      <c r="ER151">
        <f t="shared" si="217"/>
        <v>1.3850488722383458E-2</v>
      </c>
      <c r="ES151">
        <f t="shared" si="218"/>
        <v>1.380276456412974E-2</v>
      </c>
      <c r="ET151">
        <f t="shared" si="219"/>
        <v>1.3748380626079212E-2</v>
      </c>
      <c r="EU151">
        <f t="shared" si="220"/>
        <v>1.3686890648979587E-2</v>
      </c>
      <c r="EV151">
        <f t="shared" si="221"/>
        <v>1.3616418638521911E-2</v>
      </c>
      <c r="EW151">
        <f t="shared" si="222"/>
        <v>1.3541961561365497E-2</v>
      </c>
      <c r="EX151">
        <f t="shared" si="223"/>
        <v>1.3465321509013205E-2</v>
      </c>
      <c r="EY151">
        <f t="shared" si="224"/>
        <v>1.3382570263078689E-2</v>
      </c>
      <c r="EZ151">
        <f t="shared" si="225"/>
        <v>1.3287670532785845E-2</v>
      </c>
      <c r="FA151">
        <f t="shared" si="226"/>
        <v>1.318146083074246E-2</v>
      </c>
      <c r="FB151">
        <f t="shared" si="227"/>
        <v>1.3056832275483824E-2</v>
      </c>
      <c r="FC151">
        <f t="shared" si="228"/>
        <v>1.2909521243580477E-2</v>
      </c>
      <c r="FD151">
        <f t="shared" si="229"/>
        <v>1.2741847146178042E-2</v>
      </c>
      <c r="FE151">
        <f t="shared" si="230"/>
        <v>1.2562320175641722E-2</v>
      </c>
      <c r="FF151">
        <f t="shared" si="231"/>
        <v>1.237151449992668E-2</v>
      </c>
      <c r="FG151">
        <f t="shared" si="232"/>
        <v>1.2156735890875611E-2</v>
      </c>
      <c r="FH151">
        <f t="shared" si="233"/>
        <v>1.1913251726481821E-2</v>
      </c>
      <c r="FI151">
        <f t="shared" si="234"/>
        <v>1.1647372169420904E-2</v>
      </c>
      <c r="FJ151">
        <f t="shared" si="235"/>
        <v>1.1366388015757232E-2</v>
      </c>
      <c r="FK151">
        <f t="shared" si="236"/>
        <v>1.1064296083702132E-2</v>
      </c>
      <c r="FL151">
        <f t="shared" si="237"/>
        <v>1.0769207863733816E-2</v>
      </c>
      <c r="FM151">
        <f t="shared" si="238"/>
        <v>1.0494386067133519E-2</v>
      </c>
      <c r="FN151">
        <f t="shared" si="239"/>
        <v>1.022467493381733E-2</v>
      </c>
      <c r="FO151">
        <f t="shared" si="240"/>
        <v>9.9289358006721205E-3</v>
      </c>
      <c r="FP151">
        <f t="shared" si="241"/>
        <v>9.6101162526954498E-3</v>
      </c>
      <c r="FQ151">
        <f t="shared" si="242"/>
        <v>9.2648366577155732E-3</v>
      </c>
      <c r="FR151">
        <f t="shared" si="243"/>
        <v>8.8872018457373594E-3</v>
      </c>
      <c r="FS151">
        <f t="shared" si="244"/>
        <v>8.476595012571345E-3</v>
      </c>
      <c r="FT151">
        <f t="shared" si="245"/>
        <v>8.0220785429131695E-3</v>
      </c>
      <c r="FU151">
        <f t="shared" si="246"/>
        <v>7.729866847551929E-3</v>
      </c>
      <c r="FV151">
        <f t="shared" si="247"/>
        <v>7.2522898599716307E-3</v>
      </c>
      <c r="FW151">
        <f t="shared" si="248"/>
        <v>6.5118121668997974E-3</v>
      </c>
      <c r="FX151">
        <f t="shared" si="249"/>
        <v>5.5159803818065657E-3</v>
      </c>
      <c r="FY151">
        <f t="shared" si="250"/>
        <v>4.7777709363992027E-3</v>
      </c>
      <c r="FZ151">
        <f t="shared" si="251"/>
        <v>4.4051103517553543E-3</v>
      </c>
      <c r="GA151">
        <f t="shared" si="252"/>
        <v>3.9113770737930357E-3</v>
      </c>
      <c r="GB151">
        <f t="shared" si="253"/>
        <v>3.2604212606616931E-3</v>
      </c>
      <c r="GC151">
        <f t="shared" si="254"/>
        <v>2.4522400699457073E-3</v>
      </c>
      <c r="GD151">
        <f t="shared" si="255"/>
        <v>1.8964255924348802E-3</v>
      </c>
      <c r="GE151">
        <f t="shared" si="256"/>
        <v>4.8708742600204373E-3</v>
      </c>
    </row>
    <row r="152" spans="1:187">
      <c r="A152" s="15">
        <v>2100</v>
      </c>
      <c r="B152" s="18">
        <v>4480.9290000000001</v>
      </c>
      <c r="C152" s="18">
        <v>4498.09</v>
      </c>
      <c r="D152" s="18">
        <v>4509.232</v>
      </c>
      <c r="E152" s="18">
        <v>4515.2380000000003</v>
      </c>
      <c r="F152" s="18">
        <v>4516.9840000000004</v>
      </c>
      <c r="G152" s="18">
        <v>4515.3540000000003</v>
      </c>
      <c r="H152" s="18">
        <v>4511.2269999999999</v>
      </c>
      <c r="I152" s="18">
        <v>4505.4840000000004</v>
      </c>
      <c r="J152" s="18">
        <v>4499.0039999999999</v>
      </c>
      <c r="K152" s="18">
        <v>4492.6679999999997</v>
      </c>
      <c r="L152" s="18">
        <v>4486.5020000000004</v>
      </c>
      <c r="M152" s="18">
        <v>4480.5309999999999</v>
      </c>
      <c r="N152" s="18">
        <v>4479.91</v>
      </c>
      <c r="O152" s="18">
        <v>4487.2250000000004</v>
      </c>
      <c r="P152" s="18">
        <v>4500.7960000000003</v>
      </c>
      <c r="Q152" s="18">
        <v>4515.6099999999997</v>
      </c>
      <c r="R152" s="18">
        <v>4531.7889999999998</v>
      </c>
      <c r="S152" s="18">
        <v>4554.0259999999998</v>
      </c>
      <c r="T152" s="18">
        <v>4583.875</v>
      </c>
      <c r="U152" s="18">
        <v>4619.0720000000001</v>
      </c>
      <c r="V152" s="18">
        <v>4655.4210000000003</v>
      </c>
      <c r="W152" s="18">
        <v>4693.3059999999996</v>
      </c>
      <c r="X152" s="18">
        <v>4730.9660000000003</v>
      </c>
      <c r="Y152" s="18">
        <v>4766.9459999999999</v>
      </c>
      <c r="Z152" s="18">
        <v>4801.5839999999998</v>
      </c>
      <c r="AA152" s="18">
        <v>4836.4840000000004</v>
      </c>
      <c r="AB152" s="18">
        <v>4871.1040000000003</v>
      </c>
      <c r="AC152" s="18">
        <v>4903.7269999999999</v>
      </c>
      <c r="AD152" s="18">
        <v>4933.5810000000001</v>
      </c>
      <c r="AE152" s="18">
        <v>4960.8739999999998</v>
      </c>
      <c r="AF152" s="18">
        <v>4986.6109999999999</v>
      </c>
      <c r="AG152" s="18">
        <v>5010.62</v>
      </c>
      <c r="AH152" s="18">
        <v>5031.4870000000001</v>
      </c>
      <c r="AI152" s="18">
        <v>5048.616</v>
      </c>
      <c r="AJ152" s="18">
        <v>5062.4440000000004</v>
      </c>
      <c r="AK152" s="18">
        <v>5074.1220000000003</v>
      </c>
      <c r="AL152" s="18">
        <v>5083.5680000000002</v>
      </c>
      <c r="AM152" s="18">
        <v>5090.1120000000001</v>
      </c>
      <c r="AN152" s="18">
        <v>5093.5889999999999</v>
      </c>
      <c r="AO152" s="18">
        <v>5094.3090000000002</v>
      </c>
      <c r="AP152" s="18">
        <v>5093.1210000000001</v>
      </c>
      <c r="AQ152" s="18">
        <v>5090.2950000000001</v>
      </c>
      <c r="AR152" s="18">
        <v>5084.6220000000003</v>
      </c>
      <c r="AS152" s="18">
        <v>5075.7259999999997</v>
      </c>
      <c r="AT152" s="18">
        <v>5064.4690000000001</v>
      </c>
      <c r="AU152" s="18">
        <v>5052.1930000000002</v>
      </c>
      <c r="AV152" s="18">
        <v>5038.7640000000001</v>
      </c>
      <c r="AW152" s="18">
        <v>5025.5839999999998</v>
      </c>
      <c r="AX152" s="18">
        <v>5013.5330000000004</v>
      </c>
      <c r="AY152" s="18">
        <v>5002.2089999999998</v>
      </c>
      <c r="AZ152" s="18">
        <v>4990.1170000000002</v>
      </c>
      <c r="BA152" s="18">
        <v>4977.308</v>
      </c>
      <c r="BB152" s="18">
        <v>4965.7380000000003</v>
      </c>
      <c r="BC152" s="18">
        <v>4956.1570000000002</v>
      </c>
      <c r="BD152" s="18">
        <v>4947.7160000000003</v>
      </c>
      <c r="BE152" s="18">
        <v>4938.567</v>
      </c>
      <c r="BF152" s="18">
        <v>4928.7719999999999</v>
      </c>
      <c r="BG152" s="18">
        <v>4918.6809999999996</v>
      </c>
      <c r="BH152" s="18">
        <v>4908.1859999999997</v>
      </c>
      <c r="BI152" s="18">
        <v>4896.9309999999996</v>
      </c>
      <c r="BJ152" s="18">
        <v>4884.4859999999999</v>
      </c>
      <c r="BK152" s="18">
        <v>4870.7169999999996</v>
      </c>
      <c r="BL152" s="18">
        <v>4855.0550000000003</v>
      </c>
      <c r="BM152" s="18">
        <v>4837.0990000000002</v>
      </c>
      <c r="BN152" s="18">
        <v>4816.8090000000002</v>
      </c>
      <c r="BO152" s="18">
        <v>4793.9399999999996</v>
      </c>
      <c r="BP152" s="18">
        <v>4767.8190000000004</v>
      </c>
      <c r="BQ152" s="18">
        <v>4740.268</v>
      </c>
      <c r="BR152" s="18">
        <v>4711.9319999999998</v>
      </c>
      <c r="BS152" s="18">
        <v>4681.38</v>
      </c>
      <c r="BT152" s="18">
        <v>4646.3770000000004</v>
      </c>
      <c r="BU152" s="18">
        <v>4607.1880000000001</v>
      </c>
      <c r="BV152" s="18">
        <v>4561.3879999999999</v>
      </c>
      <c r="BW152" s="18">
        <v>4507.4809999999998</v>
      </c>
      <c r="BX152" s="18">
        <v>4446.2089999999998</v>
      </c>
      <c r="BY152" s="18">
        <v>4380.4089999999997</v>
      </c>
      <c r="BZ152" s="18">
        <v>4310.2349999999997</v>
      </c>
      <c r="CA152" s="18">
        <v>4231.3130000000001</v>
      </c>
      <c r="CB152" s="18">
        <v>4141.9830000000002</v>
      </c>
      <c r="CC152" s="18">
        <v>4044.3530000000001</v>
      </c>
      <c r="CD152" s="18">
        <v>3940.873</v>
      </c>
      <c r="CE152" s="18">
        <v>3829.4690000000001</v>
      </c>
      <c r="CF152" s="18">
        <v>3719.5920000000001</v>
      </c>
      <c r="CG152" s="18">
        <v>3615.683</v>
      </c>
      <c r="CH152" s="18">
        <v>3512.5790000000002</v>
      </c>
      <c r="CI152" s="18">
        <v>3400.0749999999998</v>
      </c>
      <c r="CJ152" s="18">
        <v>3279.4870000000001</v>
      </c>
      <c r="CK152" s="18">
        <v>3147.8310000000001</v>
      </c>
      <c r="CL152" s="18">
        <v>3002.355</v>
      </c>
      <c r="CM152" s="18">
        <v>2843.8879999999999</v>
      </c>
      <c r="CN152" s="18">
        <v>2668.1790000000001</v>
      </c>
      <c r="CO152" s="18">
        <v>2564.875</v>
      </c>
      <c r="CP152" s="18">
        <v>2388.0709999999999</v>
      </c>
      <c r="CQ152" s="18">
        <v>2106.9</v>
      </c>
      <c r="CR152" s="18">
        <v>1721.3620000000001</v>
      </c>
      <c r="CS152" s="18">
        <v>1453.4680000000001</v>
      </c>
      <c r="CT152" s="18">
        <v>1332.2750000000001</v>
      </c>
      <c r="CU152" s="18">
        <v>1162.3510000000001</v>
      </c>
      <c r="CV152" s="18">
        <v>943.69299999999998</v>
      </c>
      <c r="CW152" s="18">
        <v>676.303</v>
      </c>
      <c r="CX152" s="18">
        <v>1726.4349999999999</v>
      </c>
      <c r="CY152" s="3">
        <f t="shared" si="257"/>
        <v>433853.89100000006</v>
      </c>
      <c r="CZ152" s="21">
        <f t="shared" si="173"/>
        <v>352773.29200000013</v>
      </c>
      <c r="DA152">
        <f>T152/$CZ152</f>
        <v>1.2993826641502096E-2</v>
      </c>
      <c r="DB152">
        <f t="shared" si="175"/>
        <v>1.309359893378776E-2</v>
      </c>
      <c r="DC152">
        <f>V152/$CZ152</f>
        <v>1.3196636779407888E-2</v>
      </c>
      <c r="DD152">
        <f t="shared" si="177"/>
        <v>1.330402869614063E-2</v>
      </c>
      <c r="DE152">
        <f t="shared" si="178"/>
        <v>1.3410782809487739E-2</v>
      </c>
      <c r="DF152">
        <f t="shared" si="179"/>
        <v>1.351277465755542E-2</v>
      </c>
      <c r="DG152">
        <f t="shared" si="180"/>
        <v>1.3610962362762989E-2</v>
      </c>
      <c r="DH152">
        <f t="shared" si="181"/>
        <v>1.3709892754579614E-2</v>
      </c>
      <c r="DI152">
        <f t="shared" si="182"/>
        <v>1.3808029435516333E-2</v>
      </c>
      <c r="DJ152">
        <f t="shared" si="183"/>
        <v>1.3900505257070307E-2</v>
      </c>
      <c r="DK152">
        <f t="shared" si="184"/>
        <v>1.3985131844958372E-2</v>
      </c>
      <c r="DL152">
        <f t="shared" si="185"/>
        <v>1.4062498812977026E-2</v>
      </c>
      <c r="DM152">
        <f t="shared" si="186"/>
        <v>1.4135455016248787E-2</v>
      </c>
      <c r="DN152">
        <f t="shared" si="187"/>
        <v>1.4203512889518852E-2</v>
      </c>
      <c r="DO152">
        <f t="shared" si="188"/>
        <v>1.4262664192843709E-2</v>
      </c>
      <c r="DP152">
        <f t="shared" si="189"/>
        <v>1.4311219455921845E-2</v>
      </c>
      <c r="DQ152">
        <f t="shared" si="190"/>
        <v>1.4350417434662255E-2</v>
      </c>
      <c r="DR152">
        <f t="shared" si="191"/>
        <v>1.4383520847717685E-2</v>
      </c>
      <c r="DS152">
        <f t="shared" si="192"/>
        <v>1.4410297251187594E-2</v>
      </c>
      <c r="DT152">
        <f t="shared" si="193"/>
        <v>1.4428847408323639E-2</v>
      </c>
      <c r="DU152">
        <f t="shared" si="194"/>
        <v>1.4438703596643019E-2</v>
      </c>
      <c r="DV152">
        <f t="shared" si="195"/>
        <v>1.4440744567477059E-2</v>
      </c>
      <c r="DW152">
        <f t="shared" si="196"/>
        <v>1.4437376965600894E-2</v>
      </c>
      <c r="DX152">
        <f t="shared" si="197"/>
        <v>1.442936615507729E-2</v>
      </c>
      <c r="DY152">
        <f t="shared" si="198"/>
        <v>1.441328500571409E-2</v>
      </c>
      <c r="DZ152">
        <f t="shared" si="199"/>
        <v>1.4388067677186847E-2</v>
      </c>
      <c r="EA152">
        <f t="shared" si="200"/>
        <v>1.4356157665132988E-2</v>
      </c>
      <c r="EB152">
        <f t="shared" si="201"/>
        <v>1.4321359112412621E-2</v>
      </c>
      <c r="EC152">
        <f t="shared" si="202"/>
        <v>1.4283292171676076E-2</v>
      </c>
      <c r="ED152">
        <f t="shared" si="203"/>
        <v>1.42459310666863E-2</v>
      </c>
      <c r="EE152">
        <f t="shared" si="204"/>
        <v>1.4211770317351571E-2</v>
      </c>
      <c r="EF152">
        <f t="shared" si="205"/>
        <v>1.4179670381622876E-2</v>
      </c>
      <c r="EG152">
        <f t="shared" si="206"/>
        <v>1.4145393410337872E-2</v>
      </c>
      <c r="EH152">
        <f t="shared" si="207"/>
        <v>1.4109083972263972E-2</v>
      </c>
      <c r="EI152">
        <f t="shared" si="208"/>
        <v>1.4076286704833648E-2</v>
      </c>
      <c r="EJ152">
        <f t="shared" si="209"/>
        <v>1.4049127619332356E-2</v>
      </c>
      <c r="EK152">
        <f t="shared" si="210"/>
        <v>1.4025200070984961E-2</v>
      </c>
      <c r="EL152">
        <f t="shared" si="211"/>
        <v>1.3999265567984092E-2</v>
      </c>
      <c r="EM152">
        <f t="shared" si="212"/>
        <v>1.3971499860596016E-2</v>
      </c>
      <c r="EN152">
        <f t="shared" si="213"/>
        <v>1.3942895087420614E-2</v>
      </c>
      <c r="EO152">
        <f t="shared" si="214"/>
        <v>1.3913145102832779E-2</v>
      </c>
      <c r="EP152">
        <f t="shared" si="215"/>
        <v>1.3881240760142346E-2</v>
      </c>
      <c r="EQ152">
        <f t="shared" si="216"/>
        <v>1.3845963146212321E-2</v>
      </c>
      <c r="ER152">
        <f t="shared" si="217"/>
        <v>1.3806932413693036E-2</v>
      </c>
      <c r="ES152">
        <f t="shared" si="218"/>
        <v>1.3762535628689256E-2</v>
      </c>
      <c r="ET152">
        <f t="shared" si="219"/>
        <v>1.3711636083833689E-2</v>
      </c>
      <c r="EU152">
        <f t="shared" si="220"/>
        <v>1.3654120391857778E-2</v>
      </c>
      <c r="EV152">
        <f t="shared" si="221"/>
        <v>1.3589294055741606E-2</v>
      </c>
      <c r="EW152">
        <f t="shared" si="222"/>
        <v>1.3515249334691695E-2</v>
      </c>
      <c r="EX152">
        <f t="shared" si="223"/>
        <v>1.343715101879084E-2</v>
      </c>
      <c r="EY152">
        <f t="shared" si="224"/>
        <v>1.335682747774454E-2</v>
      </c>
      <c r="EZ152">
        <f t="shared" si="225"/>
        <v>1.3270222282020143E-2</v>
      </c>
      <c r="FA152">
        <f t="shared" si="226"/>
        <v>1.3170999917986984E-2</v>
      </c>
      <c r="FB152">
        <f t="shared" si="227"/>
        <v>1.3059911576299257E-2</v>
      </c>
      <c r="FC152">
        <f t="shared" si="228"/>
        <v>1.2930083153800651E-2</v>
      </c>
      <c r="FD152">
        <f t="shared" si="229"/>
        <v>1.2777273966647107E-2</v>
      </c>
      <c r="FE152">
        <f t="shared" si="230"/>
        <v>1.260358734867037E-2</v>
      </c>
      <c r="FF152">
        <f t="shared" si="231"/>
        <v>1.2417065291892897E-2</v>
      </c>
      <c r="FG152">
        <f t="shared" si="232"/>
        <v>1.2218144337298635E-2</v>
      </c>
      <c r="FH152">
        <f t="shared" si="233"/>
        <v>1.1994425587070799E-2</v>
      </c>
      <c r="FI152">
        <f t="shared" si="234"/>
        <v>1.174120346956424E-2</v>
      </c>
      <c r="FJ152">
        <f t="shared" si="235"/>
        <v>1.1464453493831949E-2</v>
      </c>
      <c r="FK152">
        <f t="shared" si="236"/>
        <v>1.1171120630073091E-2</v>
      </c>
      <c r="FL152">
        <f t="shared" si="237"/>
        <v>1.0855325748412945E-2</v>
      </c>
      <c r="FM152">
        <f t="shared" si="238"/>
        <v>1.0543859425729992E-2</v>
      </c>
      <c r="FN152">
        <f t="shared" si="239"/>
        <v>1.0249310483515852E-2</v>
      </c>
      <c r="FO152">
        <f t="shared" si="240"/>
        <v>9.957043460081437E-3</v>
      </c>
      <c r="FP152">
        <f t="shared" si="241"/>
        <v>9.6381304285359515E-3</v>
      </c>
      <c r="FQ152">
        <f t="shared" si="242"/>
        <v>9.2963018300149507E-3</v>
      </c>
      <c r="FR152">
        <f t="shared" si="243"/>
        <v>8.9230989742840258E-3</v>
      </c>
      <c r="FS152">
        <f t="shared" si="244"/>
        <v>8.5107208172664015E-3</v>
      </c>
      <c r="FT152">
        <f t="shared" si="245"/>
        <v>8.0615173101029388E-3</v>
      </c>
      <c r="FU152">
        <f t="shared" si="246"/>
        <v>7.5634382208276674E-3</v>
      </c>
      <c r="FV152">
        <f t="shared" si="247"/>
        <v>7.2706042610504625E-3</v>
      </c>
      <c r="FW152">
        <f t="shared" si="248"/>
        <v>6.769421195298421E-3</v>
      </c>
      <c r="FX152">
        <f t="shared" si="249"/>
        <v>5.9723909031072549E-3</v>
      </c>
      <c r="FY152">
        <f t="shared" si="250"/>
        <v>4.8795133844769618E-3</v>
      </c>
      <c r="FZ152">
        <f t="shared" si="251"/>
        <v>4.1201191614018201E-3</v>
      </c>
      <c r="GA152">
        <f t="shared" si="252"/>
        <v>3.7765755804438834E-3</v>
      </c>
      <c r="GB152">
        <f t="shared" si="253"/>
        <v>3.294895124883773E-3</v>
      </c>
      <c r="GC152">
        <f t="shared" si="254"/>
        <v>2.6750692906763462E-3</v>
      </c>
      <c r="GD152">
        <f t="shared" si="255"/>
        <v>1.9171037471850327E-3</v>
      </c>
      <c r="GE152">
        <f t="shared" si="256"/>
        <v>4.8938937248117955E-3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2FFE-0605-4702-A66D-0767E34682D5}">
  <dimension ref="A1:E72"/>
  <sheetViews>
    <sheetView zoomScale="84" zoomScaleNormal="100" workbookViewId="0">
      <selection sqref="A1:E1048576"/>
    </sheetView>
  </sheetViews>
  <sheetFormatPr baseColWidth="10" defaultColWidth="8.83203125" defaultRowHeight="15"/>
  <cols>
    <col min="1" max="1" width="8.6640625" style="3"/>
    <col min="2" max="2" width="14.33203125" style="11" customWidth="1"/>
    <col min="3" max="3" width="21.33203125" style="11" customWidth="1"/>
    <col min="4" max="4" width="12.83203125" style="11" customWidth="1"/>
    <col min="5" max="5" width="8.6640625" style="11"/>
  </cols>
  <sheetData>
    <row r="1" spans="1:5">
      <c r="A1" s="2" t="s">
        <v>104</v>
      </c>
      <c r="B1" s="11" t="s">
        <v>118</v>
      </c>
      <c r="C1" s="11" t="s">
        <v>114</v>
      </c>
      <c r="D1" s="11" t="s">
        <v>108</v>
      </c>
      <c r="E1" s="11" t="s">
        <v>110</v>
      </c>
    </row>
    <row r="2" spans="1:5">
      <c r="A2" s="4">
        <v>1950</v>
      </c>
      <c r="B2" s="11">
        <v>8.9950217184477599E-2</v>
      </c>
    </row>
    <row r="3" spans="1:5">
      <c r="A3" s="4">
        <v>1951</v>
      </c>
      <c r="B3" s="11">
        <v>0.10217443698063451</v>
      </c>
    </row>
    <row r="4" spans="1:5">
      <c r="A4" s="4">
        <v>1952</v>
      </c>
      <c r="B4" s="11">
        <v>0.11384140016980632</v>
      </c>
    </row>
    <row r="5" spans="1:5">
      <c r="A5" s="4">
        <v>1953</v>
      </c>
      <c r="B5" s="11">
        <v>0.12498380748559609</v>
      </c>
    </row>
    <row r="6" spans="1:5">
      <c r="A6" s="4">
        <v>1954</v>
      </c>
      <c r="B6" s="11">
        <v>0.13561787709219092</v>
      </c>
    </row>
    <row r="7" spans="1:5">
      <c r="A7" s="4">
        <v>1955</v>
      </c>
      <c r="B7" s="11">
        <v>0.1458304211500602</v>
      </c>
    </row>
    <row r="8" spans="1:5">
      <c r="A8" s="4">
        <v>1956</v>
      </c>
      <c r="B8" s="11">
        <v>0.15718856390411612</v>
      </c>
    </row>
    <row r="9" spans="1:5">
      <c r="A9" s="4">
        <v>1957</v>
      </c>
      <c r="B9" s="11">
        <v>0.16846020356837871</v>
      </c>
    </row>
    <row r="10" spans="1:5">
      <c r="A10" s="4">
        <v>1958</v>
      </c>
      <c r="B10" s="11">
        <v>0.17979989500099913</v>
      </c>
    </row>
    <row r="11" spans="1:5">
      <c r="A11" s="4">
        <v>1959</v>
      </c>
      <c r="B11" s="11">
        <v>0.19127853792804708</v>
      </c>
    </row>
    <row r="12" spans="1:5">
      <c r="A12" s="4">
        <v>1960</v>
      </c>
      <c r="B12" s="11">
        <v>0.2029068784440837</v>
      </c>
    </row>
    <row r="13" spans="1:5">
      <c r="A13" s="4">
        <v>1961</v>
      </c>
      <c r="B13" s="11">
        <v>0.21477525566433708</v>
      </c>
    </row>
    <row r="14" spans="1:5">
      <c r="A14" s="4">
        <v>1962</v>
      </c>
      <c r="B14" s="11">
        <v>0.22732043175259856</v>
      </c>
    </row>
    <row r="15" spans="1:5">
      <c r="A15" s="4">
        <v>1963</v>
      </c>
      <c r="B15" s="11">
        <v>0.24055333541268689</v>
      </c>
    </row>
    <row r="16" spans="1:5">
      <c r="A16" s="4">
        <v>1964</v>
      </c>
      <c r="B16" s="11">
        <v>0.23814191240207883</v>
      </c>
      <c r="C16" s="11">
        <v>1.6197686769278238E-2</v>
      </c>
    </row>
    <row r="17" spans="1:3">
      <c r="A17" s="4">
        <v>1965</v>
      </c>
      <c r="B17" s="11">
        <v>0.23580195506237084</v>
      </c>
      <c r="C17" s="11">
        <v>3.2816698880312523E-2</v>
      </c>
    </row>
    <row r="18" spans="1:3">
      <c r="A18" s="4">
        <v>1966</v>
      </c>
      <c r="B18" s="11">
        <v>0.23377491929498667</v>
      </c>
      <c r="C18" s="11">
        <v>4.95336504342637E-2</v>
      </c>
    </row>
    <row r="19" spans="1:3">
      <c r="A19" s="4">
        <v>1967</v>
      </c>
      <c r="B19" s="11">
        <v>0.2318141253184367</v>
      </c>
      <c r="C19" s="11">
        <v>6.6210164718749687E-2</v>
      </c>
    </row>
    <row r="20" spans="1:3">
      <c r="A20" s="4">
        <v>1968</v>
      </c>
      <c r="B20" s="11">
        <v>0.22990201012648057</v>
      </c>
      <c r="C20" s="11">
        <v>8.2830375259280886E-2</v>
      </c>
    </row>
    <row r="21" spans="1:3">
      <c r="A21" s="4">
        <v>1969</v>
      </c>
      <c r="B21" s="11">
        <v>0.22803770372422652</v>
      </c>
      <c r="C21" s="11">
        <v>9.9482823964799141E-2</v>
      </c>
    </row>
    <row r="22" spans="1:3">
      <c r="A22" s="4">
        <v>1970</v>
      </c>
      <c r="B22" s="11">
        <v>0.22622474540284623</v>
      </c>
      <c r="C22" s="11">
        <v>0.11623478485904516</v>
      </c>
    </row>
    <row r="23" spans="1:3">
      <c r="A23" s="4">
        <v>1971</v>
      </c>
      <c r="B23" s="11">
        <v>0.22436186880469847</v>
      </c>
      <c r="C23" s="11">
        <v>0.1344179662650942</v>
      </c>
    </row>
    <row r="24" spans="1:3">
      <c r="A24" s="4">
        <v>1972</v>
      </c>
      <c r="B24" s="11">
        <v>0.22240817447176828</v>
      </c>
      <c r="C24" s="11">
        <v>0.15266411013973594</v>
      </c>
    </row>
    <row r="25" spans="1:3">
      <c r="A25" s="4">
        <v>1973</v>
      </c>
      <c r="B25" s="11">
        <v>0.22045703694495514</v>
      </c>
      <c r="C25" s="11">
        <v>0.17097737561940177</v>
      </c>
    </row>
    <row r="26" spans="1:3">
      <c r="A26" s="4">
        <v>1974</v>
      </c>
      <c r="B26" s="11">
        <v>0.21859347947647514</v>
      </c>
      <c r="C26" s="11">
        <v>0.18937211761488609</v>
      </c>
    </row>
    <row r="27" spans="1:3">
      <c r="A27" s="4">
        <v>1975</v>
      </c>
      <c r="B27" s="11">
        <v>0.21683220266453665</v>
      </c>
      <c r="C27" s="11">
        <v>0.20783430804781339</v>
      </c>
    </row>
    <row r="28" spans="1:3">
      <c r="A28" s="4">
        <v>1976</v>
      </c>
      <c r="B28" s="11">
        <v>0.21361437986421478</v>
      </c>
      <c r="C28" s="11">
        <v>0.22571984936913381</v>
      </c>
    </row>
    <row r="29" spans="1:3">
      <c r="A29" s="4">
        <v>1977</v>
      </c>
      <c r="B29" s="11">
        <v>0.21055784723319371</v>
      </c>
      <c r="C29" s="11">
        <v>0.24355508771459963</v>
      </c>
    </row>
    <row r="30" spans="1:3">
      <c r="A30" s="4">
        <v>1978</v>
      </c>
      <c r="B30" s="11">
        <v>0.20760215549095012</v>
      </c>
      <c r="C30" s="11">
        <v>0.26123365198611531</v>
      </c>
    </row>
    <row r="31" spans="1:3">
      <c r="A31" s="4">
        <v>1979</v>
      </c>
      <c r="B31" s="11">
        <v>0.20466012124668928</v>
      </c>
      <c r="C31" s="11">
        <v>0.27867237273925005</v>
      </c>
    </row>
    <row r="32" spans="1:3">
      <c r="A32" s="4">
        <v>1980</v>
      </c>
      <c r="B32" s="11">
        <v>0.20168575098541733</v>
      </c>
      <c r="C32" s="11">
        <v>0.29582122969006469</v>
      </c>
    </row>
    <row r="33" spans="1:4">
      <c r="A33" s="4">
        <v>1981</v>
      </c>
      <c r="B33" s="11">
        <v>0.19942295686986394</v>
      </c>
      <c r="C33" s="11">
        <v>0.31231536850705865</v>
      </c>
    </row>
    <row r="34" spans="1:4">
      <c r="A34" s="4">
        <v>1982</v>
      </c>
      <c r="B34" s="11">
        <v>0.19715270323473744</v>
      </c>
      <c r="C34" s="11">
        <v>0.32812586878375183</v>
      </c>
    </row>
    <row r="35" spans="1:4">
      <c r="A35" s="4">
        <v>1983</v>
      </c>
      <c r="B35" s="11">
        <v>0.19485968738344187</v>
      </c>
      <c r="C35" s="11">
        <v>0.3257604546902203</v>
      </c>
      <c r="D35" s="11">
        <v>1.7392165807096006E-2</v>
      </c>
    </row>
    <row r="36" spans="1:4">
      <c r="A36" s="4">
        <v>1984</v>
      </c>
      <c r="B36" s="11">
        <v>0.19255471224669801</v>
      </c>
      <c r="C36" s="11">
        <v>0.32334684741843439</v>
      </c>
      <c r="D36" s="11">
        <v>3.4102226375032761E-2</v>
      </c>
    </row>
    <row r="37" spans="1:4">
      <c r="A37" s="4">
        <v>1985</v>
      </c>
      <c r="B37" s="11">
        <v>0.19024313040863705</v>
      </c>
      <c r="C37" s="11">
        <v>0.32089208365401606</v>
      </c>
      <c r="D37" s="11">
        <v>5.0155267890385366E-2</v>
      </c>
    </row>
    <row r="38" spans="1:4">
      <c r="A38" s="4">
        <v>1986</v>
      </c>
      <c r="B38" s="11">
        <v>0.18743173515672604</v>
      </c>
      <c r="C38" s="11">
        <v>0.31821429297150666</v>
      </c>
      <c r="D38" s="11">
        <v>6.5522316100240549E-2</v>
      </c>
    </row>
    <row r="39" spans="1:4">
      <c r="A39" s="4">
        <v>1987</v>
      </c>
      <c r="B39" s="11">
        <v>0.18464691157553906</v>
      </c>
      <c r="C39" s="11">
        <v>0.3155404807078705</v>
      </c>
      <c r="D39" s="11">
        <v>8.0383597362168296E-2</v>
      </c>
    </row>
    <row r="40" spans="1:4">
      <c r="A40" s="4">
        <v>1988</v>
      </c>
      <c r="B40" s="11">
        <v>0.18187960672615108</v>
      </c>
      <c r="C40" s="11">
        <v>0.31285692512860497</v>
      </c>
      <c r="D40" s="11">
        <v>9.4822742815404898E-2</v>
      </c>
    </row>
    <row r="41" spans="1:4">
      <c r="A41" s="4">
        <v>1989</v>
      </c>
      <c r="B41" s="11">
        <v>0.17912289554340785</v>
      </c>
      <c r="C41" s="11">
        <v>0.3101537494668804</v>
      </c>
      <c r="D41" s="11">
        <v>0.10887078555825204</v>
      </c>
    </row>
    <row r="42" spans="1:4">
      <c r="A42" s="4">
        <v>1990</v>
      </c>
      <c r="B42" s="11">
        <v>0.17637752458886607</v>
      </c>
      <c r="C42" s="11">
        <v>0.30743381327523289</v>
      </c>
      <c r="D42" s="11">
        <v>0.12257122451805341</v>
      </c>
    </row>
    <row r="43" spans="1:4">
      <c r="A43" s="4">
        <v>1991</v>
      </c>
      <c r="B43" s="11">
        <v>0.17328052955705622</v>
      </c>
      <c r="C43" s="11">
        <v>0.30458149831760217</v>
      </c>
      <c r="D43" s="11">
        <v>0.1358060675022254</v>
      </c>
    </row>
    <row r="44" spans="1:4">
      <c r="A44" s="4">
        <v>1992</v>
      </c>
      <c r="B44" s="11">
        <v>0.17023078913451972</v>
      </c>
      <c r="C44" s="11">
        <v>0.30176224572378157</v>
      </c>
      <c r="D44" s="11">
        <v>0.14872131436025088</v>
      </c>
    </row>
    <row r="45" spans="1:4">
      <c r="A45" s="4">
        <v>1993</v>
      </c>
      <c r="B45" s="11">
        <v>0.16723443066567525</v>
      </c>
      <c r="C45" s="11">
        <v>0.29898766291479983</v>
      </c>
      <c r="D45" s="11">
        <v>0.16143611968198315</v>
      </c>
    </row>
    <row r="46" spans="1:4">
      <c r="A46" s="4">
        <v>1994</v>
      </c>
      <c r="B46" s="11">
        <v>0.16430331062696002</v>
      </c>
      <c r="C46" s="11">
        <v>0.29627919569801847</v>
      </c>
      <c r="D46" s="11">
        <v>0.17405818499826586</v>
      </c>
    </row>
    <row r="47" spans="1:4">
      <c r="A47" s="4">
        <v>1995</v>
      </c>
      <c r="B47" s="11">
        <v>0.16143472270592232</v>
      </c>
      <c r="C47" s="11">
        <v>0.29363291039101763</v>
      </c>
      <c r="D47" s="11">
        <v>0.18668167002516378</v>
      </c>
    </row>
    <row r="48" spans="1:4">
      <c r="A48" s="4">
        <v>1996</v>
      </c>
      <c r="B48" s="11">
        <v>0.15792936343214675</v>
      </c>
      <c r="C48" s="11">
        <v>0.29035509969686857</v>
      </c>
      <c r="D48" s="11">
        <v>0.19982123614672004</v>
      </c>
    </row>
    <row r="49" spans="1:5">
      <c r="A49" s="4">
        <v>1997</v>
      </c>
      <c r="B49" s="11">
        <v>0.15456757683348346</v>
      </c>
      <c r="C49" s="11">
        <v>0.28726479363932095</v>
      </c>
      <c r="D49" s="11">
        <v>0.21301105928309802</v>
      </c>
    </row>
    <row r="50" spans="1:5">
      <c r="A50" s="4">
        <v>1998</v>
      </c>
      <c r="B50" s="11">
        <v>0.15129109567021506</v>
      </c>
      <c r="C50" s="11">
        <v>0.28425886495506753</v>
      </c>
      <c r="D50" s="11">
        <v>0.22624044368748211</v>
      </c>
    </row>
    <row r="51" spans="1:5">
      <c r="A51" s="4">
        <v>1999</v>
      </c>
      <c r="B51" s="11">
        <v>0.14803305028615735</v>
      </c>
      <c r="C51" s="11">
        <v>0.28121347624253451</v>
      </c>
      <c r="D51" s="11">
        <v>0.22556935829995178</v>
      </c>
      <c r="E51" s="11">
        <v>1.388831707471988E-2</v>
      </c>
    </row>
    <row r="52" spans="1:5">
      <c r="A52" s="4">
        <v>2000</v>
      </c>
      <c r="B52" s="11">
        <v>0.14477252734340287</v>
      </c>
      <c r="C52" s="11">
        <v>0.27808761076257077</v>
      </c>
      <c r="D52" s="11">
        <v>0.22479101750385153</v>
      </c>
      <c r="E52" s="11">
        <v>2.7862417144406425E-2</v>
      </c>
    </row>
    <row r="53" spans="1:5">
      <c r="A53" s="4">
        <v>2001</v>
      </c>
      <c r="B53" s="11">
        <v>0.14146353627342984</v>
      </c>
      <c r="C53" s="11">
        <v>0.27526530597215287</v>
      </c>
      <c r="D53" s="11">
        <v>0.22365292538938972</v>
      </c>
      <c r="E53" s="11">
        <v>4.1945519224913422E-2</v>
      </c>
    </row>
    <row r="54" spans="1:5">
      <c r="A54" s="4">
        <v>2002</v>
      </c>
      <c r="B54" s="11">
        <v>0.13807701892574845</v>
      </c>
      <c r="C54" s="11">
        <v>0.27222785885814149</v>
      </c>
      <c r="D54" s="11">
        <v>0.22231951042823431</v>
      </c>
      <c r="E54" s="11">
        <v>5.6081417376828008E-2</v>
      </c>
    </row>
    <row r="55" spans="1:5">
      <c r="A55" s="4">
        <v>2003</v>
      </c>
      <c r="B55" s="11">
        <v>0.13468631241606152</v>
      </c>
      <c r="C55" s="11">
        <v>0.26911327368415666</v>
      </c>
      <c r="D55" s="11">
        <v>0.22090141555439641</v>
      </c>
      <c r="E55" s="11">
        <v>7.0257827109749441E-2</v>
      </c>
    </row>
    <row r="56" spans="1:5">
      <c r="A56" s="4">
        <v>2004</v>
      </c>
      <c r="B56" s="11">
        <v>0.13137056411513431</v>
      </c>
      <c r="C56" s="11">
        <v>0.26607873875437377</v>
      </c>
      <c r="D56" s="11">
        <v>0.21952735879571039</v>
      </c>
      <c r="E56" s="11">
        <v>8.4511325205030144E-2</v>
      </c>
    </row>
    <row r="57" spans="1:5">
      <c r="A57" s="4">
        <v>2005</v>
      </c>
      <c r="B57" s="11">
        <v>0.12814808070912506</v>
      </c>
      <c r="C57" s="11">
        <v>0.26316491594396413</v>
      </c>
      <c r="D57" s="11">
        <v>0.21823199167409479</v>
      </c>
      <c r="E57" s="11">
        <v>9.8858646411775802E-2</v>
      </c>
    </row>
    <row r="58" spans="1:5">
      <c r="A58" s="4">
        <v>2006</v>
      </c>
      <c r="B58" s="11">
        <v>0.12411930740882421</v>
      </c>
      <c r="C58" s="11">
        <v>0.2598178895543426</v>
      </c>
      <c r="D58" s="11">
        <v>0.21657971373269469</v>
      </c>
      <c r="E58" s="11">
        <v>0.11252240096190286</v>
      </c>
    </row>
    <row r="59" spans="1:5">
      <c r="A59" s="4">
        <v>2007</v>
      </c>
      <c r="B59" s="11">
        <v>0.12023693281384248</v>
      </c>
      <c r="C59" s="11">
        <v>0.2566790801022959</v>
      </c>
      <c r="D59" s="11">
        <v>0.21507904843319015</v>
      </c>
      <c r="E59" s="11">
        <v>0.12611282933936402</v>
      </c>
    </row>
    <row r="60" spans="1:5">
      <c r="A60" s="4">
        <v>2008</v>
      </c>
      <c r="B60" s="11">
        <v>0.11646334077290711</v>
      </c>
      <c r="C60" s="11">
        <v>0.25367895856501743</v>
      </c>
      <c r="D60" s="11">
        <v>0.21367404196296058</v>
      </c>
      <c r="E60" s="11">
        <v>0.1396341838768442</v>
      </c>
    </row>
    <row r="61" spans="1:5">
      <c r="A61" s="4">
        <v>2009</v>
      </c>
      <c r="B61" s="11">
        <v>0.11275553380472336</v>
      </c>
      <c r="C61" s="11">
        <v>0.25073036312374458</v>
      </c>
      <c r="D61" s="11">
        <v>0.2122927195741966</v>
      </c>
      <c r="E61" s="11">
        <v>0.15307964071994107</v>
      </c>
    </row>
    <row r="62" spans="1:5">
      <c r="A62" s="4">
        <v>2010</v>
      </c>
      <c r="B62" s="11">
        <v>0.10909952018641746</v>
      </c>
      <c r="C62" s="11">
        <v>0.24780464054555862</v>
      </c>
      <c r="D62" s="11">
        <v>0.21091135293751834</v>
      </c>
      <c r="E62" s="11">
        <v>0.16647601840305806</v>
      </c>
    </row>
    <row r="63" spans="1:5">
      <c r="A63" s="4">
        <v>2011</v>
      </c>
      <c r="B63" s="11">
        <v>0.10479866955706291</v>
      </c>
      <c r="C63" s="11">
        <v>0.24417461919448535</v>
      </c>
      <c r="D63" s="11">
        <v>0.20947359722208653</v>
      </c>
      <c r="E63" s="11">
        <v>0.18078210620607169</v>
      </c>
    </row>
    <row r="64" spans="1:5">
      <c r="A64" s="4">
        <v>2012</v>
      </c>
      <c r="B64" s="11">
        <v>0.10060429611613042</v>
      </c>
      <c r="C64" s="11">
        <v>0.24069640776479384</v>
      </c>
      <c r="D64" s="11">
        <v>0.20814075714290703</v>
      </c>
      <c r="E64" s="11">
        <v>0.19501530494695041</v>
      </c>
    </row>
    <row r="65" spans="1:5">
      <c r="A65" s="4">
        <v>2013</v>
      </c>
      <c r="B65" s="11">
        <v>9.6483524005627583E-2</v>
      </c>
      <c r="C65" s="11">
        <v>0.23729888462674206</v>
      </c>
      <c r="D65" s="11">
        <v>0.20685326329358747</v>
      </c>
      <c r="E65" s="11">
        <v>0.20901290247169899</v>
      </c>
    </row>
    <row r="66" spans="1:5">
      <c r="A66" s="4">
        <v>2014</v>
      </c>
      <c r="B66" s="11">
        <v>9.2412479255957483E-2</v>
      </c>
      <c r="C66" s="11">
        <v>0.23392540718378443</v>
      </c>
      <c r="D66" s="11">
        <v>0.20556236409323142</v>
      </c>
      <c r="E66" s="11">
        <v>0.22270963343783334</v>
      </c>
    </row>
    <row r="67" spans="1:5">
      <c r="A67" s="4">
        <v>2015</v>
      </c>
      <c r="B67" s="11">
        <v>8.8381598068242154E-2</v>
      </c>
      <c r="C67" s="11">
        <v>0.23055048980686482</v>
      </c>
      <c r="D67" s="11">
        <v>0.20424530904413382</v>
      </c>
      <c r="E67" s="11">
        <v>0.22254044704648029</v>
      </c>
    </row>
    <row r="68" spans="1:5">
      <c r="A68" s="4">
        <v>2016</v>
      </c>
      <c r="B68" s="11">
        <v>8.3879593181256526E-2</v>
      </c>
      <c r="C68" s="11">
        <v>0.2268580095563815</v>
      </c>
      <c r="D68" s="11">
        <v>0.20287305156086519</v>
      </c>
      <c r="E68" s="11">
        <v>0.22233174758728366</v>
      </c>
    </row>
    <row r="69" spans="1:5">
      <c r="A69" s="4">
        <v>2017</v>
      </c>
      <c r="B69" s="11">
        <v>7.938895431080159E-2</v>
      </c>
      <c r="C69" s="11">
        <v>0.22309543039234084</v>
      </c>
      <c r="D69" s="11">
        <v>0.20141513678718817</v>
      </c>
      <c r="E69" s="11">
        <v>0.22201377094400704</v>
      </c>
    </row>
    <row r="70" spans="1:5">
      <c r="A70" s="4">
        <v>2018</v>
      </c>
      <c r="B70" s="11">
        <v>7.4930489193635305E-2</v>
      </c>
      <c r="C70" s="11">
        <v>0.21931207755803675</v>
      </c>
      <c r="D70" s="11">
        <v>0.19991411213401719</v>
      </c>
      <c r="E70" s="11">
        <v>0.22163208877748622</v>
      </c>
    </row>
    <row r="71" spans="1:5">
      <c r="A71" s="4">
        <v>2019</v>
      </c>
      <c r="B71" s="11">
        <v>7.0523716753433191E-2</v>
      </c>
      <c r="C71" s="11">
        <v>0.21556182484199618</v>
      </c>
      <c r="D71" s="11">
        <v>0.19841835038282132</v>
      </c>
      <c r="E71" s="11">
        <v>0.2212398746840582</v>
      </c>
    </row>
    <row r="72" spans="1:5">
      <c r="A72" s="4">
        <v>2020</v>
      </c>
      <c r="B72" s="11">
        <v>6.6171643032208155E-2</v>
      </c>
      <c r="C72" s="11">
        <v>0.21185505806544203</v>
      </c>
      <c r="D72" s="11">
        <v>0.19693776648257438</v>
      </c>
      <c r="E72" s="11">
        <v>0.22084836378967079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0EDD-6876-40B8-A1CB-0DD51E5EEE02}">
  <dimension ref="A1:G12"/>
  <sheetViews>
    <sheetView topLeftCell="A3" zoomScale="122" workbookViewId="0">
      <selection activeCell="A3" sqref="A3"/>
    </sheetView>
  </sheetViews>
  <sheetFormatPr baseColWidth="10" defaultColWidth="8.83203125" defaultRowHeight="15"/>
  <sheetData>
    <row r="1" spans="1:7">
      <c r="A1" t="s">
        <v>101</v>
      </c>
    </row>
    <row r="2" spans="1:7">
      <c r="A2" t="s">
        <v>102</v>
      </c>
    </row>
    <row r="3" spans="1:7">
      <c r="A3" s="1" t="s">
        <v>103</v>
      </c>
    </row>
    <row r="7" spans="1:7">
      <c r="B7" s="22" t="s">
        <v>119</v>
      </c>
      <c r="C7" s="22"/>
    </row>
    <row r="8" spans="1:7">
      <c r="A8" t="s">
        <v>115</v>
      </c>
      <c r="B8">
        <v>1901</v>
      </c>
      <c r="C8">
        <v>1927</v>
      </c>
      <c r="D8">
        <f t="shared" ref="D8:E12" si="0">B8+18</f>
        <v>1919</v>
      </c>
      <c r="E8">
        <f t="shared" si="0"/>
        <v>1945</v>
      </c>
      <c r="F8">
        <v>36</v>
      </c>
      <c r="G8">
        <v>62</v>
      </c>
    </row>
    <row r="9" spans="1:7">
      <c r="A9" t="s">
        <v>112</v>
      </c>
      <c r="B9">
        <v>1928</v>
      </c>
      <c r="C9">
        <v>1945</v>
      </c>
      <c r="D9">
        <f t="shared" si="0"/>
        <v>1946</v>
      </c>
      <c r="E9">
        <f t="shared" si="0"/>
        <v>1963</v>
      </c>
      <c r="F9">
        <v>18</v>
      </c>
      <c r="G9">
        <v>35</v>
      </c>
    </row>
    <row r="10" spans="1:7">
      <c r="A10" t="s">
        <v>105</v>
      </c>
      <c r="B10">
        <v>1946</v>
      </c>
      <c r="C10">
        <v>1964</v>
      </c>
      <c r="D10">
        <f t="shared" si="0"/>
        <v>1964</v>
      </c>
      <c r="E10">
        <f t="shared" si="0"/>
        <v>1982</v>
      </c>
    </row>
    <row r="11" spans="1:7">
      <c r="A11" t="s">
        <v>108</v>
      </c>
      <c r="B11">
        <v>1965</v>
      </c>
      <c r="C11">
        <v>1980</v>
      </c>
      <c r="D11">
        <f t="shared" si="0"/>
        <v>1983</v>
      </c>
      <c r="E11">
        <f t="shared" si="0"/>
        <v>1998</v>
      </c>
    </row>
    <row r="12" spans="1:7">
      <c r="A12" t="s">
        <v>110</v>
      </c>
      <c r="B12">
        <v>1981</v>
      </c>
      <c r="C12">
        <v>1996</v>
      </c>
      <c r="D12">
        <f t="shared" si="0"/>
        <v>1999</v>
      </c>
      <c r="E12">
        <f t="shared" si="0"/>
        <v>2014</v>
      </c>
    </row>
  </sheetData>
  <mergeCells count="1"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AC652-171B-4D20-963C-6ADDB4926734}">
  <dimension ref="A1:CZ41"/>
  <sheetViews>
    <sheetView workbookViewId="0">
      <selection activeCell="A26" sqref="A26:G31"/>
    </sheetView>
  </sheetViews>
  <sheetFormatPr baseColWidth="10" defaultColWidth="8.83203125" defaultRowHeight="15"/>
  <cols>
    <col min="3" max="3" width="12.5" customWidth="1"/>
    <col min="4" max="4" width="15.1640625" customWidth="1"/>
    <col min="5" max="6" width="12.33203125" customWidth="1"/>
    <col min="8" max="8" width="9.83203125" bestFit="1" customWidth="1"/>
  </cols>
  <sheetData>
    <row r="1" spans="1:104">
      <c r="B1" t="s">
        <v>120</v>
      </c>
      <c r="C1" t="s">
        <v>121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100</v>
      </c>
    </row>
    <row r="2" spans="1:104">
      <c r="A2" s="4">
        <v>2010</v>
      </c>
      <c r="B2" s="3">
        <f t="shared" ref="B2:B12" si="0">SUM(D2:CZ2)</f>
        <v>309011.46899999992</v>
      </c>
      <c r="C2" s="3">
        <f>SUM(D2:CK2)</f>
        <v>304496.24799999991</v>
      </c>
      <c r="D2" s="5">
        <v>4199.6509999999998</v>
      </c>
      <c r="E2" s="5">
        <v>4190.3040000000001</v>
      </c>
      <c r="F2" s="5">
        <v>4179.0249999999996</v>
      </c>
      <c r="G2" s="5">
        <v>4166.7669999999998</v>
      </c>
      <c r="H2" s="5">
        <v>4154.482</v>
      </c>
      <c r="I2" s="5">
        <v>4143.125</v>
      </c>
      <c r="J2" s="5">
        <v>4133.6480000000001</v>
      </c>
      <c r="K2" s="5">
        <v>4127.0039999999999</v>
      </c>
      <c r="L2" s="5">
        <v>4124.1469999999999</v>
      </c>
      <c r="M2" s="5">
        <v>4126.0280000000002</v>
      </c>
      <c r="N2" s="5">
        <v>4128.12</v>
      </c>
      <c r="O2" s="5">
        <v>4125.8900000000003</v>
      </c>
      <c r="P2" s="5">
        <v>4147.7089999999998</v>
      </c>
      <c r="Q2" s="5">
        <v>4205.4960000000001</v>
      </c>
      <c r="R2" s="5">
        <v>4283.7539999999999</v>
      </c>
      <c r="S2" s="5">
        <v>4357.0739999999996</v>
      </c>
      <c r="T2" s="5">
        <v>4432.942</v>
      </c>
      <c r="U2" s="5">
        <v>4479.6350000000002</v>
      </c>
      <c r="V2" s="5">
        <v>4479.55</v>
      </c>
      <c r="W2" s="5">
        <v>4447.7640000000001</v>
      </c>
      <c r="X2" s="5">
        <v>4417.8549999999996</v>
      </c>
      <c r="Y2" s="5">
        <v>4384.183</v>
      </c>
      <c r="Z2" s="5">
        <v>4347.7560000000003</v>
      </c>
      <c r="AA2" s="5">
        <v>4312.7910000000002</v>
      </c>
      <c r="AB2" s="5">
        <v>4277.9740000000002</v>
      </c>
      <c r="AC2" s="5">
        <v>4239.3429999999998</v>
      </c>
      <c r="AD2" s="5">
        <v>4199.5829999999996</v>
      </c>
      <c r="AE2" s="5">
        <v>4157.3140000000003</v>
      </c>
      <c r="AF2" s="5">
        <v>4112.0780000000004</v>
      </c>
      <c r="AG2" s="5">
        <v>4066.808</v>
      </c>
      <c r="AH2" s="5">
        <v>4024.538</v>
      </c>
      <c r="AI2" s="5">
        <v>3984.2440000000001</v>
      </c>
      <c r="AJ2" s="5">
        <v>3956.444</v>
      </c>
      <c r="AK2" s="5">
        <v>3946.558</v>
      </c>
      <c r="AL2" s="5">
        <v>3950.393</v>
      </c>
      <c r="AM2" s="5">
        <v>3957.9389999999999</v>
      </c>
      <c r="AN2" s="5">
        <v>3970.73</v>
      </c>
      <c r="AO2" s="5">
        <v>3990.549</v>
      </c>
      <c r="AP2" s="5">
        <v>4017.1309999999999</v>
      </c>
      <c r="AQ2" s="5">
        <v>4050.0039999999999</v>
      </c>
      <c r="AR2" s="5">
        <v>4085.1089999999999</v>
      </c>
      <c r="AS2" s="5">
        <v>4118.643</v>
      </c>
      <c r="AT2" s="5">
        <v>4167.5460000000003</v>
      </c>
      <c r="AU2" s="5">
        <v>4238.3419999999996</v>
      </c>
      <c r="AV2" s="5">
        <v>4320.2700000000004</v>
      </c>
      <c r="AW2" s="5">
        <v>4395.5870000000004</v>
      </c>
      <c r="AX2" s="5">
        <v>4467.299</v>
      </c>
      <c r="AY2" s="5">
        <v>4518.0360000000001</v>
      </c>
      <c r="AZ2" s="5">
        <v>4537.1629999999996</v>
      </c>
      <c r="BA2" s="5">
        <v>4531.0150000000003</v>
      </c>
      <c r="BB2" s="5">
        <v>4518.9440000000004</v>
      </c>
      <c r="BC2" s="5">
        <v>4499.9290000000001</v>
      </c>
      <c r="BD2" s="5">
        <v>4455.991</v>
      </c>
      <c r="BE2" s="5">
        <v>4381.0249999999996</v>
      </c>
      <c r="BF2" s="5">
        <v>4283.0569999999998</v>
      </c>
      <c r="BG2" s="5">
        <v>4175.049</v>
      </c>
      <c r="BH2" s="5">
        <v>4053.0039999999999</v>
      </c>
      <c r="BI2" s="5">
        <v>3934.1819999999998</v>
      </c>
      <c r="BJ2" s="5">
        <v>3828.04</v>
      </c>
      <c r="BK2" s="5">
        <v>3726.3240000000001</v>
      </c>
      <c r="BL2" s="5">
        <v>3615.9430000000002</v>
      </c>
      <c r="BM2" s="5">
        <v>3505.058</v>
      </c>
      <c r="BN2" s="5">
        <v>3367.1060000000002</v>
      </c>
      <c r="BO2" s="5">
        <v>3189.3449999999998</v>
      </c>
      <c r="BP2" s="5">
        <v>2987.9659999999999</v>
      </c>
      <c r="BQ2" s="5">
        <v>2790.7240000000002</v>
      </c>
      <c r="BR2" s="5">
        <v>2590.6480000000001</v>
      </c>
      <c r="BS2" s="5">
        <v>2415.5720000000001</v>
      </c>
      <c r="BT2" s="5">
        <v>2281.7159999999999</v>
      </c>
      <c r="BU2" s="5">
        <v>2176.297</v>
      </c>
      <c r="BV2" s="5">
        <v>2070.0450000000001</v>
      </c>
      <c r="BW2" s="5">
        <v>1968.4949999999999</v>
      </c>
      <c r="BX2" s="5">
        <v>1871.684</v>
      </c>
      <c r="BY2" s="5">
        <v>1776.595</v>
      </c>
      <c r="BZ2" s="5">
        <v>1684.798</v>
      </c>
      <c r="CA2" s="5">
        <v>1598.586</v>
      </c>
      <c r="CB2" s="5">
        <v>1514.759</v>
      </c>
      <c r="CC2" s="5">
        <v>1442.23</v>
      </c>
      <c r="CD2" s="5">
        <v>1384.77</v>
      </c>
      <c r="CE2" s="5">
        <v>1336.056</v>
      </c>
      <c r="CF2" s="5">
        <v>1287.6600000000001</v>
      </c>
      <c r="CG2" s="5">
        <v>1243.268</v>
      </c>
      <c r="CH2" s="5">
        <v>1182.8579999999999</v>
      </c>
      <c r="CI2" s="5">
        <v>1096.242</v>
      </c>
      <c r="CJ2" s="5">
        <v>992.99</v>
      </c>
      <c r="CK2" s="5">
        <v>893.952</v>
      </c>
      <c r="CL2" s="5">
        <v>796.27300000000002</v>
      </c>
      <c r="CM2" s="5">
        <v>700.52</v>
      </c>
      <c r="CN2" s="5">
        <v>609.5</v>
      </c>
      <c r="CO2" s="5">
        <v>523.16899999999998</v>
      </c>
      <c r="CP2" s="5">
        <v>428.447</v>
      </c>
      <c r="CQ2" s="5">
        <v>354.303</v>
      </c>
      <c r="CR2" s="5">
        <v>302.92700000000002</v>
      </c>
      <c r="CS2" s="5">
        <v>236.934</v>
      </c>
      <c r="CT2" s="5">
        <v>156.32400000000001</v>
      </c>
      <c r="CU2" s="5">
        <v>106.848</v>
      </c>
      <c r="CV2" s="5">
        <v>91.188999999999993</v>
      </c>
      <c r="CW2" s="5">
        <v>73.209000000000003</v>
      </c>
      <c r="CX2" s="5">
        <v>52.905000000000001</v>
      </c>
      <c r="CY2" s="5">
        <v>30.279</v>
      </c>
      <c r="CZ2" s="5">
        <v>52.393999999999998</v>
      </c>
    </row>
    <row r="3" spans="1:104">
      <c r="A3" s="4">
        <v>2011</v>
      </c>
      <c r="B3" s="3">
        <f t="shared" si="0"/>
        <v>311584.05099999969</v>
      </c>
      <c r="C3" s="3">
        <f t="shared" ref="C3:C12" si="1">SUM(D3:CK3)</f>
        <v>306816.04899999977</v>
      </c>
      <c r="D3" s="5">
        <v>4107.4690000000001</v>
      </c>
      <c r="E3" s="5">
        <v>4199.0479999999998</v>
      </c>
      <c r="F3" s="5">
        <v>4195.1210000000001</v>
      </c>
      <c r="G3" s="5">
        <v>4186.8149999999996</v>
      </c>
      <c r="H3" s="5">
        <v>4175.6099999999997</v>
      </c>
      <c r="I3" s="5">
        <v>4162.9849999999997</v>
      </c>
      <c r="J3" s="5">
        <v>4149.7359999999999</v>
      </c>
      <c r="K3" s="5">
        <v>4136.6549999999997</v>
      </c>
      <c r="L3" s="5">
        <v>4128.6499999999996</v>
      </c>
      <c r="M3" s="5">
        <v>4128.5749999999998</v>
      </c>
      <c r="N3" s="5">
        <v>4135.8500000000004</v>
      </c>
      <c r="O3" s="5">
        <v>4142.3879999999999</v>
      </c>
      <c r="P3" s="5">
        <v>4144.2150000000001</v>
      </c>
      <c r="Q3" s="5">
        <v>4170.0749999999998</v>
      </c>
      <c r="R3" s="5">
        <v>4231.6679999999997</v>
      </c>
      <c r="S3" s="5">
        <v>4313.4269999999997</v>
      </c>
      <c r="T3" s="5">
        <v>4390.1890000000003</v>
      </c>
      <c r="U3" s="5">
        <v>4469.5020000000004</v>
      </c>
      <c r="V3" s="5">
        <v>4518.3789999999999</v>
      </c>
      <c r="W3" s="5">
        <v>4518.6450000000004</v>
      </c>
      <c r="X3" s="5">
        <v>4485.9110000000001</v>
      </c>
      <c r="Y3" s="5">
        <v>4454.9189999999999</v>
      </c>
      <c r="Z3" s="5">
        <v>4419.8639999999996</v>
      </c>
      <c r="AA3" s="5">
        <v>4381.8040000000001</v>
      </c>
      <c r="AB3" s="5">
        <v>4345.1220000000003</v>
      </c>
      <c r="AC3" s="5">
        <v>4308.4889999999996</v>
      </c>
      <c r="AD3" s="5">
        <v>4267.7709999999997</v>
      </c>
      <c r="AE3" s="5">
        <v>4225.6949999999997</v>
      </c>
      <c r="AF3" s="5">
        <v>4181.2160000000003</v>
      </c>
      <c r="AG3" s="5">
        <v>4134.0290000000005</v>
      </c>
      <c r="AH3" s="5">
        <v>4086.9769999999999</v>
      </c>
      <c r="AI3" s="5">
        <v>4042.8420000000001</v>
      </c>
      <c r="AJ3" s="5">
        <v>4000.636</v>
      </c>
      <c r="AK3" s="5">
        <v>3971.0340000000001</v>
      </c>
      <c r="AL3" s="5">
        <v>3959.5079999999998</v>
      </c>
      <c r="AM3" s="5">
        <v>3961.8090000000002</v>
      </c>
      <c r="AN3" s="5">
        <v>3967.8110000000001</v>
      </c>
      <c r="AO3" s="5">
        <v>3979.0529999999999</v>
      </c>
      <c r="AP3" s="5">
        <v>3997.3409999999999</v>
      </c>
      <c r="AQ3" s="5">
        <v>4022.404</v>
      </c>
      <c r="AR3" s="5">
        <v>4053.7489999999998</v>
      </c>
      <c r="AS3" s="5">
        <v>4087.3159999999998</v>
      </c>
      <c r="AT3" s="5">
        <v>4119.3159999999998</v>
      </c>
      <c r="AU3" s="5">
        <v>4166.5339999999997</v>
      </c>
      <c r="AV3" s="5">
        <v>4235.424</v>
      </c>
      <c r="AW3" s="5">
        <v>4315.2939999999999</v>
      </c>
      <c r="AX3" s="5">
        <v>4388.5609999999997</v>
      </c>
      <c r="AY3" s="5">
        <v>4458.2209999999995</v>
      </c>
      <c r="AZ3" s="5">
        <v>4506.8649999999998</v>
      </c>
      <c r="BA3" s="5">
        <v>4523.8549999999996</v>
      </c>
      <c r="BB3" s="5">
        <v>4515.558</v>
      </c>
      <c r="BC3" s="5">
        <v>4501.3459999999995</v>
      </c>
      <c r="BD3" s="5">
        <v>4480.1809999999996</v>
      </c>
      <c r="BE3" s="5">
        <v>4434.2370000000001</v>
      </c>
      <c r="BF3" s="5">
        <v>4357.4809999999998</v>
      </c>
      <c r="BG3" s="5">
        <v>4257.875</v>
      </c>
      <c r="BH3" s="5">
        <v>4148.2619999999997</v>
      </c>
      <c r="BI3" s="5">
        <v>4024.6930000000002</v>
      </c>
      <c r="BJ3" s="5">
        <v>3904.3110000000001</v>
      </c>
      <c r="BK3" s="5">
        <v>3796.5160000000001</v>
      </c>
      <c r="BL3" s="5">
        <v>3693.123</v>
      </c>
      <c r="BM3" s="5">
        <v>3581.1190000000001</v>
      </c>
      <c r="BN3" s="5">
        <v>3468.585</v>
      </c>
      <c r="BO3" s="5">
        <v>3329.3</v>
      </c>
      <c r="BP3" s="5">
        <v>3150.6759999999999</v>
      </c>
      <c r="BQ3" s="5">
        <v>2948.7130000000002</v>
      </c>
      <c r="BR3" s="5">
        <v>2750.8229999999999</v>
      </c>
      <c r="BS3" s="5">
        <v>2550.1039999999998</v>
      </c>
      <c r="BT3" s="5">
        <v>2374.1419999999998</v>
      </c>
      <c r="BU3" s="5">
        <v>2238.9949999999999</v>
      </c>
      <c r="BV3" s="5">
        <v>2131.991</v>
      </c>
      <c r="BW3" s="5">
        <v>2024.12</v>
      </c>
      <c r="BX3" s="5">
        <v>1920.8520000000001</v>
      </c>
      <c r="BY3" s="5">
        <v>1822.23</v>
      </c>
      <c r="BZ3" s="5">
        <v>1725.2629999999999</v>
      </c>
      <c r="CA3" s="5">
        <v>1631.4860000000001</v>
      </c>
      <c r="CB3" s="5">
        <v>1543.3420000000001</v>
      </c>
      <c r="CC3" s="5">
        <v>1457.845</v>
      </c>
      <c r="CD3" s="5">
        <v>1382.847</v>
      </c>
      <c r="CE3" s="5">
        <v>1321.6849999999999</v>
      </c>
      <c r="CF3" s="5">
        <v>1268.665</v>
      </c>
      <c r="CG3" s="5">
        <v>1216.4390000000001</v>
      </c>
      <c r="CH3" s="5">
        <v>1168.499</v>
      </c>
      <c r="CI3" s="5">
        <v>1105.7349999999999</v>
      </c>
      <c r="CJ3" s="5">
        <v>1018.5309999999999</v>
      </c>
      <c r="CK3" s="5">
        <v>916.10699999999997</v>
      </c>
      <c r="CL3" s="5">
        <v>816.10400000000004</v>
      </c>
      <c r="CM3" s="5">
        <v>721.74699999999996</v>
      </c>
      <c r="CN3" s="5">
        <v>633.65499999999997</v>
      </c>
      <c r="CO3" s="5">
        <v>545.83100000000002</v>
      </c>
      <c r="CP3" s="5">
        <v>458.23899999999998</v>
      </c>
      <c r="CQ3" s="5">
        <v>371.06700000000001</v>
      </c>
      <c r="CR3" s="5">
        <v>307.94799999999998</v>
      </c>
      <c r="CS3" s="5">
        <v>262.20800000000003</v>
      </c>
      <c r="CT3" s="5">
        <v>203.929</v>
      </c>
      <c r="CU3" s="5">
        <v>133.11000000000001</v>
      </c>
      <c r="CV3" s="5">
        <v>95.823999999999998</v>
      </c>
      <c r="CW3" s="5">
        <v>76.974999999999994</v>
      </c>
      <c r="CX3" s="5">
        <v>55.582000000000001</v>
      </c>
      <c r="CY3" s="5">
        <v>31.646999999999998</v>
      </c>
      <c r="CZ3" s="5">
        <v>54.136000000000003</v>
      </c>
    </row>
    <row r="4" spans="1:104">
      <c r="A4" s="4">
        <v>2012</v>
      </c>
      <c r="B4" s="3">
        <f t="shared" si="0"/>
        <v>314043.88499999989</v>
      </c>
      <c r="C4" s="3">
        <f t="shared" si="1"/>
        <v>309069.99999999994</v>
      </c>
      <c r="D4" s="5">
        <v>4001.1289999999999</v>
      </c>
      <c r="E4" s="5">
        <v>4084.65</v>
      </c>
      <c r="F4" s="5">
        <v>4198.5810000000001</v>
      </c>
      <c r="G4" s="5">
        <v>4200.0780000000004</v>
      </c>
      <c r="H4" s="5">
        <v>4194.7479999999996</v>
      </c>
      <c r="I4" s="5">
        <v>4184.5969999999998</v>
      </c>
      <c r="J4" s="5">
        <v>4171.6319999999996</v>
      </c>
      <c r="K4" s="5">
        <v>4156.4880000000003</v>
      </c>
      <c r="L4" s="5">
        <v>4139.799</v>
      </c>
      <c r="M4" s="5">
        <v>4130.4319999999998</v>
      </c>
      <c r="N4" s="5">
        <v>4133.1409999999996</v>
      </c>
      <c r="O4" s="5">
        <v>4145.8140000000003</v>
      </c>
      <c r="P4" s="5">
        <v>4156.8019999999997</v>
      </c>
      <c r="Q4" s="5">
        <v>4162.6890000000003</v>
      </c>
      <c r="R4" s="5">
        <v>4192.5940000000001</v>
      </c>
      <c r="S4" s="5">
        <v>4257.9960000000001</v>
      </c>
      <c r="T4" s="5">
        <v>4343.2629999999999</v>
      </c>
      <c r="U4" s="5">
        <v>4423.4719999999998</v>
      </c>
      <c r="V4" s="5">
        <v>4506.2380000000003</v>
      </c>
      <c r="W4" s="5">
        <v>4557.3010000000004</v>
      </c>
      <c r="X4" s="5">
        <v>4557.9170000000004</v>
      </c>
      <c r="Y4" s="5">
        <v>4524.2349999999997</v>
      </c>
      <c r="Z4" s="5">
        <v>4492.1559999999999</v>
      </c>
      <c r="AA4" s="5">
        <v>4455.7150000000001</v>
      </c>
      <c r="AB4" s="5">
        <v>4416.0190000000002</v>
      </c>
      <c r="AC4" s="5">
        <v>4377.6180000000004</v>
      </c>
      <c r="AD4" s="5">
        <v>4339.1670000000004</v>
      </c>
      <c r="AE4" s="5">
        <v>4296.357</v>
      </c>
      <c r="AF4" s="5">
        <v>4251.9610000000002</v>
      </c>
      <c r="AG4" s="5">
        <v>4205.2669999999998</v>
      </c>
      <c r="AH4" s="5">
        <v>4156.125</v>
      </c>
      <c r="AI4" s="5">
        <v>4107.2879999999996</v>
      </c>
      <c r="AJ4" s="5">
        <v>4061.2849999999999</v>
      </c>
      <c r="AK4" s="5">
        <v>4017.163</v>
      </c>
      <c r="AL4" s="5">
        <v>3985.7570000000001</v>
      </c>
      <c r="AM4" s="5">
        <v>3972.5889999999999</v>
      </c>
      <c r="AN4" s="5">
        <v>3973.3539999999998</v>
      </c>
      <c r="AO4" s="5">
        <v>3977.8110000000001</v>
      </c>
      <c r="AP4" s="5">
        <v>3987.502</v>
      </c>
      <c r="AQ4" s="5">
        <v>4004.259</v>
      </c>
      <c r="AR4" s="5">
        <v>4027.8049999999998</v>
      </c>
      <c r="AS4" s="5">
        <v>4057.623</v>
      </c>
      <c r="AT4" s="5">
        <v>4089.6529999999998</v>
      </c>
      <c r="AU4" s="5">
        <v>4120.1189999999997</v>
      </c>
      <c r="AV4" s="5">
        <v>4165.6530000000002</v>
      </c>
      <c r="AW4" s="5">
        <v>4232.6390000000001</v>
      </c>
      <c r="AX4" s="5">
        <v>4310.451</v>
      </c>
      <c r="AY4" s="5">
        <v>4381.6689999999999</v>
      </c>
      <c r="AZ4" s="5">
        <v>4449.2790000000005</v>
      </c>
      <c r="BA4" s="5">
        <v>4495.826</v>
      </c>
      <c r="BB4" s="5">
        <v>4510.6769999999997</v>
      </c>
      <c r="BC4" s="5">
        <v>4500.2290000000003</v>
      </c>
      <c r="BD4" s="5">
        <v>4483.8720000000003</v>
      </c>
      <c r="BE4" s="5">
        <v>4460.5540000000001</v>
      </c>
      <c r="BF4" s="5">
        <v>4412.6000000000004</v>
      </c>
      <c r="BG4" s="5">
        <v>4334.049</v>
      </c>
      <c r="BH4" s="5">
        <v>4232.8010000000004</v>
      </c>
      <c r="BI4" s="5">
        <v>4121.5789999999997</v>
      </c>
      <c r="BJ4" s="5">
        <v>3996.4780000000001</v>
      </c>
      <c r="BK4" s="5">
        <v>3874.5309999999999</v>
      </c>
      <c r="BL4" s="5">
        <v>3765.0770000000002</v>
      </c>
      <c r="BM4" s="5">
        <v>3660.0010000000002</v>
      </c>
      <c r="BN4" s="5">
        <v>3546.3679999999999</v>
      </c>
      <c r="BO4" s="5">
        <v>3432.183</v>
      </c>
      <c r="BP4" s="5">
        <v>3291.558</v>
      </c>
      <c r="BQ4" s="5">
        <v>3112.0630000000001</v>
      </c>
      <c r="BR4" s="5">
        <v>2909.51</v>
      </c>
      <c r="BS4" s="5">
        <v>2710.9630000000002</v>
      </c>
      <c r="BT4" s="5">
        <v>2509.5970000000002</v>
      </c>
      <c r="BU4" s="5">
        <v>2332.7420000000002</v>
      </c>
      <c r="BV4" s="5">
        <v>2196.3000000000002</v>
      </c>
      <c r="BW4" s="5">
        <v>2087.7069999999999</v>
      </c>
      <c r="BX4" s="5">
        <v>1978.212</v>
      </c>
      <c r="BY4" s="5">
        <v>1873.223</v>
      </c>
      <c r="BZ4" s="5">
        <v>1772.787</v>
      </c>
      <c r="CA4" s="5">
        <v>1673.9369999999999</v>
      </c>
      <c r="CB4" s="5">
        <v>1578.1759999999999</v>
      </c>
      <c r="CC4" s="5">
        <v>1488.0940000000001</v>
      </c>
      <c r="CD4" s="5">
        <v>1400.921</v>
      </c>
      <c r="CE4" s="5">
        <v>1323.4480000000001</v>
      </c>
      <c r="CF4" s="5">
        <v>1258.579</v>
      </c>
      <c r="CG4" s="5">
        <v>1201.248</v>
      </c>
      <c r="CH4" s="5">
        <v>1145.1869999999999</v>
      </c>
      <c r="CI4" s="5">
        <v>1093.694</v>
      </c>
      <c r="CJ4" s="5">
        <v>1028.5719999999999</v>
      </c>
      <c r="CK4" s="5">
        <v>940.77700000000004</v>
      </c>
      <c r="CL4" s="5">
        <v>839.178</v>
      </c>
      <c r="CM4" s="5">
        <v>738.20699999999999</v>
      </c>
      <c r="CN4" s="5">
        <v>647.17100000000005</v>
      </c>
      <c r="CO4" s="5">
        <v>566.745</v>
      </c>
      <c r="CP4" s="5">
        <v>482.11900000000003</v>
      </c>
      <c r="CQ4" s="5">
        <v>393.26299999999998</v>
      </c>
      <c r="CR4" s="5">
        <v>313.64299999999997</v>
      </c>
      <c r="CS4" s="5">
        <v>261.55599999999998</v>
      </c>
      <c r="CT4" s="5">
        <v>221.45599999999999</v>
      </c>
      <c r="CU4" s="5">
        <v>170.89599999999999</v>
      </c>
      <c r="CV4" s="5">
        <v>109.878</v>
      </c>
      <c r="CW4" s="5">
        <v>81.587000000000003</v>
      </c>
      <c r="CX4" s="5">
        <v>58.881999999999998</v>
      </c>
      <c r="CY4" s="5">
        <v>33.293999999999997</v>
      </c>
      <c r="CZ4" s="5">
        <v>56.01</v>
      </c>
    </row>
    <row r="5" spans="1:104">
      <c r="A5" s="4">
        <v>2013</v>
      </c>
      <c r="B5" s="3">
        <f t="shared" si="0"/>
        <v>316400.53900000005</v>
      </c>
      <c r="C5" s="3">
        <f t="shared" si="1"/>
        <v>311264.64499999996</v>
      </c>
      <c r="D5" s="5">
        <v>3895.8820000000001</v>
      </c>
      <c r="E5" s="5">
        <v>4015.134</v>
      </c>
      <c r="F5" s="5">
        <v>4103.6149999999998</v>
      </c>
      <c r="G5" s="5">
        <v>4197.2449999999999</v>
      </c>
      <c r="H5" s="5">
        <v>4204.1679999999997</v>
      </c>
      <c r="I5" s="5">
        <v>4201.8149999999996</v>
      </c>
      <c r="J5" s="5">
        <v>4192.7209999999995</v>
      </c>
      <c r="K5" s="5">
        <v>4179.4179999999997</v>
      </c>
      <c r="L5" s="5">
        <v>4162.3819999999996</v>
      </c>
      <c r="M5" s="5">
        <v>4142.0870000000004</v>
      </c>
      <c r="N5" s="5">
        <v>4131.3599999999997</v>
      </c>
      <c r="O5" s="5">
        <v>4136.8540000000003</v>
      </c>
      <c r="P5" s="5">
        <v>4154.924</v>
      </c>
      <c r="Q5" s="5">
        <v>4170.3620000000001</v>
      </c>
      <c r="R5" s="5">
        <v>4180.3109999999997</v>
      </c>
      <c r="S5" s="5">
        <v>4214.2569999999996</v>
      </c>
      <c r="T5" s="5">
        <v>4283.4570000000003</v>
      </c>
      <c r="U5" s="5">
        <v>4372.2150000000001</v>
      </c>
      <c r="V5" s="5">
        <v>4455.8580000000002</v>
      </c>
      <c r="W5" s="5">
        <v>4542.0590000000002</v>
      </c>
      <c r="X5" s="5">
        <v>4595.3010000000004</v>
      </c>
      <c r="Y5" s="5">
        <v>4596.268</v>
      </c>
      <c r="Z5" s="5">
        <v>4561.6409999999996</v>
      </c>
      <c r="AA5" s="5">
        <v>4528.4830000000002</v>
      </c>
      <c r="AB5" s="5">
        <v>4490.6620000000003</v>
      </c>
      <c r="AC5" s="5">
        <v>4449.3379999999997</v>
      </c>
      <c r="AD5" s="5">
        <v>4409.2250000000004</v>
      </c>
      <c r="AE5" s="5">
        <v>4368.9589999999998</v>
      </c>
      <c r="AF5" s="5">
        <v>4324.0659999999998</v>
      </c>
      <c r="AG5" s="5">
        <v>4277.357</v>
      </c>
      <c r="AH5" s="5">
        <v>4228.4560000000001</v>
      </c>
      <c r="AI5" s="5">
        <v>4177.3680000000004</v>
      </c>
      <c r="AJ5" s="5">
        <v>4126.7539999999999</v>
      </c>
      <c r="AK5" s="5">
        <v>4078.8919999999998</v>
      </c>
      <c r="AL5" s="5">
        <v>4032.8629999999998</v>
      </c>
      <c r="AM5" s="5">
        <v>3999.6590000000001</v>
      </c>
      <c r="AN5" s="5">
        <v>3984.8490000000002</v>
      </c>
      <c r="AO5" s="5">
        <v>3984.078</v>
      </c>
      <c r="AP5" s="5">
        <v>3986.9879999999998</v>
      </c>
      <c r="AQ5" s="5">
        <v>3995.1260000000002</v>
      </c>
      <c r="AR5" s="5">
        <v>4010.3470000000002</v>
      </c>
      <c r="AS5" s="5">
        <v>4032.37</v>
      </c>
      <c r="AT5" s="5">
        <v>4060.6550000000002</v>
      </c>
      <c r="AU5" s="5">
        <v>4091.14</v>
      </c>
      <c r="AV5" s="5">
        <v>4120.0659999999998</v>
      </c>
      <c r="AW5" s="5">
        <v>4163.9080000000004</v>
      </c>
      <c r="AX5" s="5">
        <v>4228.973</v>
      </c>
      <c r="AY5" s="5">
        <v>4304.7089999999998</v>
      </c>
      <c r="AZ5" s="5">
        <v>4373.8609999999999</v>
      </c>
      <c r="BA5" s="5">
        <v>4439.4049999999997</v>
      </c>
      <c r="BB5" s="5">
        <v>4483.848</v>
      </c>
      <c r="BC5" s="5">
        <v>4496.5550000000003</v>
      </c>
      <c r="BD5" s="5">
        <v>4483.9560000000001</v>
      </c>
      <c r="BE5" s="5">
        <v>4465.4549999999999</v>
      </c>
      <c r="BF5" s="5">
        <v>4439.9870000000001</v>
      </c>
      <c r="BG5" s="5">
        <v>4390.03</v>
      </c>
      <c r="BH5" s="5">
        <v>4309.7</v>
      </c>
      <c r="BI5" s="5">
        <v>4206.8280000000004</v>
      </c>
      <c r="BJ5" s="5">
        <v>4094.0189999999998</v>
      </c>
      <c r="BK5" s="5">
        <v>3967.4110000000001</v>
      </c>
      <c r="BL5" s="5">
        <v>3843.9250000000002</v>
      </c>
      <c r="BM5" s="5">
        <v>3732.8330000000001</v>
      </c>
      <c r="BN5" s="5">
        <v>3626.0949999999998</v>
      </c>
      <c r="BO5" s="5">
        <v>3510.855</v>
      </c>
      <c r="BP5" s="5">
        <v>3395.04</v>
      </c>
      <c r="BQ5" s="5">
        <v>3253.1039999999998</v>
      </c>
      <c r="BR5" s="5">
        <v>3072.7759999999998</v>
      </c>
      <c r="BS5" s="5">
        <v>2869.6729999999998</v>
      </c>
      <c r="BT5" s="5">
        <v>2670.511</v>
      </c>
      <c r="BU5" s="5">
        <v>2468.5369999999998</v>
      </c>
      <c r="BV5" s="5">
        <v>2290.826</v>
      </c>
      <c r="BW5" s="5">
        <v>2153.1170000000002</v>
      </c>
      <c r="BX5" s="5">
        <v>2042.9570000000001</v>
      </c>
      <c r="BY5" s="5">
        <v>1931.8610000000001</v>
      </c>
      <c r="BZ5" s="5">
        <v>1825.173</v>
      </c>
      <c r="CA5" s="5">
        <v>1722.943</v>
      </c>
      <c r="CB5" s="5">
        <v>1622.2280000000001</v>
      </c>
      <c r="CC5" s="5">
        <v>1524.501</v>
      </c>
      <c r="CD5" s="5">
        <v>1432.5</v>
      </c>
      <c r="CE5" s="5">
        <v>1343.6679999999999</v>
      </c>
      <c r="CF5" s="5">
        <v>1263.7339999999999</v>
      </c>
      <c r="CG5" s="5">
        <v>1195.1690000000001</v>
      </c>
      <c r="CH5" s="5">
        <v>1133.537</v>
      </c>
      <c r="CI5" s="5">
        <v>1073.6479999999999</v>
      </c>
      <c r="CJ5" s="5">
        <v>1018.611</v>
      </c>
      <c r="CK5" s="5">
        <v>951.14300000000003</v>
      </c>
      <c r="CL5" s="5">
        <v>862.77499999999998</v>
      </c>
      <c r="CM5" s="5">
        <v>762.02499999999998</v>
      </c>
      <c r="CN5" s="5">
        <v>660.10699999999997</v>
      </c>
      <c r="CO5" s="5">
        <v>572.41399999999999</v>
      </c>
      <c r="CP5" s="5">
        <v>499.67500000000001</v>
      </c>
      <c r="CQ5" s="5">
        <v>418.26400000000001</v>
      </c>
      <c r="CR5" s="5">
        <v>328.16399999999999</v>
      </c>
      <c r="CS5" s="5">
        <v>256.12</v>
      </c>
      <c r="CT5" s="5">
        <v>215.08099999999999</v>
      </c>
      <c r="CU5" s="5">
        <v>180.63300000000001</v>
      </c>
      <c r="CV5" s="5">
        <v>137.809</v>
      </c>
      <c r="CW5" s="5">
        <v>86.606999999999999</v>
      </c>
      <c r="CX5" s="5">
        <v>62.722000000000001</v>
      </c>
      <c r="CY5" s="5">
        <v>35.231999999999999</v>
      </c>
      <c r="CZ5" s="5">
        <v>58.265999999999998</v>
      </c>
    </row>
    <row r="6" spans="1:104">
      <c r="A6" s="4">
        <v>2014</v>
      </c>
      <c r="B6" s="3">
        <f t="shared" si="0"/>
        <v>318673.42200000014</v>
      </c>
      <c r="C6" s="3">
        <f t="shared" si="1"/>
        <v>313428.69000000006</v>
      </c>
      <c r="D6" s="5">
        <v>3811.8139999999999</v>
      </c>
      <c r="E6" s="5">
        <v>3951.875</v>
      </c>
      <c r="F6" s="5">
        <v>4058.2649999999999</v>
      </c>
      <c r="G6" s="5">
        <v>4134.9139999999998</v>
      </c>
      <c r="H6" s="5">
        <v>4194.3469999999998</v>
      </c>
      <c r="I6" s="5">
        <v>4206.6930000000002</v>
      </c>
      <c r="J6" s="5">
        <v>4207.3190000000004</v>
      </c>
      <c r="K6" s="5">
        <v>4199.2839999999997</v>
      </c>
      <c r="L6" s="5">
        <v>4185.6480000000001</v>
      </c>
      <c r="M6" s="5">
        <v>4166.7259999999997</v>
      </c>
      <c r="N6" s="5">
        <v>4142.8329999999996</v>
      </c>
      <c r="O6" s="5">
        <v>4130.75</v>
      </c>
      <c r="P6" s="5">
        <v>4139.027</v>
      </c>
      <c r="Q6" s="5">
        <v>4162.4880000000003</v>
      </c>
      <c r="R6" s="5">
        <v>4182.37</v>
      </c>
      <c r="S6" s="5">
        <v>4196.375</v>
      </c>
      <c r="T6" s="5">
        <v>4234.3490000000002</v>
      </c>
      <c r="U6" s="5">
        <v>4307.3220000000001</v>
      </c>
      <c r="V6" s="5">
        <v>4399.5379999999996</v>
      </c>
      <c r="W6" s="5">
        <v>4486.5820000000003</v>
      </c>
      <c r="X6" s="5">
        <v>4576.1869999999999</v>
      </c>
      <c r="Y6" s="5">
        <v>4631.5870000000004</v>
      </c>
      <c r="Z6" s="5">
        <v>4632.9040000000005</v>
      </c>
      <c r="AA6" s="5">
        <v>4597.3469999999998</v>
      </c>
      <c r="AB6" s="5">
        <v>4563.1220000000003</v>
      </c>
      <c r="AC6" s="5">
        <v>4523.9350000000004</v>
      </c>
      <c r="AD6" s="5">
        <v>4480.9970000000003</v>
      </c>
      <c r="AE6" s="5">
        <v>4439.1869999999999</v>
      </c>
      <c r="AF6" s="5">
        <v>4397.125</v>
      </c>
      <c r="AG6" s="5">
        <v>4350.1620000000003</v>
      </c>
      <c r="AH6" s="5">
        <v>4301.1589999999997</v>
      </c>
      <c r="AI6" s="5">
        <v>4250.0709999999999</v>
      </c>
      <c r="AJ6" s="5">
        <v>4197.0540000000001</v>
      </c>
      <c r="AK6" s="5">
        <v>4144.6840000000002</v>
      </c>
      <c r="AL6" s="5">
        <v>4094.98</v>
      </c>
      <c r="AM6" s="5">
        <v>4047.0610000000001</v>
      </c>
      <c r="AN6" s="5">
        <v>4012.0709999999999</v>
      </c>
      <c r="AO6" s="5">
        <v>3995.6260000000002</v>
      </c>
      <c r="AP6" s="5">
        <v>3993.3180000000002</v>
      </c>
      <c r="AQ6" s="5">
        <v>3994.6790000000001</v>
      </c>
      <c r="AR6" s="5">
        <v>4001.26</v>
      </c>
      <c r="AS6" s="5">
        <v>4014.9409999999998</v>
      </c>
      <c r="AT6" s="5">
        <v>4035.433</v>
      </c>
      <c r="AU6" s="5">
        <v>4062.1750000000002</v>
      </c>
      <c r="AV6" s="5">
        <v>4091.1030000000001</v>
      </c>
      <c r="AW6" s="5">
        <v>4118.4799999999996</v>
      </c>
      <c r="AX6" s="5">
        <v>4160.6130000000003</v>
      </c>
      <c r="AY6" s="5">
        <v>4223.732</v>
      </c>
      <c r="AZ6" s="5">
        <v>4297.3639999999996</v>
      </c>
      <c r="BA6" s="5">
        <v>4364.4260000000004</v>
      </c>
      <c r="BB6" s="5">
        <v>4427.8810000000003</v>
      </c>
      <c r="BC6" s="5">
        <v>4470.1989999999996</v>
      </c>
      <c r="BD6" s="5">
        <v>4480.759</v>
      </c>
      <c r="BE6" s="5">
        <v>4466.0119999999997</v>
      </c>
      <c r="BF6" s="5">
        <v>4445.375</v>
      </c>
      <c r="BG6" s="5">
        <v>4417.7690000000002</v>
      </c>
      <c r="BH6" s="5">
        <v>4365.8270000000002</v>
      </c>
      <c r="BI6" s="5">
        <v>4283.7460000000001</v>
      </c>
      <c r="BJ6" s="5">
        <v>4179.29</v>
      </c>
      <c r="BK6" s="5">
        <v>4064.9360000000001</v>
      </c>
      <c r="BL6" s="5">
        <v>3936.8679999999999</v>
      </c>
      <c r="BM6" s="5">
        <v>3811.8870000000002</v>
      </c>
      <c r="BN6" s="5">
        <v>3699.2</v>
      </c>
      <c r="BO6" s="5">
        <v>3590.8389999999999</v>
      </c>
      <c r="BP6" s="5">
        <v>3474.0360000000001</v>
      </c>
      <c r="BQ6" s="5">
        <v>3356.634</v>
      </c>
      <c r="BR6" s="5">
        <v>3213.44</v>
      </c>
      <c r="BS6" s="5">
        <v>3032.3440000000001</v>
      </c>
      <c r="BT6" s="5">
        <v>2828.768</v>
      </c>
      <c r="BU6" s="5">
        <v>2629.0659999999998</v>
      </c>
      <c r="BV6" s="5">
        <v>2426.5590000000002</v>
      </c>
      <c r="BW6" s="5">
        <v>2248.058</v>
      </c>
      <c r="BX6" s="5">
        <v>2109.1329999999998</v>
      </c>
      <c r="BY6" s="5">
        <v>1997.4490000000001</v>
      </c>
      <c r="BZ6" s="5">
        <v>1884.7929999999999</v>
      </c>
      <c r="CA6" s="5">
        <v>1776.4459999999999</v>
      </c>
      <c r="CB6" s="5">
        <v>1672.4590000000001</v>
      </c>
      <c r="CC6" s="5">
        <v>1569.9179999999999</v>
      </c>
      <c r="CD6" s="5">
        <v>1470.2619999999999</v>
      </c>
      <c r="CE6" s="5">
        <v>1376.375</v>
      </c>
      <c r="CF6" s="5">
        <v>1285.9159999999999</v>
      </c>
      <c r="CG6" s="5">
        <v>1203.5519999999999</v>
      </c>
      <c r="CH6" s="5">
        <v>1131.318</v>
      </c>
      <c r="CI6" s="5">
        <v>1065.4059999999999</v>
      </c>
      <c r="CJ6" s="5">
        <v>1001.715</v>
      </c>
      <c r="CK6" s="5">
        <v>943.15300000000002</v>
      </c>
      <c r="CL6" s="5">
        <v>873.36500000000001</v>
      </c>
      <c r="CM6" s="5">
        <v>784.45799999999997</v>
      </c>
      <c r="CN6" s="5">
        <v>684.59299999999996</v>
      </c>
      <c r="CO6" s="5">
        <v>581.76499999999999</v>
      </c>
      <c r="CP6" s="5">
        <v>497.44900000000001</v>
      </c>
      <c r="CQ6" s="5">
        <v>432.42200000000003</v>
      </c>
      <c r="CR6" s="5">
        <v>354.25900000000001</v>
      </c>
      <c r="CS6" s="5">
        <v>262.94900000000001</v>
      </c>
      <c r="CT6" s="5">
        <v>198.505</v>
      </c>
      <c r="CU6" s="5">
        <v>168.53</v>
      </c>
      <c r="CV6" s="5">
        <v>139.74600000000001</v>
      </c>
      <c r="CW6" s="5">
        <v>104.672</v>
      </c>
      <c r="CX6" s="5">
        <v>63.308</v>
      </c>
      <c r="CY6" s="5">
        <v>37.47</v>
      </c>
      <c r="CZ6" s="5">
        <v>61.241</v>
      </c>
    </row>
    <row r="7" spans="1:104">
      <c r="A7" s="4">
        <v>2015</v>
      </c>
      <c r="B7" s="3">
        <f t="shared" si="0"/>
        <v>320878.31200000003</v>
      </c>
      <c r="C7" s="3">
        <f t="shared" si="1"/>
        <v>315586.04800000007</v>
      </c>
      <c r="D7" s="5">
        <v>3763.0520000000001</v>
      </c>
      <c r="E7" s="5">
        <v>3905.357</v>
      </c>
      <c r="F7" s="5">
        <v>4015.585</v>
      </c>
      <c r="G7" s="5">
        <v>4097.32</v>
      </c>
      <c r="H7" s="5">
        <v>4154.1480000000001</v>
      </c>
      <c r="I7" s="5">
        <v>4189.6490000000003</v>
      </c>
      <c r="J7" s="5">
        <v>4207.4089999999997</v>
      </c>
      <c r="K7" s="5">
        <v>4211.0119999999997</v>
      </c>
      <c r="L7" s="5">
        <v>4204.0389999999998</v>
      </c>
      <c r="M7" s="5">
        <v>4190.076</v>
      </c>
      <c r="N7" s="5">
        <v>4169.2780000000002</v>
      </c>
      <c r="O7" s="5">
        <v>4141.8</v>
      </c>
      <c r="P7" s="5">
        <v>4128.3680000000004</v>
      </c>
      <c r="Q7" s="5">
        <v>4139.42</v>
      </c>
      <c r="R7" s="5">
        <v>4168.2569999999996</v>
      </c>
      <c r="S7" s="5">
        <v>4192.5709999999999</v>
      </c>
      <c r="T7" s="5">
        <v>4210.6229999999996</v>
      </c>
      <c r="U7" s="5">
        <v>4252.6059999999998</v>
      </c>
      <c r="V7" s="5">
        <v>4329.317</v>
      </c>
      <c r="W7" s="5">
        <v>4424.9470000000001</v>
      </c>
      <c r="X7" s="5">
        <v>4515.3530000000001</v>
      </c>
      <c r="Y7" s="5">
        <v>4608.3209999999999</v>
      </c>
      <c r="Z7" s="5">
        <v>4665.8519999999999</v>
      </c>
      <c r="AA7" s="5">
        <v>4667.5200000000004</v>
      </c>
      <c r="AB7" s="5">
        <v>4631.0479999999998</v>
      </c>
      <c r="AC7" s="5">
        <v>4595.7719999999999</v>
      </c>
      <c r="AD7" s="5">
        <v>4555.2359999999999</v>
      </c>
      <c r="AE7" s="5">
        <v>4510.7070000000003</v>
      </c>
      <c r="AF7" s="5">
        <v>4467.2179999999998</v>
      </c>
      <c r="AG7" s="5">
        <v>4423.3779999999997</v>
      </c>
      <c r="AH7" s="5">
        <v>4374.37</v>
      </c>
      <c r="AI7" s="5">
        <v>4323.0950000000003</v>
      </c>
      <c r="AJ7" s="5">
        <v>4269.8429999999998</v>
      </c>
      <c r="AK7" s="5">
        <v>4214.9229999999998</v>
      </c>
      <c r="AL7" s="5">
        <v>4160.82</v>
      </c>
      <c r="AM7" s="5">
        <v>4109.2969999999996</v>
      </c>
      <c r="AN7" s="5">
        <v>4059.51</v>
      </c>
      <c r="AO7" s="5">
        <v>4022.7510000000002</v>
      </c>
      <c r="AP7" s="5">
        <v>4004.6790000000001</v>
      </c>
      <c r="AQ7" s="5">
        <v>4000.8380000000002</v>
      </c>
      <c r="AR7" s="5">
        <v>4000.6509999999998</v>
      </c>
      <c r="AS7" s="5">
        <v>4005.674</v>
      </c>
      <c r="AT7" s="5">
        <v>4017.8090000000002</v>
      </c>
      <c r="AU7" s="5">
        <v>4036.7620000000002</v>
      </c>
      <c r="AV7" s="5">
        <v>4061.951</v>
      </c>
      <c r="AW7" s="5">
        <v>4089.3130000000001</v>
      </c>
      <c r="AX7" s="5">
        <v>4115.1279999999997</v>
      </c>
      <c r="AY7" s="5">
        <v>4155.5339999999997</v>
      </c>
      <c r="AZ7" s="5">
        <v>4216.683</v>
      </c>
      <c r="BA7" s="5">
        <v>4288.183</v>
      </c>
      <c r="BB7" s="5">
        <v>4353.1270000000004</v>
      </c>
      <c r="BC7" s="5">
        <v>4414.4650000000001</v>
      </c>
      <c r="BD7" s="5">
        <v>4454.6459999999997</v>
      </c>
      <c r="BE7" s="5">
        <v>4463.0550000000003</v>
      </c>
      <c r="BF7" s="5">
        <v>4446.17</v>
      </c>
      <c r="BG7" s="5">
        <v>4423.4070000000002</v>
      </c>
      <c r="BH7" s="5">
        <v>4393.674</v>
      </c>
      <c r="BI7" s="5">
        <v>4339.7740000000003</v>
      </c>
      <c r="BJ7" s="5">
        <v>4255.9790000000003</v>
      </c>
      <c r="BK7" s="5">
        <v>4149.9859999999999</v>
      </c>
      <c r="BL7" s="5">
        <v>4034.136</v>
      </c>
      <c r="BM7" s="5">
        <v>3904.665</v>
      </c>
      <c r="BN7" s="5">
        <v>3778.2449999999999</v>
      </c>
      <c r="BO7" s="5">
        <v>3664.0120000000002</v>
      </c>
      <c r="BP7" s="5">
        <v>3554.076</v>
      </c>
      <c r="BQ7" s="5">
        <v>3435.761</v>
      </c>
      <c r="BR7" s="5">
        <v>3316.8249999999998</v>
      </c>
      <c r="BS7" s="5">
        <v>3172.4349999999999</v>
      </c>
      <c r="BT7" s="5">
        <v>2990.652</v>
      </c>
      <c r="BU7" s="5">
        <v>2786.6889999999999</v>
      </c>
      <c r="BV7" s="5">
        <v>2586.5329999999999</v>
      </c>
      <c r="BW7" s="5">
        <v>2383.5819999999999</v>
      </c>
      <c r="BX7" s="5">
        <v>2204.3670000000002</v>
      </c>
      <c r="BY7" s="5">
        <v>2064.2869999999998</v>
      </c>
      <c r="BZ7" s="5">
        <v>1951.126</v>
      </c>
      <c r="CA7" s="5">
        <v>1836.96</v>
      </c>
      <c r="CB7" s="5">
        <v>1727.001</v>
      </c>
      <c r="CC7" s="5">
        <v>1621.3050000000001</v>
      </c>
      <c r="CD7" s="5">
        <v>1516.9829999999999</v>
      </c>
      <c r="CE7" s="5">
        <v>1415.442</v>
      </c>
      <c r="CF7" s="5">
        <v>1319.711</v>
      </c>
      <c r="CG7" s="5">
        <v>1227.6669999999999</v>
      </c>
      <c r="CH7" s="5">
        <v>1142.9110000000001</v>
      </c>
      <c r="CI7" s="5">
        <v>1067.0409999999999</v>
      </c>
      <c r="CJ7" s="5">
        <v>996.88199999999995</v>
      </c>
      <c r="CK7" s="5">
        <v>929.41800000000001</v>
      </c>
      <c r="CL7" s="5">
        <v>867.36099999999999</v>
      </c>
      <c r="CM7" s="5">
        <v>795.28499999999997</v>
      </c>
      <c r="CN7" s="5">
        <v>705.87599999999998</v>
      </c>
      <c r="CO7" s="5">
        <v>606.93899999999996</v>
      </c>
      <c r="CP7" s="5">
        <v>503.24599999999998</v>
      </c>
      <c r="CQ7" s="5">
        <v>422.339</v>
      </c>
      <c r="CR7" s="5">
        <v>365.04700000000003</v>
      </c>
      <c r="CS7" s="5">
        <v>290.161</v>
      </c>
      <c r="CT7" s="5">
        <v>197.68100000000001</v>
      </c>
      <c r="CU7" s="5">
        <v>140.858</v>
      </c>
      <c r="CV7" s="5">
        <v>121.949</v>
      </c>
      <c r="CW7" s="5">
        <v>98.837000000000003</v>
      </c>
      <c r="CX7" s="5">
        <v>71.521000000000001</v>
      </c>
      <c r="CY7" s="5">
        <v>40.000999999999998</v>
      </c>
      <c r="CZ7" s="5">
        <v>65.162999999999997</v>
      </c>
    </row>
    <row r="8" spans="1:104">
      <c r="A8" s="4">
        <v>2016</v>
      </c>
      <c r="B8" s="3">
        <f t="shared" si="0"/>
        <v>323015.99199999985</v>
      </c>
      <c r="C8" s="3">
        <f t="shared" si="1"/>
        <v>317504.12099999993</v>
      </c>
      <c r="D8" s="5">
        <v>3764.4259999999999</v>
      </c>
      <c r="E8" s="5">
        <v>3801.2040000000002</v>
      </c>
      <c r="F8" s="5">
        <v>3921.1990000000001</v>
      </c>
      <c r="G8" s="5">
        <v>4017.0940000000001</v>
      </c>
      <c r="H8" s="5">
        <v>4091.2539999999999</v>
      </c>
      <c r="I8" s="5">
        <v>4146.0479999999998</v>
      </c>
      <c r="J8" s="5">
        <v>4184.9059999999999</v>
      </c>
      <c r="K8" s="5">
        <v>4211.2610000000004</v>
      </c>
      <c r="L8" s="5">
        <v>4222.1629999999996</v>
      </c>
      <c r="M8" s="5">
        <v>4217.8540000000003</v>
      </c>
      <c r="N8" s="5">
        <v>4203.8909999999996</v>
      </c>
      <c r="O8" s="5">
        <v>4185.6210000000001</v>
      </c>
      <c r="P8" s="5">
        <v>4162.0050000000001</v>
      </c>
      <c r="Q8" s="5">
        <v>4152.4319999999998</v>
      </c>
      <c r="R8" s="5">
        <v>4167.1379999999999</v>
      </c>
      <c r="S8" s="5">
        <v>4199.3450000000003</v>
      </c>
      <c r="T8" s="5">
        <v>4226.9620000000004</v>
      </c>
      <c r="U8" s="5">
        <v>4248.32</v>
      </c>
      <c r="V8" s="5">
        <v>4292.3530000000001</v>
      </c>
      <c r="W8" s="5">
        <v>4369.2870000000003</v>
      </c>
      <c r="X8" s="5">
        <v>4463.8500000000004</v>
      </c>
      <c r="Y8" s="5">
        <v>4553.0619999999999</v>
      </c>
      <c r="Z8" s="5">
        <v>4644.5420000000004</v>
      </c>
      <c r="AA8" s="5">
        <v>4700.3559999999998</v>
      </c>
      <c r="AB8" s="5">
        <v>4700.2470000000003</v>
      </c>
      <c r="AC8" s="5">
        <v>4661.9219999999996</v>
      </c>
      <c r="AD8" s="5">
        <v>4624.5290000000005</v>
      </c>
      <c r="AE8" s="5">
        <v>4581.6679999999997</v>
      </c>
      <c r="AF8" s="5">
        <v>4534.915</v>
      </c>
      <c r="AG8" s="5">
        <v>4489.4470000000001</v>
      </c>
      <c r="AH8" s="5">
        <v>4443.7960000000003</v>
      </c>
      <c r="AI8" s="5">
        <v>4392.9160000000002</v>
      </c>
      <c r="AJ8" s="5">
        <v>4339.7380000000003</v>
      </c>
      <c r="AK8" s="5">
        <v>4284.7280000000001</v>
      </c>
      <c r="AL8" s="5">
        <v>4228.2539999999999</v>
      </c>
      <c r="AM8" s="5">
        <v>4172.74</v>
      </c>
      <c r="AN8" s="5">
        <v>4119.8100000000004</v>
      </c>
      <c r="AO8" s="5">
        <v>4068.6260000000002</v>
      </c>
      <c r="AP8" s="5">
        <v>4030.5259999999998</v>
      </c>
      <c r="AQ8" s="5">
        <v>4011.1689999999999</v>
      </c>
      <c r="AR8" s="5">
        <v>4006.07</v>
      </c>
      <c r="AS8" s="5">
        <v>4004.6010000000001</v>
      </c>
      <c r="AT8" s="5">
        <v>4008.3159999999998</v>
      </c>
      <c r="AU8" s="5">
        <v>4019.06</v>
      </c>
      <c r="AV8" s="5">
        <v>4036.5030000000002</v>
      </c>
      <c r="AW8" s="5">
        <v>4060.07</v>
      </c>
      <c r="AX8" s="5">
        <v>4085.7629999999999</v>
      </c>
      <c r="AY8" s="5">
        <v>4109.875</v>
      </c>
      <c r="AZ8" s="5">
        <v>4148.3580000000002</v>
      </c>
      <c r="BA8" s="5">
        <v>4207.2860000000001</v>
      </c>
      <c r="BB8" s="5">
        <v>4276.3549999999996</v>
      </c>
      <c r="BC8" s="5">
        <v>4338.8519999999999</v>
      </c>
      <c r="BD8" s="5">
        <v>4397.7259999999997</v>
      </c>
      <c r="BE8" s="5">
        <v>4435.3850000000002</v>
      </c>
      <c r="BF8" s="5">
        <v>4441.2349999999997</v>
      </c>
      <c r="BG8" s="5">
        <v>4421.7889999999998</v>
      </c>
      <c r="BH8" s="5">
        <v>4396.4530000000004</v>
      </c>
      <c r="BI8" s="5">
        <v>4364.107</v>
      </c>
      <c r="BJ8" s="5">
        <v>4307.8429999999998</v>
      </c>
      <c r="BK8" s="5">
        <v>4222.0690000000004</v>
      </c>
      <c r="BL8" s="5">
        <v>4114.3440000000001</v>
      </c>
      <c r="BM8" s="5">
        <v>3996.7829999999999</v>
      </c>
      <c r="BN8" s="5">
        <v>3865.7159999999999</v>
      </c>
      <c r="BO8" s="5">
        <v>3737.5070000000001</v>
      </c>
      <c r="BP8" s="5">
        <v>3621.1379999999999</v>
      </c>
      <c r="BQ8" s="5">
        <v>3508.8870000000002</v>
      </c>
      <c r="BR8" s="5">
        <v>3388.35</v>
      </c>
      <c r="BS8" s="5">
        <v>3267.1610000000001</v>
      </c>
      <c r="BT8" s="5">
        <v>3120.951</v>
      </c>
      <c r="BU8" s="5">
        <v>2938.0129999999999</v>
      </c>
      <c r="BV8" s="5">
        <v>2733.308</v>
      </c>
      <c r="BW8" s="5">
        <v>2532.36</v>
      </c>
      <c r="BX8" s="5">
        <v>2328.6889999999999</v>
      </c>
      <c r="BY8" s="5">
        <v>2148.442</v>
      </c>
      <c r="BZ8" s="5">
        <v>2006.787</v>
      </c>
      <c r="CA8" s="5">
        <v>1891.702</v>
      </c>
      <c r="CB8" s="5">
        <v>1775.75</v>
      </c>
      <c r="CC8" s="5">
        <v>1664.107</v>
      </c>
      <c r="CD8" s="5">
        <v>1556.636</v>
      </c>
      <c r="CE8" s="5">
        <v>1450.425</v>
      </c>
      <c r="CF8" s="5">
        <v>1346.9839999999999</v>
      </c>
      <c r="CG8" s="5">
        <v>1249.6500000000001</v>
      </c>
      <c r="CH8" s="5">
        <v>1156.442</v>
      </c>
      <c r="CI8" s="5">
        <v>1070.403</v>
      </c>
      <c r="CJ8" s="5">
        <v>992.95100000000002</v>
      </c>
      <c r="CK8" s="5">
        <v>921.31500000000005</v>
      </c>
      <c r="CL8" s="5">
        <v>851.82799999999997</v>
      </c>
      <c r="CM8" s="5">
        <v>791.99400000000003</v>
      </c>
      <c r="CN8" s="5">
        <v>722.75</v>
      </c>
      <c r="CO8" s="5">
        <v>635.23500000000001</v>
      </c>
      <c r="CP8" s="5">
        <v>535.69799999999998</v>
      </c>
      <c r="CQ8" s="5">
        <v>439.48700000000002</v>
      </c>
      <c r="CR8" s="5">
        <v>370.22</v>
      </c>
      <c r="CS8" s="5">
        <v>318.63499999999999</v>
      </c>
      <c r="CT8" s="5">
        <v>251.72900000000001</v>
      </c>
      <c r="CU8" s="5">
        <v>169.50200000000001</v>
      </c>
      <c r="CV8" s="5">
        <v>129.73500000000001</v>
      </c>
      <c r="CW8" s="5">
        <v>105.41800000000001</v>
      </c>
      <c r="CX8" s="5">
        <v>76.477000000000004</v>
      </c>
      <c r="CY8" s="5">
        <v>42.914000000000001</v>
      </c>
      <c r="CZ8" s="5">
        <v>70.248999999999995</v>
      </c>
    </row>
    <row r="9" spans="1:104">
      <c r="A9" s="4">
        <v>2017</v>
      </c>
      <c r="B9" s="3">
        <f t="shared" si="0"/>
        <v>325084.75800000015</v>
      </c>
      <c r="C9" s="3">
        <f>SUM(D9:CK9)</f>
        <v>319437.15500000003</v>
      </c>
      <c r="D9" s="5">
        <v>3802.2240000000002</v>
      </c>
      <c r="E9" s="5">
        <v>3886.0309999999999</v>
      </c>
      <c r="F9" s="5">
        <v>3836.636</v>
      </c>
      <c r="G9" s="5">
        <v>3934.2089999999998</v>
      </c>
      <c r="H9" s="5">
        <v>4015.6819999999998</v>
      </c>
      <c r="I9" s="5">
        <v>4082.203</v>
      </c>
      <c r="J9" s="5">
        <v>4134.9219999999996</v>
      </c>
      <c r="K9" s="5">
        <v>4177.1120000000001</v>
      </c>
      <c r="L9" s="5">
        <v>4212.0540000000001</v>
      </c>
      <c r="M9" s="5">
        <v>4230.2569999999996</v>
      </c>
      <c r="N9" s="5">
        <v>4228.6180000000004</v>
      </c>
      <c r="O9" s="5">
        <v>4214.6660000000002</v>
      </c>
      <c r="P9" s="5">
        <v>4198.9380000000001</v>
      </c>
      <c r="Q9" s="5">
        <v>4179.2079999999996</v>
      </c>
      <c r="R9" s="5">
        <v>4173.5050000000001</v>
      </c>
      <c r="S9" s="5">
        <v>4191.8580000000002</v>
      </c>
      <c r="T9" s="5">
        <v>4227.415</v>
      </c>
      <c r="U9" s="5">
        <v>4258.32</v>
      </c>
      <c r="V9" s="5">
        <v>4282.973</v>
      </c>
      <c r="W9" s="5">
        <v>4329.0259999999998</v>
      </c>
      <c r="X9" s="5">
        <v>4406.1279999999997</v>
      </c>
      <c r="Y9" s="5">
        <v>4499.5540000000001</v>
      </c>
      <c r="Z9" s="5">
        <v>4587.5039999999999</v>
      </c>
      <c r="AA9" s="5">
        <v>4677.4269999999997</v>
      </c>
      <c r="AB9" s="5">
        <v>4731.4809999999998</v>
      </c>
      <c r="AC9" s="5">
        <v>4729.5959999999995</v>
      </c>
      <c r="AD9" s="5">
        <v>4689.4399999999996</v>
      </c>
      <c r="AE9" s="5">
        <v>4649.9579999999996</v>
      </c>
      <c r="AF9" s="5">
        <v>4604.8</v>
      </c>
      <c r="AG9" s="5">
        <v>4555.8540000000003</v>
      </c>
      <c r="AH9" s="5">
        <v>4508.4390000000003</v>
      </c>
      <c r="AI9" s="5">
        <v>4461.009</v>
      </c>
      <c r="AJ9" s="5">
        <v>4408.2920000000004</v>
      </c>
      <c r="AK9" s="5">
        <v>4353.2479999999996</v>
      </c>
      <c r="AL9" s="5">
        <v>4296.518</v>
      </c>
      <c r="AM9" s="5">
        <v>4238.5290000000005</v>
      </c>
      <c r="AN9" s="5">
        <v>4181.6440000000002</v>
      </c>
      <c r="AO9" s="5">
        <v>4127.3440000000001</v>
      </c>
      <c r="AP9" s="5">
        <v>4074.797</v>
      </c>
      <c r="AQ9" s="5">
        <v>4035.3820000000001</v>
      </c>
      <c r="AR9" s="5">
        <v>4014.7550000000001</v>
      </c>
      <c r="AS9" s="5">
        <v>4008.4</v>
      </c>
      <c r="AT9" s="5">
        <v>4005.6489999999999</v>
      </c>
      <c r="AU9" s="5">
        <v>4008.0509999999999</v>
      </c>
      <c r="AV9" s="5">
        <v>4017.395</v>
      </c>
      <c r="AW9" s="5">
        <v>4033.3139999999999</v>
      </c>
      <c r="AX9" s="5">
        <v>4055.239</v>
      </c>
      <c r="AY9" s="5">
        <v>4079.24</v>
      </c>
      <c r="AZ9" s="5">
        <v>4101.63</v>
      </c>
      <c r="BA9" s="5">
        <v>4138.1589999999997</v>
      </c>
      <c r="BB9" s="5">
        <v>4194.8209999999999</v>
      </c>
      <c r="BC9" s="5">
        <v>4261.4049999999997</v>
      </c>
      <c r="BD9" s="5">
        <v>4321.41</v>
      </c>
      <c r="BE9" s="5">
        <v>4377.7709999999997</v>
      </c>
      <c r="BF9" s="5">
        <v>4412.8810000000003</v>
      </c>
      <c r="BG9" s="5">
        <v>4416.1660000000002</v>
      </c>
      <c r="BH9" s="5">
        <v>4394.1679999999997</v>
      </c>
      <c r="BI9" s="5">
        <v>4366.277</v>
      </c>
      <c r="BJ9" s="5">
        <v>4331.3389999999999</v>
      </c>
      <c r="BK9" s="5">
        <v>4272.75</v>
      </c>
      <c r="BL9" s="5">
        <v>4185.0550000000003</v>
      </c>
      <c r="BM9" s="5">
        <v>4075.6759999999999</v>
      </c>
      <c r="BN9" s="5">
        <v>3956.4879999999998</v>
      </c>
      <c r="BO9" s="5">
        <v>3823.9169999999999</v>
      </c>
      <c r="BP9" s="5">
        <v>3694.0140000000001</v>
      </c>
      <c r="BQ9" s="5">
        <v>3575.59</v>
      </c>
      <c r="BR9" s="5">
        <v>3461.1030000000001</v>
      </c>
      <c r="BS9" s="5">
        <v>3338.431</v>
      </c>
      <c r="BT9" s="5">
        <v>3215.0740000000001</v>
      </c>
      <c r="BU9" s="5">
        <v>3067.1480000000001</v>
      </c>
      <c r="BV9" s="5">
        <v>2883.1880000000001</v>
      </c>
      <c r="BW9" s="5">
        <v>2677.8879999999999</v>
      </c>
      <c r="BX9" s="5">
        <v>2476.2919999999999</v>
      </c>
      <c r="BY9" s="5">
        <v>2272.0509999999999</v>
      </c>
      <c r="BZ9" s="5">
        <v>2090.9</v>
      </c>
      <c r="CA9" s="5">
        <v>1947.768</v>
      </c>
      <c r="CB9" s="5">
        <v>1830.8430000000001</v>
      </c>
      <c r="CC9" s="5">
        <v>1713.184</v>
      </c>
      <c r="CD9" s="5">
        <v>1599.9359999999999</v>
      </c>
      <c r="CE9" s="5">
        <v>1490.768</v>
      </c>
      <c r="CF9" s="5">
        <v>1382.74</v>
      </c>
      <c r="CG9" s="5">
        <v>1277.4739999999999</v>
      </c>
      <c r="CH9" s="5">
        <v>1178.606</v>
      </c>
      <c r="CI9" s="5">
        <v>1084.3</v>
      </c>
      <c r="CJ9" s="5">
        <v>997.04</v>
      </c>
      <c r="CK9" s="5">
        <v>918.06</v>
      </c>
      <c r="CL9" s="5">
        <v>844.99900000000002</v>
      </c>
      <c r="CM9" s="5">
        <v>773.53599999999994</v>
      </c>
      <c r="CN9" s="5">
        <v>715.971</v>
      </c>
      <c r="CO9" s="5">
        <v>649.61300000000006</v>
      </c>
      <c r="CP9" s="5">
        <v>564.05799999999999</v>
      </c>
      <c r="CQ9" s="5">
        <v>463.99200000000002</v>
      </c>
      <c r="CR9" s="5">
        <v>375.339</v>
      </c>
      <c r="CS9" s="5">
        <v>317.779</v>
      </c>
      <c r="CT9" s="5">
        <v>271.94400000000002</v>
      </c>
      <c r="CU9" s="5">
        <v>213.07499999999999</v>
      </c>
      <c r="CV9" s="5">
        <v>141.172</v>
      </c>
      <c r="CW9" s="5">
        <v>112.179</v>
      </c>
      <c r="CX9" s="5">
        <v>81.637</v>
      </c>
      <c r="CY9" s="5">
        <v>46.073999999999998</v>
      </c>
      <c r="CZ9" s="5">
        <v>76.234999999999999</v>
      </c>
    </row>
    <row r="10" spans="1:104">
      <c r="A10" s="4">
        <v>2018</v>
      </c>
      <c r="B10" s="3">
        <f t="shared" si="0"/>
        <v>327096.26300000009</v>
      </c>
      <c r="C10" s="3">
        <f t="shared" si="1"/>
        <v>321382.35500000004</v>
      </c>
      <c r="D10" s="5">
        <v>3864.2849999999999</v>
      </c>
      <c r="E10" s="5">
        <v>3898.5920000000001</v>
      </c>
      <c r="F10" s="5">
        <v>3933.1109999999999</v>
      </c>
      <c r="G10" s="5">
        <v>3870.2139999999999</v>
      </c>
      <c r="H10" s="5">
        <v>3945.319</v>
      </c>
      <c r="I10" s="5">
        <v>4012.3310000000001</v>
      </c>
      <c r="J10" s="5">
        <v>4071.181</v>
      </c>
      <c r="K10" s="5">
        <v>4121.7979999999998</v>
      </c>
      <c r="L10" s="5">
        <v>4167.3010000000004</v>
      </c>
      <c r="M10" s="5">
        <v>4210.8119999999999</v>
      </c>
      <c r="N10" s="5">
        <v>4236.3069999999998</v>
      </c>
      <c r="O10" s="5">
        <v>4237.3379999999997</v>
      </c>
      <c r="P10" s="5">
        <v>4223.4040000000005</v>
      </c>
      <c r="Q10" s="5">
        <v>4210.2280000000001</v>
      </c>
      <c r="R10" s="5">
        <v>4194.3909999999996</v>
      </c>
      <c r="S10" s="5">
        <v>4192.5619999999999</v>
      </c>
      <c r="T10" s="5">
        <v>4214.5540000000001</v>
      </c>
      <c r="U10" s="5">
        <v>4253.4440000000004</v>
      </c>
      <c r="V10" s="5">
        <v>4287.6220000000003</v>
      </c>
      <c r="W10" s="5">
        <v>4315.558</v>
      </c>
      <c r="X10" s="5">
        <v>4363.6099999999997</v>
      </c>
      <c r="Y10" s="5">
        <v>4440.8410000000003</v>
      </c>
      <c r="Z10" s="5">
        <v>4533.085</v>
      </c>
      <c r="AA10" s="5">
        <v>4619.7309999999998</v>
      </c>
      <c r="AB10" s="5">
        <v>4708.0540000000001</v>
      </c>
      <c r="AC10" s="5">
        <v>4760.3220000000001</v>
      </c>
      <c r="AD10" s="5">
        <v>4756.66</v>
      </c>
      <c r="AE10" s="5">
        <v>4714.6949999999997</v>
      </c>
      <c r="AF10" s="5">
        <v>4673.1400000000003</v>
      </c>
      <c r="AG10" s="5">
        <v>4625.7079999999996</v>
      </c>
      <c r="AH10" s="5">
        <v>4574.5929999999998</v>
      </c>
      <c r="AI10" s="5">
        <v>4525.2520000000004</v>
      </c>
      <c r="AJ10" s="5">
        <v>4476.0680000000002</v>
      </c>
      <c r="AK10" s="5">
        <v>4421.54</v>
      </c>
      <c r="AL10" s="5">
        <v>4364.6580000000004</v>
      </c>
      <c r="AM10" s="5">
        <v>4306.2340000000004</v>
      </c>
      <c r="AN10" s="5">
        <v>4246.759</v>
      </c>
      <c r="AO10" s="5">
        <v>4188.5290000000005</v>
      </c>
      <c r="AP10" s="5">
        <v>4132.8879999999999</v>
      </c>
      <c r="AQ10" s="5">
        <v>4079.0039999999999</v>
      </c>
      <c r="AR10" s="5">
        <v>4038.2919999999999</v>
      </c>
      <c r="AS10" s="5">
        <v>4016.4059999999999</v>
      </c>
      <c r="AT10" s="5">
        <v>4008.7959999999998</v>
      </c>
      <c r="AU10" s="5">
        <v>4004.7649999999999</v>
      </c>
      <c r="AV10" s="5">
        <v>4005.8539999999998</v>
      </c>
      <c r="AW10" s="5">
        <v>4013.7919999999999</v>
      </c>
      <c r="AX10" s="5">
        <v>4028.18</v>
      </c>
      <c r="AY10" s="5">
        <v>4048.451</v>
      </c>
      <c r="AZ10" s="5">
        <v>4070.75</v>
      </c>
      <c r="BA10" s="5">
        <v>4091.4059999999999</v>
      </c>
      <c r="BB10" s="5">
        <v>4125.9639999999999</v>
      </c>
      <c r="BC10" s="5">
        <v>4180.33</v>
      </c>
      <c r="BD10" s="5">
        <v>4244.3990000000003</v>
      </c>
      <c r="BE10" s="5">
        <v>4301.8819999999996</v>
      </c>
      <c r="BF10" s="5">
        <v>4355.7039999999997</v>
      </c>
      <c r="BG10" s="5">
        <v>4388.2470000000003</v>
      </c>
      <c r="BH10" s="5">
        <v>4388.9660000000003</v>
      </c>
      <c r="BI10" s="5">
        <v>4364.43</v>
      </c>
      <c r="BJ10" s="5">
        <v>4333.9949999999999</v>
      </c>
      <c r="BK10" s="5">
        <v>4296.4830000000002</v>
      </c>
      <c r="BL10" s="5">
        <v>4235.5969999999998</v>
      </c>
      <c r="BM10" s="5">
        <v>4146.0259999999998</v>
      </c>
      <c r="BN10" s="5">
        <v>4035.0450000000001</v>
      </c>
      <c r="BO10" s="5">
        <v>3914.2890000000002</v>
      </c>
      <c r="BP10" s="5">
        <v>3780.28</v>
      </c>
      <c r="BQ10" s="5">
        <v>3648.7429999999999</v>
      </c>
      <c r="BR10" s="5">
        <v>3528.3220000000001</v>
      </c>
      <c r="BS10" s="5">
        <v>3411.6550000000002</v>
      </c>
      <c r="BT10" s="5">
        <v>3286.9059999999999</v>
      </c>
      <c r="BU10" s="5">
        <v>3161.442</v>
      </c>
      <c r="BV10" s="5">
        <v>3011.8710000000001</v>
      </c>
      <c r="BW10" s="5">
        <v>2826.9769999999999</v>
      </c>
      <c r="BX10" s="5">
        <v>2621.183</v>
      </c>
      <c r="BY10" s="5">
        <v>2419.0369999999998</v>
      </c>
      <c r="BZ10" s="5">
        <v>2214.3220000000001</v>
      </c>
      <c r="CA10" s="5">
        <v>2032.356</v>
      </c>
      <c r="CB10" s="5">
        <v>1887.817</v>
      </c>
      <c r="CC10" s="5">
        <v>1769.106</v>
      </c>
      <c r="CD10" s="5">
        <v>1649.797</v>
      </c>
      <c r="CE10" s="5">
        <v>1534.9970000000001</v>
      </c>
      <c r="CF10" s="5">
        <v>1424.184</v>
      </c>
      <c r="CG10" s="5">
        <v>1314.394</v>
      </c>
      <c r="CH10" s="5">
        <v>1207.3530000000001</v>
      </c>
      <c r="CI10" s="5">
        <v>1106.999</v>
      </c>
      <c r="CJ10" s="5">
        <v>1011.641</v>
      </c>
      <c r="CK10" s="5">
        <v>923.20100000000002</v>
      </c>
      <c r="CL10" s="5">
        <v>842.73299999999995</v>
      </c>
      <c r="CM10" s="5">
        <v>768.28099999999995</v>
      </c>
      <c r="CN10" s="5">
        <v>694.875</v>
      </c>
      <c r="CO10" s="5">
        <v>639.60799999999995</v>
      </c>
      <c r="CP10" s="5">
        <v>576.16899999999998</v>
      </c>
      <c r="CQ10" s="5">
        <v>492.613</v>
      </c>
      <c r="CR10" s="5">
        <v>392.06599999999997</v>
      </c>
      <c r="CS10" s="5">
        <v>311.01299999999998</v>
      </c>
      <c r="CT10" s="5">
        <v>265.18700000000001</v>
      </c>
      <c r="CU10" s="5">
        <v>225.12299999999999</v>
      </c>
      <c r="CV10" s="5">
        <v>174.31899999999999</v>
      </c>
      <c r="CW10" s="5">
        <v>112.77500000000001</v>
      </c>
      <c r="CX10" s="5">
        <v>86.853999999999999</v>
      </c>
      <c r="CY10" s="5">
        <v>49.386000000000003</v>
      </c>
      <c r="CZ10" s="5">
        <v>82.906000000000006</v>
      </c>
    </row>
    <row r="11" spans="1:104">
      <c r="A11" s="4">
        <v>2019</v>
      </c>
      <c r="B11" s="3">
        <f t="shared" si="0"/>
        <v>329064.91699999996</v>
      </c>
      <c r="C11" s="3">
        <f t="shared" si="1"/>
        <v>323333.60499999998</v>
      </c>
      <c r="D11" s="5">
        <v>3931.9670000000001</v>
      </c>
      <c r="E11" s="5">
        <v>3919.5</v>
      </c>
      <c r="F11" s="5">
        <v>3919.4609999999998</v>
      </c>
      <c r="G11" s="5">
        <v>3930.1579999999999</v>
      </c>
      <c r="H11" s="5">
        <v>3903.01</v>
      </c>
      <c r="I11" s="5">
        <v>3955.6439999999998</v>
      </c>
      <c r="J11" s="5">
        <v>4008.192</v>
      </c>
      <c r="K11" s="5">
        <v>4059.364</v>
      </c>
      <c r="L11" s="5">
        <v>4107.8720000000003</v>
      </c>
      <c r="M11" s="5">
        <v>4156.6769999999997</v>
      </c>
      <c r="N11" s="5">
        <v>4208.7420000000002</v>
      </c>
      <c r="O11" s="5">
        <v>4241.5200000000004</v>
      </c>
      <c r="P11" s="5">
        <v>4245.22</v>
      </c>
      <c r="Q11" s="5">
        <v>4231.3059999999996</v>
      </c>
      <c r="R11" s="5">
        <v>4220.6809999999996</v>
      </c>
      <c r="S11" s="5">
        <v>4208.74</v>
      </c>
      <c r="T11" s="5">
        <v>4210.7809999999999</v>
      </c>
      <c r="U11" s="5">
        <v>4236.4040000000005</v>
      </c>
      <c r="V11" s="5">
        <v>4278.6180000000004</v>
      </c>
      <c r="W11" s="5">
        <v>4316.0590000000002</v>
      </c>
      <c r="X11" s="5">
        <v>4347.2719999999999</v>
      </c>
      <c r="Y11" s="5">
        <v>4397.3100000000004</v>
      </c>
      <c r="Z11" s="5">
        <v>4474.6570000000002</v>
      </c>
      <c r="AA11" s="5">
        <v>4565.701</v>
      </c>
      <c r="AB11" s="5">
        <v>4651.027</v>
      </c>
      <c r="AC11" s="5">
        <v>4737.732</v>
      </c>
      <c r="AD11" s="5">
        <v>4788.2049999999999</v>
      </c>
      <c r="AE11" s="5">
        <v>4782.7690000000002</v>
      </c>
      <c r="AF11" s="5">
        <v>4739.0039999999999</v>
      </c>
      <c r="AG11" s="5">
        <v>4695.3879999999999</v>
      </c>
      <c r="AH11" s="5">
        <v>4645.6909999999998</v>
      </c>
      <c r="AI11" s="5">
        <v>4592.4189999999999</v>
      </c>
      <c r="AJ11" s="5">
        <v>4541.165</v>
      </c>
      <c r="AK11" s="5">
        <v>4490.2370000000001</v>
      </c>
      <c r="AL11" s="5">
        <v>4433.9089999999997</v>
      </c>
      <c r="AM11" s="5">
        <v>4375.2</v>
      </c>
      <c r="AN11" s="5">
        <v>4315.098</v>
      </c>
      <c r="AO11" s="5">
        <v>4254.1490000000003</v>
      </c>
      <c r="AP11" s="5">
        <v>4194.5870000000004</v>
      </c>
      <c r="AQ11" s="5">
        <v>4137.6139999999996</v>
      </c>
      <c r="AR11" s="5">
        <v>4082.4050000000002</v>
      </c>
      <c r="AS11" s="5">
        <v>4040.4059999999999</v>
      </c>
      <c r="AT11" s="5">
        <v>4017.2640000000001</v>
      </c>
      <c r="AU11" s="5">
        <v>4008.404</v>
      </c>
      <c r="AV11" s="5">
        <v>4003.0940000000001</v>
      </c>
      <c r="AW11" s="5">
        <v>4002.87</v>
      </c>
      <c r="AX11" s="5">
        <v>4009.404</v>
      </c>
      <c r="AY11" s="5">
        <v>4022.2559999999999</v>
      </c>
      <c r="AZ11" s="5">
        <v>4040.8719999999998</v>
      </c>
      <c r="BA11" s="5">
        <v>4061.4650000000001</v>
      </c>
      <c r="BB11" s="5">
        <v>4080.3829999999998</v>
      </c>
      <c r="BC11" s="5">
        <v>4112.9639999999999</v>
      </c>
      <c r="BD11" s="5">
        <v>4165.027</v>
      </c>
      <c r="BE11" s="5">
        <v>4226.5690000000004</v>
      </c>
      <c r="BF11" s="5">
        <v>4281.5209999999997</v>
      </c>
      <c r="BG11" s="5">
        <v>4332.7950000000001</v>
      </c>
      <c r="BH11" s="5">
        <v>4362.7690000000002</v>
      </c>
      <c r="BI11" s="5">
        <v>4360.9219999999996</v>
      </c>
      <c r="BJ11" s="5">
        <v>4333.8519999999999</v>
      </c>
      <c r="BK11" s="5">
        <v>4300.884</v>
      </c>
      <c r="BL11" s="5">
        <v>4260.8059999999996</v>
      </c>
      <c r="BM11" s="5">
        <v>4197.6379999999999</v>
      </c>
      <c r="BN11" s="5">
        <v>4106.2079999999996</v>
      </c>
      <c r="BO11" s="5">
        <v>3993.65</v>
      </c>
      <c r="BP11" s="5">
        <v>3871.35</v>
      </c>
      <c r="BQ11" s="5">
        <v>3735.9290000000001</v>
      </c>
      <c r="BR11" s="5">
        <v>3602.7860000000001</v>
      </c>
      <c r="BS11" s="5">
        <v>3480.3919999999998</v>
      </c>
      <c r="BT11" s="5">
        <v>3361.57</v>
      </c>
      <c r="BU11" s="5">
        <v>3234.7689999999998</v>
      </c>
      <c r="BV11" s="5">
        <v>3107.2249999999999</v>
      </c>
      <c r="BW11" s="5">
        <v>2956.0390000000002</v>
      </c>
      <c r="BX11" s="5">
        <v>2770.2489999999998</v>
      </c>
      <c r="BY11" s="5">
        <v>2564.0010000000002</v>
      </c>
      <c r="BZ11" s="5">
        <v>2361.3440000000001</v>
      </c>
      <c r="CA11" s="5">
        <v>2156.1970000000001</v>
      </c>
      <c r="CB11" s="5">
        <v>1973.453</v>
      </c>
      <c r="CC11" s="5">
        <v>1827.5350000000001</v>
      </c>
      <c r="CD11" s="5">
        <v>1707.0619999999999</v>
      </c>
      <c r="CE11" s="5">
        <v>1586.1289999999999</v>
      </c>
      <c r="CF11" s="5">
        <v>1469.8019999999999</v>
      </c>
      <c r="CG11" s="5">
        <v>1357.365</v>
      </c>
      <c r="CH11" s="5">
        <v>1245.835</v>
      </c>
      <c r="CI11" s="5">
        <v>1137.0419999999999</v>
      </c>
      <c r="CJ11" s="5">
        <v>1035.221</v>
      </c>
      <c r="CK11" s="5">
        <v>938.83199999999999</v>
      </c>
      <c r="CL11" s="5">
        <v>849.23099999999999</v>
      </c>
      <c r="CM11" s="5">
        <v>767.29</v>
      </c>
      <c r="CN11" s="5">
        <v>691.46199999999999</v>
      </c>
      <c r="CO11" s="5">
        <v>616.13099999999997</v>
      </c>
      <c r="CP11" s="5">
        <v>563.17100000000005</v>
      </c>
      <c r="CQ11" s="5">
        <v>502.66</v>
      </c>
      <c r="CR11" s="5">
        <v>421.11900000000003</v>
      </c>
      <c r="CS11" s="5">
        <v>320.10899999999998</v>
      </c>
      <c r="CT11" s="5">
        <v>246.66800000000001</v>
      </c>
      <c r="CU11" s="5">
        <v>212.578</v>
      </c>
      <c r="CV11" s="5">
        <v>178.28899999999999</v>
      </c>
      <c r="CW11" s="5">
        <v>135.554</v>
      </c>
      <c r="CX11" s="5">
        <v>84.373999999999995</v>
      </c>
      <c r="CY11" s="5">
        <v>52.726999999999997</v>
      </c>
      <c r="CZ11" s="5">
        <v>89.948999999999998</v>
      </c>
    </row>
    <row r="12" spans="1:104">
      <c r="A12" s="4">
        <v>2020</v>
      </c>
      <c r="B12" s="3">
        <f t="shared" si="0"/>
        <v>331002.647</v>
      </c>
      <c r="C12" s="3">
        <f t="shared" si="1"/>
        <v>325280.06699999998</v>
      </c>
      <c r="D12" s="5">
        <v>3990.8180000000002</v>
      </c>
      <c r="E12" s="5">
        <v>3943.8530000000001</v>
      </c>
      <c r="F12" s="5">
        <v>3917.33</v>
      </c>
      <c r="G12" s="5">
        <v>3908.7440000000001</v>
      </c>
      <c r="H12" s="5">
        <v>3915.587</v>
      </c>
      <c r="I12" s="5">
        <v>3935.3519999999999</v>
      </c>
      <c r="J12" s="5">
        <v>3965.5340000000001</v>
      </c>
      <c r="K12" s="5">
        <v>4003.6260000000002</v>
      </c>
      <c r="L12" s="5">
        <v>4047.123</v>
      </c>
      <c r="M12" s="5">
        <v>4093.5169999999998</v>
      </c>
      <c r="N12" s="5">
        <v>4145.6149999999998</v>
      </c>
      <c r="O12" s="5">
        <v>4206.2209999999995</v>
      </c>
      <c r="P12" s="5">
        <v>4246.2709999999997</v>
      </c>
      <c r="Q12" s="5">
        <v>4252.6360000000004</v>
      </c>
      <c r="R12" s="5">
        <v>4238.7439999999997</v>
      </c>
      <c r="S12" s="5">
        <v>4230.6710000000003</v>
      </c>
      <c r="T12" s="5">
        <v>4222.6210000000001</v>
      </c>
      <c r="U12" s="5">
        <v>4228.53</v>
      </c>
      <c r="V12" s="5">
        <v>4257.7790000000005</v>
      </c>
      <c r="W12" s="5">
        <v>4303.3069999999998</v>
      </c>
      <c r="X12" s="5">
        <v>4344.0039999999999</v>
      </c>
      <c r="Y12" s="5">
        <v>4378.4859999999999</v>
      </c>
      <c r="Z12" s="5">
        <v>4430.5039999999999</v>
      </c>
      <c r="AA12" s="5">
        <v>4507.9579999999996</v>
      </c>
      <c r="AB12" s="5">
        <v>4597.7929999999997</v>
      </c>
      <c r="AC12" s="5">
        <v>4681.7920000000004</v>
      </c>
      <c r="AD12" s="5">
        <v>4766.8720000000003</v>
      </c>
      <c r="AE12" s="5">
        <v>4815.5469999999996</v>
      </c>
      <c r="AF12" s="5">
        <v>4808.3389999999999</v>
      </c>
      <c r="AG12" s="5">
        <v>4762.78</v>
      </c>
      <c r="AH12" s="5">
        <v>4717.1099999999997</v>
      </c>
      <c r="AI12" s="5">
        <v>4665.1549999999997</v>
      </c>
      <c r="AJ12" s="5">
        <v>4609.7340000000004</v>
      </c>
      <c r="AK12" s="5">
        <v>4556.5730000000003</v>
      </c>
      <c r="AL12" s="5">
        <v>4503.9070000000002</v>
      </c>
      <c r="AM12" s="5">
        <v>4445.7889999999998</v>
      </c>
      <c r="AN12" s="5">
        <v>4385.26</v>
      </c>
      <c r="AO12" s="5">
        <v>4323.4859999999999</v>
      </c>
      <c r="AP12" s="5">
        <v>4261.0709999999999</v>
      </c>
      <c r="AQ12" s="5">
        <v>4200.1850000000004</v>
      </c>
      <c r="AR12" s="5">
        <v>4141.8890000000001</v>
      </c>
      <c r="AS12" s="5">
        <v>4085.3620000000001</v>
      </c>
      <c r="AT12" s="5">
        <v>4042.0819999999999</v>
      </c>
      <c r="AU12" s="5">
        <v>4017.6880000000001</v>
      </c>
      <c r="AV12" s="5">
        <v>4007.578</v>
      </c>
      <c r="AW12" s="5">
        <v>4000.991</v>
      </c>
      <c r="AX12" s="5">
        <v>3999.4560000000001</v>
      </c>
      <c r="AY12" s="5">
        <v>4004.585</v>
      </c>
      <c r="AZ12" s="5">
        <v>4015.9029999999998</v>
      </c>
      <c r="BA12" s="5">
        <v>4032.8629999999998</v>
      </c>
      <c r="BB12" s="5">
        <v>4051.75</v>
      </c>
      <c r="BC12" s="5">
        <v>4068.931</v>
      </c>
      <c r="BD12" s="5">
        <v>4099.5339999999997</v>
      </c>
      <c r="BE12" s="5">
        <v>4149.29</v>
      </c>
      <c r="BF12" s="5">
        <v>4208.3019999999997</v>
      </c>
      <c r="BG12" s="5">
        <v>4260.7179999999998</v>
      </c>
      <c r="BH12" s="5">
        <v>4309.4399999999996</v>
      </c>
      <c r="BI12" s="5">
        <v>4336.8419999999996</v>
      </c>
      <c r="BJ12" s="5">
        <v>4332.4340000000002</v>
      </c>
      <c r="BK12" s="5">
        <v>4302.8360000000002</v>
      </c>
      <c r="BL12" s="5">
        <v>4267.3389999999999</v>
      </c>
      <c r="BM12" s="5">
        <v>4224.701</v>
      </c>
      <c r="BN12" s="5">
        <v>4159.26</v>
      </c>
      <c r="BO12" s="5">
        <v>4065.9830000000002</v>
      </c>
      <c r="BP12" s="5">
        <v>3951.86</v>
      </c>
      <c r="BQ12" s="5">
        <v>3828.0320000000002</v>
      </c>
      <c r="BR12" s="5">
        <v>3691.2150000000001</v>
      </c>
      <c r="BS12" s="5">
        <v>3556.482</v>
      </c>
      <c r="BT12" s="5">
        <v>3432.1309999999999</v>
      </c>
      <c r="BU12" s="5">
        <v>3311.1669999999999</v>
      </c>
      <c r="BV12" s="5">
        <v>3182.3319999999999</v>
      </c>
      <c r="BW12" s="5">
        <v>3052.723</v>
      </c>
      <c r="BX12" s="5">
        <v>2899.94</v>
      </c>
      <c r="BY12" s="5">
        <v>2713.2739999999999</v>
      </c>
      <c r="BZ12" s="5">
        <v>2506.5940000000001</v>
      </c>
      <c r="CA12" s="5">
        <v>2303.4490000000001</v>
      </c>
      <c r="CB12" s="5">
        <v>2097.8919999999998</v>
      </c>
      <c r="CC12" s="5">
        <v>1914.3889999999999</v>
      </c>
      <c r="CD12" s="5">
        <v>1767.1110000000001</v>
      </c>
      <c r="CE12" s="5">
        <v>1644.893</v>
      </c>
      <c r="CF12" s="5">
        <v>1522.35</v>
      </c>
      <c r="CG12" s="5">
        <v>1404.508</v>
      </c>
      <c r="CH12" s="5">
        <v>1290.463</v>
      </c>
      <c r="CI12" s="5">
        <v>1177.2070000000001</v>
      </c>
      <c r="CJ12" s="5">
        <v>1066.674</v>
      </c>
      <c r="CK12" s="5">
        <v>963.4</v>
      </c>
      <c r="CL12" s="5">
        <v>865.99</v>
      </c>
      <c r="CM12" s="5">
        <v>775.23800000000006</v>
      </c>
      <c r="CN12" s="5">
        <v>691.83500000000004</v>
      </c>
      <c r="CO12" s="5">
        <v>614.64099999999996</v>
      </c>
      <c r="CP12" s="5">
        <v>537.39300000000003</v>
      </c>
      <c r="CQ12" s="5">
        <v>486.74400000000003</v>
      </c>
      <c r="CR12" s="5">
        <v>429.166</v>
      </c>
      <c r="CS12" s="5">
        <v>349.64600000000002</v>
      </c>
      <c r="CT12" s="5">
        <v>248.18700000000001</v>
      </c>
      <c r="CU12" s="5">
        <v>182.358</v>
      </c>
      <c r="CV12" s="5">
        <v>159.995</v>
      </c>
      <c r="CW12" s="5">
        <v>131.47900000000001</v>
      </c>
      <c r="CX12" s="5">
        <v>96.811999999999998</v>
      </c>
      <c r="CY12" s="5">
        <v>55.991999999999997</v>
      </c>
      <c r="CZ12" s="5">
        <v>97.103999999999999</v>
      </c>
    </row>
    <row r="26" spans="1:7">
      <c r="A26" s="12" t="s">
        <v>104</v>
      </c>
      <c r="B26" s="12" t="s">
        <v>123</v>
      </c>
      <c r="C26" s="12" t="s">
        <v>122</v>
      </c>
      <c r="D26" s="12" t="s">
        <v>106</v>
      </c>
      <c r="E26" s="12" t="s">
        <v>126</v>
      </c>
      <c r="F26" s="14" t="s">
        <v>124</v>
      </c>
      <c r="G26" s="12" t="s">
        <v>125</v>
      </c>
    </row>
    <row r="27" spans="1:7">
      <c r="A27" s="4">
        <v>2016</v>
      </c>
      <c r="B27">
        <v>279282932</v>
      </c>
      <c r="C27">
        <v>43844581</v>
      </c>
      <c r="D27">
        <f>B27+C27</f>
        <v>323127513</v>
      </c>
      <c r="E27" s="13">
        <f>D27/1000</f>
        <v>323127.51299999998</v>
      </c>
      <c r="F27">
        <v>323015.99199999985</v>
      </c>
      <c r="G27">
        <f>E27-F27</f>
        <v>111.52100000012433</v>
      </c>
    </row>
    <row r="28" spans="1:7">
      <c r="A28" s="4">
        <v>2017</v>
      </c>
      <c r="B28">
        <v>280963645</v>
      </c>
      <c r="C28">
        <v>44557784</v>
      </c>
      <c r="D28">
        <f>B28+C28</f>
        <v>325521429</v>
      </c>
      <c r="E28" s="13">
        <f t="shared" ref="E28:E31" si="2">D28/1000</f>
        <v>325521.429</v>
      </c>
      <c r="F28">
        <v>325084.75800000015</v>
      </c>
      <c r="G28">
        <f>E28-F28</f>
        <v>436.67099999985658</v>
      </c>
    </row>
    <row r="29" spans="1:7">
      <c r="A29" s="4">
        <v>2018</v>
      </c>
      <c r="B29">
        <v>282660749</v>
      </c>
      <c r="C29">
        <v>45272325</v>
      </c>
      <c r="D29">
        <f>B29+C29</f>
        <v>327933074</v>
      </c>
      <c r="E29" s="13">
        <f t="shared" si="2"/>
        <v>327933.07400000002</v>
      </c>
      <c r="F29">
        <v>327096.26300000009</v>
      </c>
      <c r="G29">
        <f>E29-F29</f>
        <v>836.81099999992875</v>
      </c>
    </row>
    <row r="30" spans="1:7">
      <c r="A30" s="4">
        <v>2019</v>
      </c>
      <c r="B30">
        <v>284374275</v>
      </c>
      <c r="C30">
        <v>45987642</v>
      </c>
      <c r="D30">
        <f>B30+C30</f>
        <v>330361917</v>
      </c>
      <c r="E30" s="13">
        <f t="shared" si="2"/>
        <v>330361.91700000002</v>
      </c>
      <c r="F30">
        <v>329064.91699999996</v>
      </c>
      <c r="G30">
        <f>E30-F30</f>
        <v>1297.0000000000582</v>
      </c>
    </row>
    <row r="31" spans="1:7">
      <c r="A31" s="4">
        <v>2020</v>
      </c>
      <c r="B31">
        <v>286101948</v>
      </c>
      <c r="C31">
        <v>46703291</v>
      </c>
      <c r="D31">
        <f>B31+C31</f>
        <v>332805239</v>
      </c>
      <c r="E31" s="13">
        <f t="shared" si="2"/>
        <v>332805.239</v>
      </c>
      <c r="F31">
        <v>331002.647</v>
      </c>
      <c r="G31">
        <f>E31-F31</f>
        <v>1802.5920000000042</v>
      </c>
    </row>
    <row r="32" spans="1:7">
      <c r="A32" s="4"/>
    </row>
    <row r="38" spans="1:1">
      <c r="A38" s="4"/>
    </row>
    <row r="39" spans="1:1">
      <c r="A39" t="s">
        <v>125</v>
      </c>
    </row>
    <row r="40" spans="1:1">
      <c r="A40" s="4"/>
    </row>
    <row r="41" spans="1:1">
      <c r="A4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Share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Chivers</dc:creator>
  <cp:lastModifiedBy>Microsoft Office User</cp:lastModifiedBy>
  <dcterms:created xsi:type="dcterms:W3CDTF">2021-03-25T13:51:47Z</dcterms:created>
  <dcterms:modified xsi:type="dcterms:W3CDTF">2021-07-07T04:02:24Z</dcterms:modified>
</cp:coreProperties>
</file>